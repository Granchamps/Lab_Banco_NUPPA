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Allan\Downloads\"/>
    </mc:Choice>
  </mc:AlternateContent>
  <xr:revisionPtr revIDLastSave="0" documentId="13_ncr:1_{15D07B55-6ECC-4F98-97C0-671B6ECEC956}" xr6:coauthVersionLast="36" xr6:coauthVersionMax="36" xr10:uidLastSave="{00000000-0000-0000-0000-000000000000}"/>
  <bookViews>
    <workbookView xWindow="0" yWindow="0" windowWidth="20160" windowHeight="8700" tabRatio="644" activeTab="2" xr2:uid="{00000000-000D-0000-FFFF-FFFF00000000}"/>
  </bookViews>
  <sheets>
    <sheet name="Boletins Nuppa Site" sheetId="1" r:id="rId1"/>
    <sheet name="Planilha11" sheetId="2" r:id="rId2"/>
    <sheet name="COTACAO" sheetId="3" r:id="rId3"/>
    <sheet name="BOLETIM" sheetId="9" r:id="rId4"/>
    <sheet name="GRUPO_ALIMENTAR" sheetId="4" r:id="rId5"/>
    <sheet name="CATEGORIA" sheetId="5" r:id="rId6"/>
    <sheet name="PRODUTO" sheetId="6" r:id="rId7"/>
    <sheet name="UNIDADE_MEDIDA" sheetId="7" r:id="rId8"/>
    <sheet name="TIPO_APRESENTACAO" sheetId="8" r:id="rId9"/>
    <sheet name="PRODUTO_APRESENTACAO" sheetId="10" r:id="rId10"/>
  </sheets>
  <definedNames>
    <definedName name="_xlnm._FilterDatabase" localSheetId="0" hidden="1">'Boletins Nuppa Site'!$A$1:$K$2424</definedName>
    <definedName name="_xlnm._FilterDatabase" localSheetId="2" hidden="1">COTACAO!$A$1:$H$1430</definedName>
  </definedNames>
  <calcPr calcId="17902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471" i="3" l="1"/>
  <c r="E1471" i="3"/>
  <c r="F1471" i="3"/>
  <c r="G1471" i="3"/>
  <c r="H1471" i="3"/>
  <c r="D1470" i="3"/>
  <c r="E1470" i="3"/>
  <c r="F1470" i="3"/>
  <c r="G1470" i="3"/>
  <c r="H1470" i="3"/>
  <c r="D1431" i="3"/>
  <c r="E1431" i="3"/>
  <c r="F1431" i="3"/>
  <c r="G1431" i="3"/>
  <c r="H1431" i="3"/>
  <c r="D1432" i="3"/>
  <c r="E1432" i="3"/>
  <c r="F1432" i="3"/>
  <c r="G1432" i="3"/>
  <c r="H1432" i="3"/>
  <c r="D1433" i="3"/>
  <c r="E1433" i="3"/>
  <c r="F1433" i="3"/>
  <c r="G1433" i="3"/>
  <c r="H1433" i="3"/>
  <c r="D1434" i="3"/>
  <c r="E1434" i="3"/>
  <c r="F1434" i="3"/>
  <c r="G1434" i="3"/>
  <c r="H1434" i="3"/>
  <c r="D1435" i="3"/>
  <c r="E1435" i="3"/>
  <c r="F1435" i="3"/>
  <c r="G1435" i="3"/>
  <c r="H1435" i="3"/>
  <c r="D1436" i="3"/>
  <c r="E1436" i="3"/>
  <c r="F1436" i="3"/>
  <c r="G1436" i="3"/>
  <c r="H1436" i="3"/>
  <c r="D1437" i="3"/>
  <c r="E1437" i="3"/>
  <c r="F1437" i="3"/>
  <c r="G1437" i="3"/>
  <c r="H1437" i="3"/>
  <c r="D1438" i="3"/>
  <c r="E1438" i="3"/>
  <c r="F1438" i="3"/>
  <c r="G1438" i="3"/>
  <c r="H1438" i="3"/>
  <c r="D1439" i="3"/>
  <c r="E1439" i="3"/>
  <c r="F1439" i="3"/>
  <c r="G1439" i="3"/>
  <c r="H1439" i="3"/>
  <c r="D1440" i="3"/>
  <c r="E1440" i="3"/>
  <c r="F1440" i="3"/>
  <c r="G1440" i="3"/>
  <c r="H1440" i="3"/>
  <c r="D1441" i="3"/>
  <c r="E1441" i="3"/>
  <c r="F1441" i="3"/>
  <c r="G1441" i="3"/>
  <c r="H1441" i="3"/>
  <c r="D1442" i="3"/>
  <c r="E1442" i="3"/>
  <c r="F1442" i="3"/>
  <c r="G1442" i="3"/>
  <c r="H1442" i="3"/>
  <c r="D1443" i="3"/>
  <c r="E1443" i="3"/>
  <c r="F1443" i="3"/>
  <c r="G1443" i="3"/>
  <c r="H1443" i="3"/>
  <c r="D1444" i="3"/>
  <c r="E1444" i="3"/>
  <c r="F1444" i="3"/>
  <c r="G1444" i="3"/>
  <c r="H1444" i="3"/>
  <c r="D1445" i="3"/>
  <c r="E1445" i="3"/>
  <c r="F1445" i="3"/>
  <c r="G1445" i="3"/>
  <c r="H1445" i="3"/>
  <c r="D1446" i="3"/>
  <c r="E1446" i="3"/>
  <c r="F1446" i="3"/>
  <c r="G1446" i="3"/>
  <c r="H1446" i="3"/>
  <c r="D1447" i="3"/>
  <c r="E1447" i="3"/>
  <c r="F1447" i="3"/>
  <c r="G1447" i="3"/>
  <c r="H1447" i="3"/>
  <c r="D1448" i="3"/>
  <c r="E1448" i="3"/>
  <c r="F1448" i="3"/>
  <c r="G1448" i="3"/>
  <c r="H1448" i="3"/>
  <c r="D1449" i="3"/>
  <c r="E1449" i="3"/>
  <c r="F1449" i="3"/>
  <c r="G1449" i="3"/>
  <c r="H1449" i="3"/>
  <c r="D1450" i="3"/>
  <c r="E1450" i="3"/>
  <c r="F1450" i="3"/>
  <c r="G1450" i="3"/>
  <c r="H1450" i="3"/>
  <c r="D1451" i="3"/>
  <c r="E1451" i="3"/>
  <c r="F1451" i="3"/>
  <c r="G1451" i="3"/>
  <c r="H1451" i="3"/>
  <c r="D1452" i="3"/>
  <c r="E1452" i="3"/>
  <c r="F1452" i="3"/>
  <c r="G1452" i="3"/>
  <c r="H1452" i="3"/>
  <c r="D1453" i="3"/>
  <c r="E1453" i="3"/>
  <c r="F1453" i="3"/>
  <c r="G1453" i="3"/>
  <c r="H1453" i="3"/>
  <c r="D1454" i="3"/>
  <c r="E1454" i="3"/>
  <c r="F1454" i="3"/>
  <c r="G1454" i="3"/>
  <c r="H1454" i="3"/>
  <c r="D1455" i="3"/>
  <c r="E1455" i="3"/>
  <c r="F1455" i="3"/>
  <c r="G1455" i="3"/>
  <c r="H1455" i="3"/>
  <c r="D1456" i="3"/>
  <c r="E1456" i="3"/>
  <c r="F1456" i="3"/>
  <c r="G1456" i="3"/>
  <c r="H1456" i="3"/>
  <c r="D1457" i="3"/>
  <c r="E1457" i="3"/>
  <c r="F1457" i="3"/>
  <c r="G1457" i="3"/>
  <c r="H1457" i="3"/>
  <c r="D1458" i="3"/>
  <c r="E1458" i="3"/>
  <c r="F1458" i="3"/>
  <c r="G1458" i="3"/>
  <c r="H1458" i="3"/>
  <c r="D1459" i="3"/>
  <c r="E1459" i="3"/>
  <c r="F1459" i="3"/>
  <c r="G1459" i="3"/>
  <c r="H1459" i="3"/>
  <c r="D1460" i="3"/>
  <c r="E1460" i="3"/>
  <c r="F1460" i="3"/>
  <c r="G1460" i="3"/>
  <c r="H1460" i="3"/>
  <c r="D1461" i="3"/>
  <c r="E1461" i="3"/>
  <c r="F1461" i="3"/>
  <c r="G1461" i="3"/>
  <c r="H1461" i="3"/>
  <c r="D1462" i="3"/>
  <c r="E1462" i="3"/>
  <c r="F1462" i="3"/>
  <c r="G1462" i="3"/>
  <c r="H1462" i="3"/>
  <c r="D1463" i="3"/>
  <c r="E1463" i="3"/>
  <c r="F1463" i="3"/>
  <c r="G1463" i="3"/>
  <c r="H1463" i="3"/>
  <c r="D1464" i="3"/>
  <c r="E1464" i="3"/>
  <c r="F1464" i="3"/>
  <c r="G1464" i="3"/>
  <c r="H1464" i="3"/>
  <c r="D1465" i="3"/>
  <c r="E1465" i="3"/>
  <c r="F1465" i="3"/>
  <c r="G1465" i="3"/>
  <c r="H1465" i="3"/>
  <c r="D1466" i="3"/>
  <c r="E1466" i="3"/>
  <c r="F1466" i="3"/>
  <c r="G1466" i="3"/>
  <c r="H1466" i="3"/>
  <c r="D1467" i="3"/>
  <c r="E1467" i="3"/>
  <c r="F1467" i="3"/>
  <c r="G1467" i="3"/>
  <c r="H1467" i="3"/>
  <c r="D1468" i="3"/>
  <c r="E1468" i="3"/>
  <c r="F1468" i="3"/>
  <c r="G1468" i="3"/>
  <c r="H1468" i="3"/>
  <c r="D1469" i="3"/>
  <c r="E1469" i="3"/>
  <c r="F1469" i="3"/>
  <c r="G1469" i="3"/>
  <c r="H1469" i="3"/>
  <c r="H41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H2" i="10"/>
  <c r="G81" i="9"/>
  <c r="G80" i="9"/>
  <c r="G79" i="9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G65" i="9"/>
  <c r="G64" i="9"/>
  <c r="G63" i="9"/>
  <c r="G62" i="9"/>
  <c r="G61" i="9"/>
  <c r="G60" i="9"/>
  <c r="G59" i="9"/>
  <c r="G58" i="9"/>
  <c r="G57" i="9"/>
  <c r="G56" i="9"/>
  <c r="G55" i="9"/>
  <c r="G54" i="9"/>
  <c r="G53" i="9"/>
  <c r="G52" i="9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E5" i="8"/>
  <c r="E4" i="8"/>
  <c r="E3" i="8"/>
  <c r="E2" i="8"/>
  <c r="E6" i="7"/>
  <c r="E5" i="7"/>
  <c r="E4" i="7"/>
  <c r="E3" i="7"/>
  <c r="E2" i="7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E11" i="5"/>
  <c r="E10" i="5"/>
  <c r="E9" i="5"/>
  <c r="E8" i="5"/>
  <c r="E7" i="5"/>
  <c r="E6" i="5"/>
  <c r="E5" i="5"/>
  <c r="E4" i="5"/>
  <c r="E3" i="5"/>
  <c r="E2" i="5"/>
  <c r="D5" i="4"/>
  <c r="D4" i="4"/>
  <c r="D3" i="4"/>
  <c r="D2" i="4"/>
  <c r="H1430" i="3"/>
  <c r="G1430" i="3"/>
  <c r="F1430" i="3"/>
  <c r="E1430" i="3"/>
  <c r="D1430" i="3"/>
  <c r="J1430" i="3" s="1"/>
  <c r="H1429" i="3"/>
  <c r="G1429" i="3"/>
  <c r="F1429" i="3"/>
  <c r="E1429" i="3"/>
  <c r="D1429" i="3"/>
  <c r="H1428" i="3"/>
  <c r="G1428" i="3"/>
  <c r="F1428" i="3"/>
  <c r="E1428" i="3"/>
  <c r="D1428" i="3"/>
  <c r="H1427" i="3"/>
  <c r="G1427" i="3"/>
  <c r="F1427" i="3"/>
  <c r="E1427" i="3"/>
  <c r="D1427" i="3"/>
  <c r="H1426" i="3"/>
  <c r="G1426" i="3"/>
  <c r="F1426" i="3"/>
  <c r="E1426" i="3"/>
  <c r="D1426" i="3"/>
  <c r="H1425" i="3"/>
  <c r="G1425" i="3"/>
  <c r="F1425" i="3"/>
  <c r="E1425" i="3"/>
  <c r="D1425" i="3"/>
  <c r="H1424" i="3"/>
  <c r="G1424" i="3"/>
  <c r="F1424" i="3"/>
  <c r="E1424" i="3"/>
  <c r="D1424" i="3"/>
  <c r="H1423" i="3"/>
  <c r="G1423" i="3"/>
  <c r="F1423" i="3"/>
  <c r="E1423" i="3"/>
  <c r="D1423" i="3"/>
  <c r="H1422" i="3"/>
  <c r="G1422" i="3"/>
  <c r="F1422" i="3"/>
  <c r="E1422" i="3"/>
  <c r="D1422" i="3"/>
  <c r="H1421" i="3"/>
  <c r="G1421" i="3"/>
  <c r="F1421" i="3"/>
  <c r="E1421" i="3"/>
  <c r="D1421" i="3"/>
  <c r="H1420" i="3"/>
  <c r="G1420" i="3"/>
  <c r="F1420" i="3"/>
  <c r="E1420" i="3"/>
  <c r="D1420" i="3"/>
  <c r="H1419" i="3"/>
  <c r="G1419" i="3"/>
  <c r="F1419" i="3"/>
  <c r="E1419" i="3"/>
  <c r="D1419" i="3"/>
  <c r="H1418" i="3"/>
  <c r="G1418" i="3"/>
  <c r="F1418" i="3"/>
  <c r="E1418" i="3"/>
  <c r="D1418" i="3"/>
  <c r="H1417" i="3"/>
  <c r="G1417" i="3"/>
  <c r="F1417" i="3"/>
  <c r="E1417" i="3"/>
  <c r="D1417" i="3"/>
  <c r="H1416" i="3"/>
  <c r="G1416" i="3"/>
  <c r="F1416" i="3"/>
  <c r="E1416" i="3"/>
  <c r="D1416" i="3"/>
  <c r="H1415" i="3"/>
  <c r="G1415" i="3"/>
  <c r="F1415" i="3"/>
  <c r="E1415" i="3"/>
  <c r="D1415" i="3"/>
  <c r="H1414" i="3"/>
  <c r="G1414" i="3"/>
  <c r="F1414" i="3"/>
  <c r="E1414" i="3"/>
  <c r="D1414" i="3"/>
  <c r="H1413" i="3"/>
  <c r="G1413" i="3"/>
  <c r="F1413" i="3"/>
  <c r="E1413" i="3"/>
  <c r="D1413" i="3"/>
  <c r="H1412" i="3"/>
  <c r="G1412" i="3"/>
  <c r="F1412" i="3"/>
  <c r="E1412" i="3"/>
  <c r="D1412" i="3"/>
  <c r="H1411" i="3"/>
  <c r="G1411" i="3"/>
  <c r="F1411" i="3"/>
  <c r="E1411" i="3"/>
  <c r="D1411" i="3"/>
  <c r="H1410" i="3"/>
  <c r="G1410" i="3"/>
  <c r="F1410" i="3"/>
  <c r="E1410" i="3"/>
  <c r="D1410" i="3"/>
  <c r="H1409" i="3"/>
  <c r="G1409" i="3"/>
  <c r="F1409" i="3"/>
  <c r="E1409" i="3"/>
  <c r="D1409" i="3"/>
  <c r="H1408" i="3"/>
  <c r="G1408" i="3"/>
  <c r="F1408" i="3"/>
  <c r="E1408" i="3"/>
  <c r="D1408" i="3"/>
  <c r="H1407" i="3"/>
  <c r="G1407" i="3"/>
  <c r="F1407" i="3"/>
  <c r="E1407" i="3"/>
  <c r="D1407" i="3"/>
  <c r="H1406" i="3"/>
  <c r="G1406" i="3"/>
  <c r="F1406" i="3"/>
  <c r="E1406" i="3"/>
  <c r="D1406" i="3"/>
  <c r="H1405" i="3"/>
  <c r="G1405" i="3"/>
  <c r="F1405" i="3"/>
  <c r="E1405" i="3"/>
  <c r="D1405" i="3"/>
  <c r="H1404" i="3"/>
  <c r="G1404" i="3"/>
  <c r="F1404" i="3"/>
  <c r="E1404" i="3"/>
  <c r="D1404" i="3"/>
  <c r="H1403" i="3"/>
  <c r="G1403" i="3"/>
  <c r="F1403" i="3"/>
  <c r="E1403" i="3"/>
  <c r="D1403" i="3"/>
  <c r="H1402" i="3"/>
  <c r="G1402" i="3"/>
  <c r="F1402" i="3"/>
  <c r="E1402" i="3"/>
  <c r="D1402" i="3"/>
  <c r="H1401" i="3"/>
  <c r="G1401" i="3"/>
  <c r="F1401" i="3"/>
  <c r="E1401" i="3"/>
  <c r="D1401" i="3"/>
  <c r="H1400" i="3"/>
  <c r="G1400" i="3"/>
  <c r="F1400" i="3"/>
  <c r="E1400" i="3"/>
  <c r="D1400" i="3"/>
  <c r="H1399" i="3"/>
  <c r="G1399" i="3"/>
  <c r="F1399" i="3"/>
  <c r="E1399" i="3"/>
  <c r="D1399" i="3"/>
  <c r="H1398" i="3"/>
  <c r="G1398" i="3"/>
  <c r="F1398" i="3"/>
  <c r="E1398" i="3"/>
  <c r="D1398" i="3"/>
  <c r="H1397" i="3"/>
  <c r="G1397" i="3"/>
  <c r="F1397" i="3"/>
  <c r="E1397" i="3"/>
  <c r="D1397" i="3"/>
  <c r="H1396" i="3"/>
  <c r="G1396" i="3"/>
  <c r="F1396" i="3"/>
  <c r="E1396" i="3"/>
  <c r="D1396" i="3"/>
  <c r="H1395" i="3"/>
  <c r="G1395" i="3"/>
  <c r="F1395" i="3"/>
  <c r="E1395" i="3"/>
  <c r="D1395" i="3"/>
  <c r="H1394" i="3"/>
  <c r="G1394" i="3"/>
  <c r="F1394" i="3"/>
  <c r="E1394" i="3"/>
  <c r="D1394" i="3"/>
  <c r="H1393" i="3"/>
  <c r="G1393" i="3"/>
  <c r="F1393" i="3"/>
  <c r="E1393" i="3"/>
  <c r="D1393" i="3"/>
  <c r="H1392" i="3"/>
  <c r="G1392" i="3"/>
  <c r="F1392" i="3"/>
  <c r="E1392" i="3"/>
  <c r="D1392" i="3"/>
  <c r="H1391" i="3"/>
  <c r="G1391" i="3"/>
  <c r="F1391" i="3"/>
  <c r="E1391" i="3"/>
  <c r="D1391" i="3"/>
  <c r="H1390" i="3"/>
  <c r="G1390" i="3"/>
  <c r="F1390" i="3"/>
  <c r="E1390" i="3"/>
  <c r="D1390" i="3"/>
  <c r="H1389" i="3"/>
  <c r="G1389" i="3"/>
  <c r="F1389" i="3"/>
  <c r="E1389" i="3"/>
  <c r="D1389" i="3"/>
  <c r="H1388" i="3"/>
  <c r="G1388" i="3"/>
  <c r="F1388" i="3"/>
  <c r="E1388" i="3"/>
  <c r="D1388" i="3"/>
  <c r="H1387" i="3"/>
  <c r="G1387" i="3"/>
  <c r="F1387" i="3"/>
  <c r="E1387" i="3"/>
  <c r="D1387" i="3"/>
  <c r="H1386" i="3"/>
  <c r="G1386" i="3"/>
  <c r="F1386" i="3"/>
  <c r="E1386" i="3"/>
  <c r="D1386" i="3"/>
  <c r="H1385" i="3"/>
  <c r="G1385" i="3"/>
  <c r="F1385" i="3"/>
  <c r="E1385" i="3"/>
  <c r="D1385" i="3"/>
  <c r="H1384" i="3"/>
  <c r="G1384" i="3"/>
  <c r="F1384" i="3"/>
  <c r="E1384" i="3"/>
  <c r="D1384" i="3"/>
  <c r="H1383" i="3"/>
  <c r="G1383" i="3"/>
  <c r="F1383" i="3"/>
  <c r="E1383" i="3"/>
  <c r="D1383" i="3"/>
  <c r="H1382" i="3"/>
  <c r="G1382" i="3"/>
  <c r="F1382" i="3"/>
  <c r="E1382" i="3"/>
  <c r="D1382" i="3"/>
  <c r="H1381" i="3"/>
  <c r="G1381" i="3"/>
  <c r="F1381" i="3"/>
  <c r="E1381" i="3"/>
  <c r="D1381" i="3"/>
  <c r="H1380" i="3"/>
  <c r="G1380" i="3"/>
  <c r="F1380" i="3"/>
  <c r="E1380" i="3"/>
  <c r="D1380" i="3"/>
  <c r="H1379" i="3"/>
  <c r="G1379" i="3"/>
  <c r="F1379" i="3"/>
  <c r="E1379" i="3"/>
  <c r="D1379" i="3"/>
  <c r="H1378" i="3"/>
  <c r="G1378" i="3"/>
  <c r="F1378" i="3"/>
  <c r="E1378" i="3"/>
  <c r="D1378" i="3"/>
  <c r="H1377" i="3"/>
  <c r="G1377" i="3"/>
  <c r="F1377" i="3"/>
  <c r="E1377" i="3"/>
  <c r="D1377" i="3"/>
  <c r="H1376" i="3"/>
  <c r="G1376" i="3"/>
  <c r="F1376" i="3"/>
  <c r="E1376" i="3"/>
  <c r="D1376" i="3"/>
  <c r="H1375" i="3"/>
  <c r="G1375" i="3"/>
  <c r="F1375" i="3"/>
  <c r="E1375" i="3"/>
  <c r="D1375" i="3"/>
  <c r="H1374" i="3"/>
  <c r="G1374" i="3"/>
  <c r="F1374" i="3"/>
  <c r="E1374" i="3"/>
  <c r="D1374" i="3"/>
  <c r="H1373" i="3"/>
  <c r="G1373" i="3"/>
  <c r="F1373" i="3"/>
  <c r="E1373" i="3"/>
  <c r="D1373" i="3"/>
  <c r="H1372" i="3"/>
  <c r="G1372" i="3"/>
  <c r="F1372" i="3"/>
  <c r="E1372" i="3"/>
  <c r="D1372" i="3"/>
  <c r="H1371" i="3"/>
  <c r="G1371" i="3"/>
  <c r="F1371" i="3"/>
  <c r="E1371" i="3"/>
  <c r="D1371" i="3"/>
  <c r="H1370" i="3"/>
  <c r="G1370" i="3"/>
  <c r="F1370" i="3"/>
  <c r="E1370" i="3"/>
  <c r="D1370" i="3"/>
  <c r="H1369" i="3"/>
  <c r="G1369" i="3"/>
  <c r="F1369" i="3"/>
  <c r="E1369" i="3"/>
  <c r="D1369" i="3"/>
  <c r="H1368" i="3"/>
  <c r="G1368" i="3"/>
  <c r="F1368" i="3"/>
  <c r="E1368" i="3"/>
  <c r="D1368" i="3"/>
  <c r="H1367" i="3"/>
  <c r="G1367" i="3"/>
  <c r="F1367" i="3"/>
  <c r="E1367" i="3"/>
  <c r="D1367" i="3"/>
  <c r="H1366" i="3"/>
  <c r="G1366" i="3"/>
  <c r="F1366" i="3"/>
  <c r="E1366" i="3"/>
  <c r="D1366" i="3"/>
  <c r="H1365" i="3"/>
  <c r="G1365" i="3"/>
  <c r="F1365" i="3"/>
  <c r="E1365" i="3"/>
  <c r="D1365" i="3"/>
  <c r="H1364" i="3"/>
  <c r="G1364" i="3"/>
  <c r="F1364" i="3"/>
  <c r="E1364" i="3"/>
  <c r="D1364" i="3"/>
  <c r="H1363" i="3"/>
  <c r="G1363" i="3"/>
  <c r="F1363" i="3"/>
  <c r="E1363" i="3"/>
  <c r="D1363" i="3"/>
  <c r="H1362" i="3"/>
  <c r="G1362" i="3"/>
  <c r="F1362" i="3"/>
  <c r="E1362" i="3"/>
  <c r="D1362" i="3"/>
  <c r="H1361" i="3"/>
  <c r="G1361" i="3"/>
  <c r="F1361" i="3"/>
  <c r="E1361" i="3"/>
  <c r="D1361" i="3"/>
  <c r="H1360" i="3"/>
  <c r="G1360" i="3"/>
  <c r="F1360" i="3"/>
  <c r="E1360" i="3"/>
  <c r="D1360" i="3"/>
  <c r="H1359" i="3"/>
  <c r="G1359" i="3"/>
  <c r="F1359" i="3"/>
  <c r="E1359" i="3"/>
  <c r="D1359" i="3"/>
  <c r="H1358" i="3"/>
  <c r="G1358" i="3"/>
  <c r="F1358" i="3"/>
  <c r="E1358" i="3"/>
  <c r="D1358" i="3"/>
  <c r="H1357" i="3"/>
  <c r="G1357" i="3"/>
  <c r="F1357" i="3"/>
  <c r="E1357" i="3"/>
  <c r="D1357" i="3"/>
  <c r="H1356" i="3"/>
  <c r="G1356" i="3"/>
  <c r="F1356" i="3"/>
  <c r="E1356" i="3"/>
  <c r="D1356" i="3"/>
  <c r="H1355" i="3"/>
  <c r="G1355" i="3"/>
  <c r="F1355" i="3"/>
  <c r="E1355" i="3"/>
  <c r="D1355" i="3"/>
  <c r="H1354" i="3"/>
  <c r="G1354" i="3"/>
  <c r="F1354" i="3"/>
  <c r="E1354" i="3"/>
  <c r="D1354" i="3"/>
  <c r="H1353" i="3"/>
  <c r="G1353" i="3"/>
  <c r="F1353" i="3"/>
  <c r="E1353" i="3"/>
  <c r="D1353" i="3"/>
  <c r="H1352" i="3"/>
  <c r="G1352" i="3"/>
  <c r="F1352" i="3"/>
  <c r="E1352" i="3"/>
  <c r="D1352" i="3"/>
  <c r="H1351" i="3"/>
  <c r="G1351" i="3"/>
  <c r="F1351" i="3"/>
  <c r="E1351" i="3"/>
  <c r="D1351" i="3"/>
  <c r="H1350" i="3"/>
  <c r="G1350" i="3"/>
  <c r="F1350" i="3"/>
  <c r="E1350" i="3"/>
  <c r="D1350" i="3"/>
  <c r="H1349" i="3"/>
  <c r="G1349" i="3"/>
  <c r="F1349" i="3"/>
  <c r="E1349" i="3"/>
  <c r="D1349" i="3"/>
  <c r="H1348" i="3"/>
  <c r="G1348" i="3"/>
  <c r="F1348" i="3"/>
  <c r="E1348" i="3"/>
  <c r="D1348" i="3"/>
  <c r="H1347" i="3"/>
  <c r="G1347" i="3"/>
  <c r="F1347" i="3"/>
  <c r="E1347" i="3"/>
  <c r="D1347" i="3"/>
  <c r="H1346" i="3"/>
  <c r="G1346" i="3"/>
  <c r="F1346" i="3"/>
  <c r="E1346" i="3"/>
  <c r="D1346" i="3"/>
  <c r="H1345" i="3"/>
  <c r="G1345" i="3"/>
  <c r="F1345" i="3"/>
  <c r="E1345" i="3"/>
  <c r="D1345" i="3"/>
  <c r="H1344" i="3"/>
  <c r="G1344" i="3"/>
  <c r="F1344" i="3"/>
  <c r="E1344" i="3"/>
  <c r="D1344" i="3"/>
  <c r="H1343" i="3"/>
  <c r="G1343" i="3"/>
  <c r="F1343" i="3"/>
  <c r="E1343" i="3"/>
  <c r="D1343" i="3"/>
  <c r="H1342" i="3"/>
  <c r="G1342" i="3"/>
  <c r="F1342" i="3"/>
  <c r="E1342" i="3"/>
  <c r="D1342" i="3"/>
  <c r="H1341" i="3"/>
  <c r="G1341" i="3"/>
  <c r="F1341" i="3"/>
  <c r="E1341" i="3"/>
  <c r="D1341" i="3"/>
  <c r="H1340" i="3"/>
  <c r="G1340" i="3"/>
  <c r="F1340" i="3"/>
  <c r="E1340" i="3"/>
  <c r="D1340" i="3"/>
  <c r="H1339" i="3"/>
  <c r="G1339" i="3"/>
  <c r="F1339" i="3"/>
  <c r="E1339" i="3"/>
  <c r="D1339" i="3"/>
  <c r="H1338" i="3"/>
  <c r="G1338" i="3"/>
  <c r="F1338" i="3"/>
  <c r="E1338" i="3"/>
  <c r="D1338" i="3"/>
  <c r="H1337" i="3"/>
  <c r="G1337" i="3"/>
  <c r="F1337" i="3"/>
  <c r="E1337" i="3"/>
  <c r="D1337" i="3"/>
  <c r="H1336" i="3"/>
  <c r="G1336" i="3"/>
  <c r="F1336" i="3"/>
  <c r="E1336" i="3"/>
  <c r="D1336" i="3"/>
  <c r="H1335" i="3"/>
  <c r="G1335" i="3"/>
  <c r="F1335" i="3"/>
  <c r="E1335" i="3"/>
  <c r="D1335" i="3"/>
  <c r="H1334" i="3"/>
  <c r="G1334" i="3"/>
  <c r="F1334" i="3"/>
  <c r="E1334" i="3"/>
  <c r="D1334" i="3"/>
  <c r="H1333" i="3"/>
  <c r="G1333" i="3"/>
  <c r="F1333" i="3"/>
  <c r="E1333" i="3"/>
  <c r="D1333" i="3"/>
  <c r="H1332" i="3"/>
  <c r="G1332" i="3"/>
  <c r="F1332" i="3"/>
  <c r="E1332" i="3"/>
  <c r="D1332" i="3"/>
  <c r="H1331" i="3"/>
  <c r="G1331" i="3"/>
  <c r="F1331" i="3"/>
  <c r="E1331" i="3"/>
  <c r="D1331" i="3"/>
  <c r="H1330" i="3"/>
  <c r="G1330" i="3"/>
  <c r="F1330" i="3"/>
  <c r="E1330" i="3"/>
  <c r="D1330" i="3"/>
  <c r="H1329" i="3"/>
  <c r="G1329" i="3"/>
  <c r="F1329" i="3"/>
  <c r="E1329" i="3"/>
  <c r="D1329" i="3"/>
  <c r="H1328" i="3"/>
  <c r="G1328" i="3"/>
  <c r="F1328" i="3"/>
  <c r="E1328" i="3"/>
  <c r="D1328" i="3"/>
  <c r="H1327" i="3"/>
  <c r="G1327" i="3"/>
  <c r="F1327" i="3"/>
  <c r="E1327" i="3"/>
  <c r="D1327" i="3"/>
  <c r="H1326" i="3"/>
  <c r="G1326" i="3"/>
  <c r="F1326" i="3"/>
  <c r="E1326" i="3"/>
  <c r="D1326" i="3"/>
  <c r="H1325" i="3"/>
  <c r="G1325" i="3"/>
  <c r="F1325" i="3"/>
  <c r="E1325" i="3"/>
  <c r="D1325" i="3"/>
  <c r="H1324" i="3"/>
  <c r="G1324" i="3"/>
  <c r="F1324" i="3"/>
  <c r="E1324" i="3"/>
  <c r="D1324" i="3"/>
  <c r="H1323" i="3"/>
  <c r="G1323" i="3"/>
  <c r="F1323" i="3"/>
  <c r="E1323" i="3"/>
  <c r="D1323" i="3"/>
  <c r="H1322" i="3"/>
  <c r="G1322" i="3"/>
  <c r="F1322" i="3"/>
  <c r="E1322" i="3"/>
  <c r="D1322" i="3"/>
  <c r="H1321" i="3"/>
  <c r="G1321" i="3"/>
  <c r="F1321" i="3"/>
  <c r="E1321" i="3"/>
  <c r="D1321" i="3"/>
  <c r="H1320" i="3"/>
  <c r="G1320" i="3"/>
  <c r="F1320" i="3"/>
  <c r="E1320" i="3"/>
  <c r="D1320" i="3"/>
  <c r="H1319" i="3"/>
  <c r="G1319" i="3"/>
  <c r="F1319" i="3"/>
  <c r="E1319" i="3"/>
  <c r="D1319" i="3"/>
  <c r="H1318" i="3"/>
  <c r="G1318" i="3"/>
  <c r="F1318" i="3"/>
  <c r="E1318" i="3"/>
  <c r="D1318" i="3"/>
  <c r="H1317" i="3"/>
  <c r="G1317" i="3"/>
  <c r="F1317" i="3"/>
  <c r="E1317" i="3"/>
  <c r="D1317" i="3"/>
  <c r="H1316" i="3"/>
  <c r="G1316" i="3"/>
  <c r="F1316" i="3"/>
  <c r="E1316" i="3"/>
  <c r="D1316" i="3"/>
  <c r="H1315" i="3"/>
  <c r="G1315" i="3"/>
  <c r="F1315" i="3"/>
  <c r="E1315" i="3"/>
  <c r="D1315" i="3"/>
  <c r="H1314" i="3"/>
  <c r="G1314" i="3"/>
  <c r="F1314" i="3"/>
  <c r="E1314" i="3"/>
  <c r="D1314" i="3"/>
  <c r="H1313" i="3"/>
  <c r="G1313" i="3"/>
  <c r="F1313" i="3"/>
  <c r="E1313" i="3"/>
  <c r="D1313" i="3"/>
  <c r="H1312" i="3"/>
  <c r="G1312" i="3"/>
  <c r="F1312" i="3"/>
  <c r="E1312" i="3"/>
  <c r="D1312" i="3"/>
  <c r="H1311" i="3"/>
  <c r="G1311" i="3"/>
  <c r="F1311" i="3"/>
  <c r="E1311" i="3"/>
  <c r="D1311" i="3"/>
  <c r="H1310" i="3"/>
  <c r="G1310" i="3"/>
  <c r="F1310" i="3"/>
  <c r="E1310" i="3"/>
  <c r="D1310" i="3"/>
  <c r="H1309" i="3"/>
  <c r="G1309" i="3"/>
  <c r="F1309" i="3"/>
  <c r="E1309" i="3"/>
  <c r="D1309" i="3"/>
  <c r="H1308" i="3"/>
  <c r="G1308" i="3"/>
  <c r="F1308" i="3"/>
  <c r="E1308" i="3"/>
  <c r="D1308" i="3"/>
  <c r="H1307" i="3"/>
  <c r="G1307" i="3"/>
  <c r="F1307" i="3"/>
  <c r="E1307" i="3"/>
  <c r="D1307" i="3"/>
  <c r="H1306" i="3"/>
  <c r="G1306" i="3"/>
  <c r="F1306" i="3"/>
  <c r="E1306" i="3"/>
  <c r="D1306" i="3"/>
  <c r="H1305" i="3"/>
  <c r="G1305" i="3"/>
  <c r="F1305" i="3"/>
  <c r="E1305" i="3"/>
  <c r="D1305" i="3"/>
  <c r="H1304" i="3"/>
  <c r="G1304" i="3"/>
  <c r="F1304" i="3"/>
  <c r="E1304" i="3"/>
  <c r="D1304" i="3"/>
  <c r="H1303" i="3"/>
  <c r="G1303" i="3"/>
  <c r="F1303" i="3"/>
  <c r="E1303" i="3"/>
  <c r="D1303" i="3"/>
  <c r="H1302" i="3"/>
  <c r="G1302" i="3"/>
  <c r="F1302" i="3"/>
  <c r="E1302" i="3"/>
  <c r="D1302" i="3"/>
  <c r="H1301" i="3"/>
  <c r="G1301" i="3"/>
  <c r="F1301" i="3"/>
  <c r="E1301" i="3"/>
  <c r="D1301" i="3"/>
  <c r="H1300" i="3"/>
  <c r="G1300" i="3"/>
  <c r="F1300" i="3"/>
  <c r="E1300" i="3"/>
  <c r="D1300" i="3"/>
  <c r="H1299" i="3"/>
  <c r="G1299" i="3"/>
  <c r="F1299" i="3"/>
  <c r="E1299" i="3"/>
  <c r="D1299" i="3"/>
  <c r="H1298" i="3"/>
  <c r="G1298" i="3"/>
  <c r="F1298" i="3"/>
  <c r="E1298" i="3"/>
  <c r="D1298" i="3"/>
  <c r="H1297" i="3"/>
  <c r="G1297" i="3"/>
  <c r="F1297" i="3"/>
  <c r="E1297" i="3"/>
  <c r="D1297" i="3"/>
  <c r="H1296" i="3"/>
  <c r="G1296" i="3"/>
  <c r="F1296" i="3"/>
  <c r="E1296" i="3"/>
  <c r="D1296" i="3"/>
  <c r="H1295" i="3"/>
  <c r="G1295" i="3"/>
  <c r="F1295" i="3"/>
  <c r="E1295" i="3"/>
  <c r="D1295" i="3"/>
  <c r="H1294" i="3"/>
  <c r="G1294" i="3"/>
  <c r="F1294" i="3"/>
  <c r="E1294" i="3"/>
  <c r="D1294" i="3"/>
  <c r="H1293" i="3"/>
  <c r="G1293" i="3"/>
  <c r="F1293" i="3"/>
  <c r="E1293" i="3"/>
  <c r="D1293" i="3"/>
  <c r="H1292" i="3"/>
  <c r="G1292" i="3"/>
  <c r="F1292" i="3"/>
  <c r="E1292" i="3"/>
  <c r="D1292" i="3"/>
  <c r="H1291" i="3"/>
  <c r="G1291" i="3"/>
  <c r="F1291" i="3"/>
  <c r="E1291" i="3"/>
  <c r="D1291" i="3"/>
  <c r="H1290" i="3"/>
  <c r="G1290" i="3"/>
  <c r="F1290" i="3"/>
  <c r="E1290" i="3"/>
  <c r="D1290" i="3"/>
  <c r="H1289" i="3"/>
  <c r="G1289" i="3"/>
  <c r="F1289" i="3"/>
  <c r="E1289" i="3"/>
  <c r="D1289" i="3"/>
  <c r="H1288" i="3"/>
  <c r="G1288" i="3"/>
  <c r="F1288" i="3"/>
  <c r="E1288" i="3"/>
  <c r="D1288" i="3"/>
  <c r="H1287" i="3"/>
  <c r="G1287" i="3"/>
  <c r="F1287" i="3"/>
  <c r="E1287" i="3"/>
  <c r="D1287" i="3"/>
  <c r="H1286" i="3"/>
  <c r="G1286" i="3"/>
  <c r="F1286" i="3"/>
  <c r="E1286" i="3"/>
  <c r="D1286" i="3"/>
  <c r="H1285" i="3"/>
  <c r="G1285" i="3"/>
  <c r="F1285" i="3"/>
  <c r="E1285" i="3"/>
  <c r="D1285" i="3"/>
  <c r="H1284" i="3"/>
  <c r="G1284" i="3"/>
  <c r="F1284" i="3"/>
  <c r="E1284" i="3"/>
  <c r="D1284" i="3"/>
  <c r="H1283" i="3"/>
  <c r="G1283" i="3"/>
  <c r="F1283" i="3"/>
  <c r="E1283" i="3"/>
  <c r="D1283" i="3"/>
  <c r="H1282" i="3"/>
  <c r="G1282" i="3"/>
  <c r="F1282" i="3"/>
  <c r="E1282" i="3"/>
  <c r="D1282" i="3"/>
  <c r="H1281" i="3"/>
  <c r="G1281" i="3"/>
  <c r="F1281" i="3"/>
  <c r="E1281" i="3"/>
  <c r="D1281" i="3"/>
  <c r="H1280" i="3"/>
  <c r="G1280" i="3"/>
  <c r="F1280" i="3"/>
  <c r="E1280" i="3"/>
  <c r="D1280" i="3"/>
  <c r="H1279" i="3"/>
  <c r="G1279" i="3"/>
  <c r="F1279" i="3"/>
  <c r="E1279" i="3"/>
  <c r="D1279" i="3"/>
  <c r="H1278" i="3"/>
  <c r="G1278" i="3"/>
  <c r="F1278" i="3"/>
  <c r="E1278" i="3"/>
  <c r="D1278" i="3"/>
  <c r="H1277" i="3"/>
  <c r="G1277" i="3"/>
  <c r="F1277" i="3"/>
  <c r="E1277" i="3"/>
  <c r="D1277" i="3"/>
  <c r="H1276" i="3"/>
  <c r="G1276" i="3"/>
  <c r="F1276" i="3"/>
  <c r="E1276" i="3"/>
  <c r="D1276" i="3"/>
  <c r="H1275" i="3"/>
  <c r="G1275" i="3"/>
  <c r="F1275" i="3"/>
  <c r="E1275" i="3"/>
  <c r="D1275" i="3"/>
  <c r="H1274" i="3"/>
  <c r="G1274" i="3"/>
  <c r="F1274" i="3"/>
  <c r="E1274" i="3"/>
  <c r="D1274" i="3"/>
  <c r="H1273" i="3"/>
  <c r="G1273" i="3"/>
  <c r="F1273" i="3"/>
  <c r="E1273" i="3"/>
  <c r="D1273" i="3"/>
  <c r="H1272" i="3"/>
  <c r="G1272" i="3"/>
  <c r="F1272" i="3"/>
  <c r="E1272" i="3"/>
  <c r="D1272" i="3"/>
  <c r="H1271" i="3"/>
  <c r="G1271" i="3"/>
  <c r="F1271" i="3"/>
  <c r="E1271" i="3"/>
  <c r="D1271" i="3"/>
  <c r="H1270" i="3"/>
  <c r="G1270" i="3"/>
  <c r="F1270" i="3"/>
  <c r="E1270" i="3"/>
  <c r="D1270" i="3"/>
  <c r="H1269" i="3"/>
  <c r="G1269" i="3"/>
  <c r="F1269" i="3"/>
  <c r="E1269" i="3"/>
  <c r="D1269" i="3"/>
  <c r="H1268" i="3"/>
  <c r="G1268" i="3"/>
  <c r="F1268" i="3"/>
  <c r="E1268" i="3"/>
  <c r="D1268" i="3"/>
  <c r="H1267" i="3"/>
  <c r="G1267" i="3"/>
  <c r="F1267" i="3"/>
  <c r="E1267" i="3"/>
  <c r="D1267" i="3"/>
  <c r="H1266" i="3"/>
  <c r="G1266" i="3"/>
  <c r="F1266" i="3"/>
  <c r="E1266" i="3"/>
  <c r="D1266" i="3"/>
  <c r="H1265" i="3"/>
  <c r="G1265" i="3"/>
  <c r="F1265" i="3"/>
  <c r="E1265" i="3"/>
  <c r="D1265" i="3"/>
  <c r="H1264" i="3"/>
  <c r="G1264" i="3"/>
  <c r="F1264" i="3"/>
  <c r="E1264" i="3"/>
  <c r="D1264" i="3"/>
  <c r="H1263" i="3"/>
  <c r="G1263" i="3"/>
  <c r="F1263" i="3"/>
  <c r="E1263" i="3"/>
  <c r="D1263" i="3"/>
  <c r="H1262" i="3"/>
  <c r="G1262" i="3"/>
  <c r="F1262" i="3"/>
  <c r="E1262" i="3"/>
  <c r="D1262" i="3"/>
  <c r="H1261" i="3"/>
  <c r="G1261" i="3"/>
  <c r="F1261" i="3"/>
  <c r="E1261" i="3"/>
  <c r="D1261" i="3"/>
  <c r="H1260" i="3"/>
  <c r="G1260" i="3"/>
  <c r="F1260" i="3"/>
  <c r="E1260" i="3"/>
  <c r="D1260" i="3"/>
  <c r="H1259" i="3"/>
  <c r="G1259" i="3"/>
  <c r="F1259" i="3"/>
  <c r="E1259" i="3"/>
  <c r="D1259" i="3"/>
  <c r="H1258" i="3"/>
  <c r="G1258" i="3"/>
  <c r="F1258" i="3"/>
  <c r="E1258" i="3"/>
  <c r="D1258" i="3"/>
  <c r="H1257" i="3"/>
  <c r="G1257" i="3"/>
  <c r="F1257" i="3"/>
  <c r="E1257" i="3"/>
  <c r="D1257" i="3"/>
  <c r="H1256" i="3"/>
  <c r="G1256" i="3"/>
  <c r="F1256" i="3"/>
  <c r="E1256" i="3"/>
  <c r="D1256" i="3"/>
  <c r="H1255" i="3"/>
  <c r="G1255" i="3"/>
  <c r="F1255" i="3"/>
  <c r="E1255" i="3"/>
  <c r="D1255" i="3"/>
  <c r="H1254" i="3"/>
  <c r="G1254" i="3"/>
  <c r="F1254" i="3"/>
  <c r="E1254" i="3"/>
  <c r="D1254" i="3"/>
  <c r="H1253" i="3"/>
  <c r="G1253" i="3"/>
  <c r="F1253" i="3"/>
  <c r="E1253" i="3"/>
  <c r="D1253" i="3"/>
  <c r="H1252" i="3"/>
  <c r="G1252" i="3"/>
  <c r="F1252" i="3"/>
  <c r="E1252" i="3"/>
  <c r="D1252" i="3"/>
  <c r="H1251" i="3"/>
  <c r="G1251" i="3"/>
  <c r="F1251" i="3"/>
  <c r="E1251" i="3"/>
  <c r="D1251" i="3"/>
  <c r="H1250" i="3"/>
  <c r="G1250" i="3"/>
  <c r="F1250" i="3"/>
  <c r="E1250" i="3"/>
  <c r="D1250" i="3"/>
  <c r="H1249" i="3"/>
  <c r="G1249" i="3"/>
  <c r="F1249" i="3"/>
  <c r="E1249" i="3"/>
  <c r="D1249" i="3"/>
  <c r="H1248" i="3"/>
  <c r="G1248" i="3"/>
  <c r="F1248" i="3"/>
  <c r="E1248" i="3"/>
  <c r="D1248" i="3"/>
  <c r="H1247" i="3"/>
  <c r="G1247" i="3"/>
  <c r="F1247" i="3"/>
  <c r="E1247" i="3"/>
  <c r="D1247" i="3"/>
  <c r="H1246" i="3"/>
  <c r="G1246" i="3"/>
  <c r="F1246" i="3"/>
  <c r="E1246" i="3"/>
  <c r="D1246" i="3"/>
  <c r="H1245" i="3"/>
  <c r="G1245" i="3"/>
  <c r="F1245" i="3"/>
  <c r="E1245" i="3"/>
  <c r="D1245" i="3"/>
  <c r="H1244" i="3"/>
  <c r="G1244" i="3"/>
  <c r="F1244" i="3"/>
  <c r="E1244" i="3"/>
  <c r="D1244" i="3"/>
  <c r="H1243" i="3"/>
  <c r="G1243" i="3"/>
  <c r="F1243" i="3"/>
  <c r="E1243" i="3"/>
  <c r="D1243" i="3"/>
  <c r="H1242" i="3"/>
  <c r="G1242" i="3"/>
  <c r="F1242" i="3"/>
  <c r="E1242" i="3"/>
  <c r="D1242" i="3"/>
  <c r="H1241" i="3"/>
  <c r="G1241" i="3"/>
  <c r="F1241" i="3"/>
  <c r="E1241" i="3"/>
  <c r="D1241" i="3"/>
  <c r="H1240" i="3"/>
  <c r="G1240" i="3"/>
  <c r="F1240" i="3"/>
  <c r="E1240" i="3"/>
  <c r="D1240" i="3"/>
  <c r="H1239" i="3"/>
  <c r="G1239" i="3"/>
  <c r="F1239" i="3"/>
  <c r="E1239" i="3"/>
  <c r="D1239" i="3"/>
  <c r="H1238" i="3"/>
  <c r="G1238" i="3"/>
  <c r="F1238" i="3"/>
  <c r="E1238" i="3"/>
  <c r="D1238" i="3"/>
  <c r="H1237" i="3"/>
  <c r="G1237" i="3"/>
  <c r="F1237" i="3"/>
  <c r="E1237" i="3"/>
  <c r="D1237" i="3"/>
  <c r="H1236" i="3"/>
  <c r="G1236" i="3"/>
  <c r="F1236" i="3"/>
  <c r="E1236" i="3"/>
  <c r="D1236" i="3"/>
  <c r="H1235" i="3"/>
  <c r="G1235" i="3"/>
  <c r="F1235" i="3"/>
  <c r="E1235" i="3"/>
  <c r="D1235" i="3"/>
  <c r="H1234" i="3"/>
  <c r="G1234" i="3"/>
  <c r="F1234" i="3"/>
  <c r="E1234" i="3"/>
  <c r="D1234" i="3"/>
  <c r="H1233" i="3"/>
  <c r="G1233" i="3"/>
  <c r="F1233" i="3"/>
  <c r="E1233" i="3"/>
  <c r="D1233" i="3"/>
  <c r="H1232" i="3"/>
  <c r="G1232" i="3"/>
  <c r="F1232" i="3"/>
  <c r="E1232" i="3"/>
  <c r="D1232" i="3"/>
  <c r="H1231" i="3"/>
  <c r="G1231" i="3"/>
  <c r="F1231" i="3"/>
  <c r="E1231" i="3"/>
  <c r="D1231" i="3"/>
  <c r="H1230" i="3"/>
  <c r="G1230" i="3"/>
  <c r="F1230" i="3"/>
  <c r="E1230" i="3"/>
  <c r="D1230" i="3"/>
  <c r="H1229" i="3"/>
  <c r="G1229" i="3"/>
  <c r="F1229" i="3"/>
  <c r="E1229" i="3"/>
  <c r="D1229" i="3"/>
  <c r="H1228" i="3"/>
  <c r="G1228" i="3"/>
  <c r="F1228" i="3"/>
  <c r="E1228" i="3"/>
  <c r="D1228" i="3"/>
  <c r="H1227" i="3"/>
  <c r="G1227" i="3"/>
  <c r="F1227" i="3"/>
  <c r="E1227" i="3"/>
  <c r="D1227" i="3"/>
  <c r="H1226" i="3"/>
  <c r="G1226" i="3"/>
  <c r="F1226" i="3"/>
  <c r="E1226" i="3"/>
  <c r="D1226" i="3"/>
  <c r="H1225" i="3"/>
  <c r="G1225" i="3"/>
  <c r="F1225" i="3"/>
  <c r="E1225" i="3"/>
  <c r="D1225" i="3"/>
  <c r="H1224" i="3"/>
  <c r="G1224" i="3"/>
  <c r="F1224" i="3"/>
  <c r="E1224" i="3"/>
  <c r="D1224" i="3"/>
  <c r="H1223" i="3"/>
  <c r="G1223" i="3"/>
  <c r="F1223" i="3"/>
  <c r="E1223" i="3"/>
  <c r="D1223" i="3"/>
  <c r="H1222" i="3"/>
  <c r="G1222" i="3"/>
  <c r="F1222" i="3"/>
  <c r="E1222" i="3"/>
  <c r="D1222" i="3"/>
  <c r="H1221" i="3"/>
  <c r="G1221" i="3"/>
  <c r="F1221" i="3"/>
  <c r="E1221" i="3"/>
  <c r="D1221" i="3"/>
  <c r="H1220" i="3"/>
  <c r="G1220" i="3"/>
  <c r="F1220" i="3"/>
  <c r="E1220" i="3"/>
  <c r="D1220" i="3"/>
  <c r="H1219" i="3"/>
  <c r="G1219" i="3"/>
  <c r="F1219" i="3"/>
  <c r="E1219" i="3"/>
  <c r="D1219" i="3"/>
  <c r="H1218" i="3"/>
  <c r="G1218" i="3"/>
  <c r="F1218" i="3"/>
  <c r="E1218" i="3"/>
  <c r="D1218" i="3"/>
  <c r="H1217" i="3"/>
  <c r="G1217" i="3"/>
  <c r="F1217" i="3"/>
  <c r="E1217" i="3"/>
  <c r="D1217" i="3"/>
  <c r="H1216" i="3"/>
  <c r="G1216" i="3"/>
  <c r="F1216" i="3"/>
  <c r="E1216" i="3"/>
  <c r="D1216" i="3"/>
  <c r="H1215" i="3"/>
  <c r="G1215" i="3"/>
  <c r="F1215" i="3"/>
  <c r="E1215" i="3"/>
  <c r="D1215" i="3"/>
  <c r="H1214" i="3"/>
  <c r="G1214" i="3"/>
  <c r="F1214" i="3"/>
  <c r="E1214" i="3"/>
  <c r="D1214" i="3"/>
  <c r="H1213" i="3"/>
  <c r="G1213" i="3"/>
  <c r="F1213" i="3"/>
  <c r="E1213" i="3"/>
  <c r="D1213" i="3"/>
  <c r="H1212" i="3"/>
  <c r="G1212" i="3"/>
  <c r="F1212" i="3"/>
  <c r="E1212" i="3"/>
  <c r="D1212" i="3"/>
  <c r="H1211" i="3"/>
  <c r="G1211" i="3"/>
  <c r="F1211" i="3"/>
  <c r="E1211" i="3"/>
  <c r="D1211" i="3"/>
  <c r="H1210" i="3"/>
  <c r="G1210" i="3"/>
  <c r="F1210" i="3"/>
  <c r="E1210" i="3"/>
  <c r="D1210" i="3"/>
  <c r="H1209" i="3"/>
  <c r="G1209" i="3"/>
  <c r="F1209" i="3"/>
  <c r="E1209" i="3"/>
  <c r="D1209" i="3"/>
  <c r="H1208" i="3"/>
  <c r="G1208" i="3"/>
  <c r="F1208" i="3"/>
  <c r="E1208" i="3"/>
  <c r="D1208" i="3"/>
  <c r="H1207" i="3"/>
  <c r="G1207" i="3"/>
  <c r="F1207" i="3"/>
  <c r="E1207" i="3"/>
  <c r="D1207" i="3"/>
  <c r="H1206" i="3"/>
  <c r="G1206" i="3"/>
  <c r="F1206" i="3"/>
  <c r="E1206" i="3"/>
  <c r="D1206" i="3"/>
  <c r="H1205" i="3"/>
  <c r="G1205" i="3"/>
  <c r="F1205" i="3"/>
  <c r="E1205" i="3"/>
  <c r="D1205" i="3"/>
  <c r="H1204" i="3"/>
  <c r="G1204" i="3"/>
  <c r="F1204" i="3"/>
  <c r="E1204" i="3"/>
  <c r="D1204" i="3"/>
  <c r="H1203" i="3"/>
  <c r="G1203" i="3"/>
  <c r="F1203" i="3"/>
  <c r="E1203" i="3"/>
  <c r="D1203" i="3"/>
  <c r="H1202" i="3"/>
  <c r="G1202" i="3"/>
  <c r="F1202" i="3"/>
  <c r="E1202" i="3"/>
  <c r="D1202" i="3"/>
  <c r="H1201" i="3"/>
  <c r="G1201" i="3"/>
  <c r="F1201" i="3"/>
  <c r="E1201" i="3"/>
  <c r="D1201" i="3"/>
  <c r="H1200" i="3"/>
  <c r="G1200" i="3"/>
  <c r="F1200" i="3"/>
  <c r="E1200" i="3"/>
  <c r="D1200" i="3"/>
  <c r="H1199" i="3"/>
  <c r="G1199" i="3"/>
  <c r="F1199" i="3"/>
  <c r="E1199" i="3"/>
  <c r="D1199" i="3"/>
  <c r="H1198" i="3"/>
  <c r="G1198" i="3"/>
  <c r="F1198" i="3"/>
  <c r="E1198" i="3"/>
  <c r="D1198" i="3"/>
  <c r="H1197" i="3"/>
  <c r="G1197" i="3"/>
  <c r="F1197" i="3"/>
  <c r="E1197" i="3"/>
  <c r="D1197" i="3"/>
  <c r="H1196" i="3"/>
  <c r="G1196" i="3"/>
  <c r="F1196" i="3"/>
  <c r="E1196" i="3"/>
  <c r="D1196" i="3"/>
  <c r="H1195" i="3"/>
  <c r="G1195" i="3"/>
  <c r="F1195" i="3"/>
  <c r="E1195" i="3"/>
  <c r="D1195" i="3"/>
  <c r="H1194" i="3"/>
  <c r="G1194" i="3"/>
  <c r="F1194" i="3"/>
  <c r="E1194" i="3"/>
  <c r="D1194" i="3"/>
  <c r="H1193" i="3"/>
  <c r="G1193" i="3"/>
  <c r="F1193" i="3"/>
  <c r="E1193" i="3"/>
  <c r="D1193" i="3"/>
  <c r="H1192" i="3"/>
  <c r="G1192" i="3"/>
  <c r="F1192" i="3"/>
  <c r="E1192" i="3"/>
  <c r="D1192" i="3"/>
  <c r="H1191" i="3"/>
  <c r="G1191" i="3"/>
  <c r="F1191" i="3"/>
  <c r="E1191" i="3"/>
  <c r="D1191" i="3"/>
  <c r="H1190" i="3"/>
  <c r="G1190" i="3"/>
  <c r="F1190" i="3"/>
  <c r="E1190" i="3"/>
  <c r="D1190" i="3"/>
  <c r="H1189" i="3"/>
  <c r="G1189" i="3"/>
  <c r="F1189" i="3"/>
  <c r="E1189" i="3"/>
  <c r="D1189" i="3"/>
  <c r="H1188" i="3"/>
  <c r="G1188" i="3"/>
  <c r="F1188" i="3"/>
  <c r="E1188" i="3"/>
  <c r="D1188" i="3"/>
  <c r="H1187" i="3"/>
  <c r="G1187" i="3"/>
  <c r="F1187" i="3"/>
  <c r="E1187" i="3"/>
  <c r="D1187" i="3"/>
  <c r="H1186" i="3"/>
  <c r="G1186" i="3"/>
  <c r="F1186" i="3"/>
  <c r="E1186" i="3"/>
  <c r="D1186" i="3"/>
  <c r="H1185" i="3"/>
  <c r="G1185" i="3"/>
  <c r="F1185" i="3"/>
  <c r="E1185" i="3"/>
  <c r="D1185" i="3"/>
  <c r="H1184" i="3"/>
  <c r="G1184" i="3"/>
  <c r="F1184" i="3"/>
  <c r="E1184" i="3"/>
  <c r="D1184" i="3"/>
  <c r="H1183" i="3"/>
  <c r="G1183" i="3"/>
  <c r="F1183" i="3"/>
  <c r="E1183" i="3"/>
  <c r="D1183" i="3"/>
  <c r="H1182" i="3"/>
  <c r="G1182" i="3"/>
  <c r="F1182" i="3"/>
  <c r="E1182" i="3"/>
  <c r="D1182" i="3"/>
  <c r="H1181" i="3"/>
  <c r="G1181" i="3"/>
  <c r="F1181" i="3"/>
  <c r="E1181" i="3"/>
  <c r="D1181" i="3"/>
  <c r="H1180" i="3"/>
  <c r="G1180" i="3"/>
  <c r="F1180" i="3"/>
  <c r="E1180" i="3"/>
  <c r="D1180" i="3"/>
  <c r="H1179" i="3"/>
  <c r="G1179" i="3"/>
  <c r="F1179" i="3"/>
  <c r="E1179" i="3"/>
  <c r="D1179" i="3"/>
  <c r="H1178" i="3"/>
  <c r="G1178" i="3"/>
  <c r="F1178" i="3"/>
  <c r="E1178" i="3"/>
  <c r="D1178" i="3"/>
  <c r="H1177" i="3"/>
  <c r="G1177" i="3"/>
  <c r="F1177" i="3"/>
  <c r="E1177" i="3"/>
  <c r="D1177" i="3"/>
  <c r="H1176" i="3"/>
  <c r="G1176" i="3"/>
  <c r="F1176" i="3"/>
  <c r="E1176" i="3"/>
  <c r="D1176" i="3"/>
  <c r="H1175" i="3"/>
  <c r="G1175" i="3"/>
  <c r="F1175" i="3"/>
  <c r="E1175" i="3"/>
  <c r="D1175" i="3"/>
  <c r="H1174" i="3"/>
  <c r="G1174" i="3"/>
  <c r="F1174" i="3"/>
  <c r="E1174" i="3"/>
  <c r="D1174" i="3"/>
  <c r="H1173" i="3"/>
  <c r="G1173" i="3"/>
  <c r="F1173" i="3"/>
  <c r="E1173" i="3"/>
  <c r="D1173" i="3"/>
  <c r="H1172" i="3"/>
  <c r="G1172" i="3"/>
  <c r="F1172" i="3"/>
  <c r="E1172" i="3"/>
  <c r="D1172" i="3"/>
  <c r="H1171" i="3"/>
  <c r="G1171" i="3"/>
  <c r="F1171" i="3"/>
  <c r="E1171" i="3"/>
  <c r="D1171" i="3"/>
  <c r="H1170" i="3"/>
  <c r="G1170" i="3"/>
  <c r="F1170" i="3"/>
  <c r="E1170" i="3"/>
  <c r="D1170" i="3"/>
  <c r="H1169" i="3"/>
  <c r="G1169" i="3"/>
  <c r="F1169" i="3"/>
  <c r="E1169" i="3"/>
  <c r="D1169" i="3"/>
  <c r="H1168" i="3"/>
  <c r="G1168" i="3"/>
  <c r="F1168" i="3"/>
  <c r="E1168" i="3"/>
  <c r="D1168" i="3"/>
  <c r="H1167" i="3"/>
  <c r="G1167" i="3"/>
  <c r="F1167" i="3"/>
  <c r="E1167" i="3"/>
  <c r="D1167" i="3"/>
  <c r="H1166" i="3"/>
  <c r="G1166" i="3"/>
  <c r="F1166" i="3"/>
  <c r="E1166" i="3"/>
  <c r="D1166" i="3"/>
  <c r="H1165" i="3"/>
  <c r="G1165" i="3"/>
  <c r="F1165" i="3"/>
  <c r="E1165" i="3"/>
  <c r="D1165" i="3"/>
  <c r="H1164" i="3"/>
  <c r="G1164" i="3"/>
  <c r="F1164" i="3"/>
  <c r="E1164" i="3"/>
  <c r="D1164" i="3"/>
  <c r="H1163" i="3"/>
  <c r="G1163" i="3"/>
  <c r="F1163" i="3"/>
  <c r="E1163" i="3"/>
  <c r="D1163" i="3"/>
  <c r="H1162" i="3"/>
  <c r="G1162" i="3"/>
  <c r="F1162" i="3"/>
  <c r="E1162" i="3"/>
  <c r="D1162" i="3"/>
  <c r="H1161" i="3"/>
  <c r="G1161" i="3"/>
  <c r="F1161" i="3"/>
  <c r="E1161" i="3"/>
  <c r="D1161" i="3"/>
  <c r="H1160" i="3"/>
  <c r="G1160" i="3"/>
  <c r="F1160" i="3"/>
  <c r="E1160" i="3"/>
  <c r="D1160" i="3"/>
  <c r="H1159" i="3"/>
  <c r="G1159" i="3"/>
  <c r="F1159" i="3"/>
  <c r="E1159" i="3"/>
  <c r="D1159" i="3"/>
  <c r="H1158" i="3"/>
  <c r="G1158" i="3"/>
  <c r="F1158" i="3"/>
  <c r="E1158" i="3"/>
  <c r="D1158" i="3"/>
  <c r="H1157" i="3"/>
  <c r="G1157" i="3"/>
  <c r="F1157" i="3"/>
  <c r="E1157" i="3"/>
  <c r="D1157" i="3"/>
  <c r="H1156" i="3"/>
  <c r="G1156" i="3"/>
  <c r="F1156" i="3"/>
  <c r="E1156" i="3"/>
  <c r="D1156" i="3"/>
  <c r="H1155" i="3"/>
  <c r="G1155" i="3"/>
  <c r="F1155" i="3"/>
  <c r="E1155" i="3"/>
  <c r="D1155" i="3"/>
  <c r="H1154" i="3"/>
  <c r="G1154" i="3"/>
  <c r="F1154" i="3"/>
  <c r="E1154" i="3"/>
  <c r="D1154" i="3"/>
  <c r="H1153" i="3"/>
  <c r="G1153" i="3"/>
  <c r="F1153" i="3"/>
  <c r="E1153" i="3"/>
  <c r="D1153" i="3"/>
  <c r="H1152" i="3"/>
  <c r="G1152" i="3"/>
  <c r="F1152" i="3"/>
  <c r="E1152" i="3"/>
  <c r="D1152" i="3"/>
  <c r="H1151" i="3"/>
  <c r="G1151" i="3"/>
  <c r="F1151" i="3"/>
  <c r="E1151" i="3"/>
  <c r="D1151" i="3"/>
  <c r="H1150" i="3"/>
  <c r="G1150" i="3"/>
  <c r="F1150" i="3"/>
  <c r="E1150" i="3"/>
  <c r="D1150" i="3"/>
  <c r="H1149" i="3"/>
  <c r="G1149" i="3"/>
  <c r="F1149" i="3"/>
  <c r="E1149" i="3"/>
  <c r="D1149" i="3"/>
  <c r="H1148" i="3"/>
  <c r="G1148" i="3"/>
  <c r="F1148" i="3"/>
  <c r="E1148" i="3"/>
  <c r="D1148" i="3"/>
  <c r="H1147" i="3"/>
  <c r="G1147" i="3"/>
  <c r="F1147" i="3"/>
  <c r="E1147" i="3"/>
  <c r="D1147" i="3"/>
  <c r="H1146" i="3"/>
  <c r="G1146" i="3"/>
  <c r="F1146" i="3"/>
  <c r="E1146" i="3"/>
  <c r="D1146" i="3"/>
  <c r="H1145" i="3"/>
  <c r="G1145" i="3"/>
  <c r="F1145" i="3"/>
  <c r="E1145" i="3"/>
  <c r="D1145" i="3"/>
  <c r="H1144" i="3"/>
  <c r="G1144" i="3"/>
  <c r="F1144" i="3"/>
  <c r="E1144" i="3"/>
  <c r="D1144" i="3"/>
  <c r="H1143" i="3"/>
  <c r="G1143" i="3"/>
  <c r="F1143" i="3"/>
  <c r="E1143" i="3"/>
  <c r="D1143" i="3"/>
  <c r="H1142" i="3"/>
  <c r="G1142" i="3"/>
  <c r="F1142" i="3"/>
  <c r="E1142" i="3"/>
  <c r="D1142" i="3"/>
  <c r="H1141" i="3"/>
  <c r="G1141" i="3"/>
  <c r="F1141" i="3"/>
  <c r="E1141" i="3"/>
  <c r="D1141" i="3"/>
  <c r="H1140" i="3"/>
  <c r="G1140" i="3"/>
  <c r="F1140" i="3"/>
  <c r="E1140" i="3"/>
  <c r="D1140" i="3"/>
  <c r="H1139" i="3"/>
  <c r="G1139" i="3"/>
  <c r="F1139" i="3"/>
  <c r="E1139" i="3"/>
  <c r="D1139" i="3"/>
  <c r="H1138" i="3"/>
  <c r="G1138" i="3"/>
  <c r="F1138" i="3"/>
  <c r="E1138" i="3"/>
  <c r="D1138" i="3"/>
  <c r="H1137" i="3"/>
  <c r="G1137" i="3"/>
  <c r="F1137" i="3"/>
  <c r="E1137" i="3"/>
  <c r="D1137" i="3"/>
  <c r="H1136" i="3"/>
  <c r="G1136" i="3"/>
  <c r="F1136" i="3"/>
  <c r="E1136" i="3"/>
  <c r="D1136" i="3"/>
  <c r="H1135" i="3"/>
  <c r="G1135" i="3"/>
  <c r="F1135" i="3"/>
  <c r="E1135" i="3"/>
  <c r="D1135" i="3"/>
  <c r="H1134" i="3"/>
  <c r="G1134" i="3"/>
  <c r="F1134" i="3"/>
  <c r="E1134" i="3"/>
  <c r="D1134" i="3"/>
  <c r="H1133" i="3"/>
  <c r="G1133" i="3"/>
  <c r="F1133" i="3"/>
  <c r="E1133" i="3"/>
  <c r="D1133" i="3"/>
  <c r="H1132" i="3"/>
  <c r="G1132" i="3"/>
  <c r="F1132" i="3"/>
  <c r="E1132" i="3"/>
  <c r="D1132" i="3"/>
  <c r="H1131" i="3"/>
  <c r="G1131" i="3"/>
  <c r="F1131" i="3"/>
  <c r="E1131" i="3"/>
  <c r="D1131" i="3"/>
  <c r="H1130" i="3"/>
  <c r="G1130" i="3"/>
  <c r="F1130" i="3"/>
  <c r="E1130" i="3"/>
  <c r="D1130" i="3"/>
  <c r="H1129" i="3"/>
  <c r="G1129" i="3"/>
  <c r="F1129" i="3"/>
  <c r="E1129" i="3"/>
  <c r="D1129" i="3"/>
  <c r="H1128" i="3"/>
  <c r="G1128" i="3"/>
  <c r="F1128" i="3"/>
  <c r="E1128" i="3"/>
  <c r="D1128" i="3"/>
  <c r="H1127" i="3"/>
  <c r="G1127" i="3"/>
  <c r="F1127" i="3"/>
  <c r="E1127" i="3"/>
  <c r="D1127" i="3"/>
  <c r="H1126" i="3"/>
  <c r="G1126" i="3"/>
  <c r="F1126" i="3"/>
  <c r="E1126" i="3"/>
  <c r="D1126" i="3"/>
  <c r="H1125" i="3"/>
  <c r="G1125" i="3"/>
  <c r="F1125" i="3"/>
  <c r="E1125" i="3"/>
  <c r="D1125" i="3"/>
  <c r="H1124" i="3"/>
  <c r="G1124" i="3"/>
  <c r="F1124" i="3"/>
  <c r="E1124" i="3"/>
  <c r="D1124" i="3"/>
  <c r="H1123" i="3"/>
  <c r="G1123" i="3"/>
  <c r="F1123" i="3"/>
  <c r="E1123" i="3"/>
  <c r="D1123" i="3"/>
  <c r="H1122" i="3"/>
  <c r="G1122" i="3"/>
  <c r="F1122" i="3"/>
  <c r="E1122" i="3"/>
  <c r="D1122" i="3"/>
  <c r="H1121" i="3"/>
  <c r="G1121" i="3"/>
  <c r="F1121" i="3"/>
  <c r="E1121" i="3"/>
  <c r="D1121" i="3"/>
  <c r="H1120" i="3"/>
  <c r="G1120" i="3"/>
  <c r="F1120" i="3"/>
  <c r="E1120" i="3"/>
  <c r="D1120" i="3"/>
  <c r="H1119" i="3"/>
  <c r="G1119" i="3"/>
  <c r="F1119" i="3"/>
  <c r="E1119" i="3"/>
  <c r="D1119" i="3"/>
  <c r="H1118" i="3"/>
  <c r="G1118" i="3"/>
  <c r="F1118" i="3"/>
  <c r="E1118" i="3"/>
  <c r="D1118" i="3"/>
  <c r="H1117" i="3"/>
  <c r="G1117" i="3"/>
  <c r="F1117" i="3"/>
  <c r="E1117" i="3"/>
  <c r="D1117" i="3"/>
  <c r="H1116" i="3"/>
  <c r="G1116" i="3"/>
  <c r="F1116" i="3"/>
  <c r="E1116" i="3"/>
  <c r="D1116" i="3"/>
  <c r="H1115" i="3"/>
  <c r="G1115" i="3"/>
  <c r="F1115" i="3"/>
  <c r="E1115" i="3"/>
  <c r="D1115" i="3"/>
  <c r="H1114" i="3"/>
  <c r="G1114" i="3"/>
  <c r="F1114" i="3"/>
  <c r="E1114" i="3"/>
  <c r="D1114" i="3"/>
  <c r="H1113" i="3"/>
  <c r="G1113" i="3"/>
  <c r="F1113" i="3"/>
  <c r="E1113" i="3"/>
  <c r="D1113" i="3"/>
  <c r="H1112" i="3"/>
  <c r="G1112" i="3"/>
  <c r="F1112" i="3"/>
  <c r="E1112" i="3"/>
  <c r="D1112" i="3"/>
  <c r="H1111" i="3"/>
  <c r="G1111" i="3"/>
  <c r="F1111" i="3"/>
  <c r="E1111" i="3"/>
  <c r="D1111" i="3"/>
  <c r="H1110" i="3"/>
  <c r="G1110" i="3"/>
  <c r="F1110" i="3"/>
  <c r="E1110" i="3"/>
  <c r="D1110" i="3"/>
  <c r="H1109" i="3"/>
  <c r="G1109" i="3"/>
  <c r="F1109" i="3"/>
  <c r="E1109" i="3"/>
  <c r="D1109" i="3"/>
  <c r="H1108" i="3"/>
  <c r="G1108" i="3"/>
  <c r="F1108" i="3"/>
  <c r="E1108" i="3"/>
  <c r="D1108" i="3"/>
  <c r="H1107" i="3"/>
  <c r="G1107" i="3"/>
  <c r="F1107" i="3"/>
  <c r="E1107" i="3"/>
  <c r="D1107" i="3"/>
  <c r="H1106" i="3"/>
  <c r="G1106" i="3"/>
  <c r="F1106" i="3"/>
  <c r="E1106" i="3"/>
  <c r="D1106" i="3"/>
  <c r="H1105" i="3"/>
  <c r="G1105" i="3"/>
  <c r="F1105" i="3"/>
  <c r="E1105" i="3"/>
  <c r="D1105" i="3"/>
  <c r="H1104" i="3"/>
  <c r="G1104" i="3"/>
  <c r="F1104" i="3"/>
  <c r="E1104" i="3"/>
  <c r="D1104" i="3"/>
  <c r="H1103" i="3"/>
  <c r="G1103" i="3"/>
  <c r="F1103" i="3"/>
  <c r="E1103" i="3"/>
  <c r="D1103" i="3"/>
  <c r="H1102" i="3"/>
  <c r="G1102" i="3"/>
  <c r="F1102" i="3"/>
  <c r="E1102" i="3"/>
  <c r="D1102" i="3"/>
  <c r="H1101" i="3"/>
  <c r="G1101" i="3"/>
  <c r="F1101" i="3"/>
  <c r="E1101" i="3"/>
  <c r="D1101" i="3"/>
  <c r="H1100" i="3"/>
  <c r="G1100" i="3"/>
  <c r="F1100" i="3"/>
  <c r="E1100" i="3"/>
  <c r="D1100" i="3"/>
  <c r="H1099" i="3"/>
  <c r="G1099" i="3"/>
  <c r="F1099" i="3"/>
  <c r="E1099" i="3"/>
  <c r="D1099" i="3"/>
  <c r="H1098" i="3"/>
  <c r="G1098" i="3"/>
  <c r="F1098" i="3"/>
  <c r="E1098" i="3"/>
  <c r="D1098" i="3"/>
  <c r="H1097" i="3"/>
  <c r="G1097" i="3"/>
  <c r="F1097" i="3"/>
  <c r="E1097" i="3"/>
  <c r="D1097" i="3"/>
  <c r="H1096" i="3"/>
  <c r="G1096" i="3"/>
  <c r="F1096" i="3"/>
  <c r="E1096" i="3"/>
  <c r="D1096" i="3"/>
  <c r="H1095" i="3"/>
  <c r="G1095" i="3"/>
  <c r="F1095" i="3"/>
  <c r="E1095" i="3"/>
  <c r="D1095" i="3"/>
  <c r="H1094" i="3"/>
  <c r="G1094" i="3"/>
  <c r="F1094" i="3"/>
  <c r="E1094" i="3"/>
  <c r="D1094" i="3"/>
  <c r="H1093" i="3"/>
  <c r="G1093" i="3"/>
  <c r="F1093" i="3"/>
  <c r="E1093" i="3"/>
  <c r="D1093" i="3"/>
  <c r="H1092" i="3"/>
  <c r="G1092" i="3"/>
  <c r="F1092" i="3"/>
  <c r="E1092" i="3"/>
  <c r="D1092" i="3"/>
  <c r="H1091" i="3"/>
  <c r="G1091" i="3"/>
  <c r="F1091" i="3"/>
  <c r="E1091" i="3"/>
  <c r="D1091" i="3"/>
  <c r="H1090" i="3"/>
  <c r="G1090" i="3"/>
  <c r="F1090" i="3"/>
  <c r="E1090" i="3"/>
  <c r="D1090" i="3"/>
  <c r="H1089" i="3"/>
  <c r="G1089" i="3"/>
  <c r="F1089" i="3"/>
  <c r="E1089" i="3"/>
  <c r="D1089" i="3"/>
  <c r="H1088" i="3"/>
  <c r="G1088" i="3"/>
  <c r="F1088" i="3"/>
  <c r="E1088" i="3"/>
  <c r="D1088" i="3"/>
  <c r="H1087" i="3"/>
  <c r="G1087" i="3"/>
  <c r="F1087" i="3"/>
  <c r="E1087" i="3"/>
  <c r="D1087" i="3"/>
  <c r="H1086" i="3"/>
  <c r="G1086" i="3"/>
  <c r="F1086" i="3"/>
  <c r="E1086" i="3"/>
  <c r="D1086" i="3"/>
  <c r="H1085" i="3"/>
  <c r="G1085" i="3"/>
  <c r="F1085" i="3"/>
  <c r="E1085" i="3"/>
  <c r="D1085" i="3"/>
  <c r="H1084" i="3"/>
  <c r="G1084" i="3"/>
  <c r="F1084" i="3"/>
  <c r="E1084" i="3"/>
  <c r="D1084" i="3"/>
  <c r="H1083" i="3"/>
  <c r="G1083" i="3"/>
  <c r="F1083" i="3"/>
  <c r="E1083" i="3"/>
  <c r="D1083" i="3"/>
  <c r="H1082" i="3"/>
  <c r="G1082" i="3"/>
  <c r="F1082" i="3"/>
  <c r="E1082" i="3"/>
  <c r="D1082" i="3"/>
  <c r="H1081" i="3"/>
  <c r="G1081" i="3"/>
  <c r="F1081" i="3"/>
  <c r="E1081" i="3"/>
  <c r="D1081" i="3"/>
  <c r="H1080" i="3"/>
  <c r="G1080" i="3"/>
  <c r="F1080" i="3"/>
  <c r="E1080" i="3"/>
  <c r="D1080" i="3"/>
  <c r="H1079" i="3"/>
  <c r="G1079" i="3"/>
  <c r="F1079" i="3"/>
  <c r="E1079" i="3"/>
  <c r="D1079" i="3"/>
  <c r="H1078" i="3"/>
  <c r="G1078" i="3"/>
  <c r="F1078" i="3"/>
  <c r="E1078" i="3"/>
  <c r="D1078" i="3"/>
  <c r="H1077" i="3"/>
  <c r="G1077" i="3"/>
  <c r="F1077" i="3"/>
  <c r="E1077" i="3"/>
  <c r="D1077" i="3"/>
  <c r="H1076" i="3"/>
  <c r="G1076" i="3"/>
  <c r="F1076" i="3"/>
  <c r="E1076" i="3"/>
  <c r="D1076" i="3"/>
  <c r="H1075" i="3"/>
  <c r="G1075" i="3"/>
  <c r="F1075" i="3"/>
  <c r="E1075" i="3"/>
  <c r="D1075" i="3"/>
  <c r="H1074" i="3"/>
  <c r="G1074" i="3"/>
  <c r="F1074" i="3"/>
  <c r="E1074" i="3"/>
  <c r="D1074" i="3"/>
  <c r="H1073" i="3"/>
  <c r="G1073" i="3"/>
  <c r="F1073" i="3"/>
  <c r="E1073" i="3"/>
  <c r="D1073" i="3"/>
  <c r="H1072" i="3"/>
  <c r="G1072" i="3"/>
  <c r="F1072" i="3"/>
  <c r="E1072" i="3"/>
  <c r="D1072" i="3"/>
  <c r="H1071" i="3"/>
  <c r="G1071" i="3"/>
  <c r="F1071" i="3"/>
  <c r="E1071" i="3"/>
  <c r="D1071" i="3"/>
  <c r="H1070" i="3"/>
  <c r="G1070" i="3"/>
  <c r="F1070" i="3"/>
  <c r="E1070" i="3"/>
  <c r="D1070" i="3"/>
  <c r="H1069" i="3"/>
  <c r="G1069" i="3"/>
  <c r="F1069" i="3"/>
  <c r="E1069" i="3"/>
  <c r="D1069" i="3"/>
  <c r="H1068" i="3"/>
  <c r="G1068" i="3"/>
  <c r="F1068" i="3"/>
  <c r="E1068" i="3"/>
  <c r="D1068" i="3"/>
  <c r="H1067" i="3"/>
  <c r="G1067" i="3"/>
  <c r="F1067" i="3"/>
  <c r="E1067" i="3"/>
  <c r="D1067" i="3"/>
  <c r="H1066" i="3"/>
  <c r="G1066" i="3"/>
  <c r="F1066" i="3"/>
  <c r="E1066" i="3"/>
  <c r="D1066" i="3"/>
  <c r="H1065" i="3"/>
  <c r="G1065" i="3"/>
  <c r="F1065" i="3"/>
  <c r="E1065" i="3"/>
  <c r="D1065" i="3"/>
  <c r="H1064" i="3"/>
  <c r="G1064" i="3"/>
  <c r="F1064" i="3"/>
  <c r="E1064" i="3"/>
  <c r="D1064" i="3"/>
  <c r="H1063" i="3"/>
  <c r="G1063" i="3"/>
  <c r="F1063" i="3"/>
  <c r="E1063" i="3"/>
  <c r="D1063" i="3"/>
  <c r="H1062" i="3"/>
  <c r="G1062" i="3"/>
  <c r="F1062" i="3"/>
  <c r="E1062" i="3"/>
  <c r="D1062" i="3"/>
  <c r="H1061" i="3"/>
  <c r="G1061" i="3"/>
  <c r="F1061" i="3"/>
  <c r="E1061" i="3"/>
  <c r="D1061" i="3"/>
  <c r="H1060" i="3"/>
  <c r="G1060" i="3"/>
  <c r="F1060" i="3"/>
  <c r="E1060" i="3"/>
  <c r="D1060" i="3"/>
  <c r="H1059" i="3"/>
  <c r="G1059" i="3"/>
  <c r="F1059" i="3"/>
  <c r="E1059" i="3"/>
  <c r="D1059" i="3"/>
  <c r="H1058" i="3"/>
  <c r="G1058" i="3"/>
  <c r="F1058" i="3"/>
  <c r="E1058" i="3"/>
  <c r="D1058" i="3"/>
  <c r="H1057" i="3"/>
  <c r="G1057" i="3"/>
  <c r="F1057" i="3"/>
  <c r="E1057" i="3"/>
  <c r="D1057" i="3"/>
  <c r="H1056" i="3"/>
  <c r="G1056" i="3"/>
  <c r="F1056" i="3"/>
  <c r="E1056" i="3"/>
  <c r="D1056" i="3"/>
  <c r="H1055" i="3"/>
  <c r="G1055" i="3"/>
  <c r="F1055" i="3"/>
  <c r="E1055" i="3"/>
  <c r="D1055" i="3"/>
  <c r="H1054" i="3"/>
  <c r="G1054" i="3"/>
  <c r="F1054" i="3"/>
  <c r="E1054" i="3"/>
  <c r="D1054" i="3"/>
  <c r="H1053" i="3"/>
  <c r="G1053" i="3"/>
  <c r="F1053" i="3"/>
  <c r="E1053" i="3"/>
  <c r="D1053" i="3"/>
  <c r="H1052" i="3"/>
  <c r="G1052" i="3"/>
  <c r="F1052" i="3"/>
  <c r="E1052" i="3"/>
  <c r="D1052" i="3"/>
  <c r="H1051" i="3"/>
  <c r="G1051" i="3"/>
  <c r="F1051" i="3"/>
  <c r="E1051" i="3"/>
  <c r="D1051" i="3"/>
  <c r="H1050" i="3"/>
  <c r="G1050" i="3"/>
  <c r="F1050" i="3"/>
  <c r="E1050" i="3"/>
  <c r="D1050" i="3"/>
  <c r="H1049" i="3"/>
  <c r="G1049" i="3"/>
  <c r="F1049" i="3"/>
  <c r="E1049" i="3"/>
  <c r="D1049" i="3"/>
  <c r="H1048" i="3"/>
  <c r="G1048" i="3"/>
  <c r="F1048" i="3"/>
  <c r="E1048" i="3"/>
  <c r="D1048" i="3"/>
  <c r="H1047" i="3"/>
  <c r="G1047" i="3"/>
  <c r="F1047" i="3"/>
  <c r="E1047" i="3"/>
  <c r="D1047" i="3"/>
  <c r="H1046" i="3"/>
  <c r="G1046" i="3"/>
  <c r="F1046" i="3"/>
  <c r="E1046" i="3"/>
  <c r="D1046" i="3"/>
  <c r="H1045" i="3"/>
  <c r="G1045" i="3"/>
  <c r="F1045" i="3"/>
  <c r="E1045" i="3"/>
  <c r="D1045" i="3"/>
  <c r="H1044" i="3"/>
  <c r="G1044" i="3"/>
  <c r="F1044" i="3"/>
  <c r="E1044" i="3"/>
  <c r="D1044" i="3"/>
  <c r="H1043" i="3"/>
  <c r="G1043" i="3"/>
  <c r="F1043" i="3"/>
  <c r="E1043" i="3"/>
  <c r="D1043" i="3"/>
  <c r="H1042" i="3"/>
  <c r="G1042" i="3"/>
  <c r="F1042" i="3"/>
  <c r="E1042" i="3"/>
  <c r="D1042" i="3"/>
  <c r="H1041" i="3"/>
  <c r="G1041" i="3"/>
  <c r="F1041" i="3"/>
  <c r="E1041" i="3"/>
  <c r="D1041" i="3"/>
  <c r="H1040" i="3"/>
  <c r="G1040" i="3"/>
  <c r="F1040" i="3"/>
  <c r="E1040" i="3"/>
  <c r="D1040" i="3"/>
  <c r="H1039" i="3"/>
  <c r="G1039" i="3"/>
  <c r="F1039" i="3"/>
  <c r="E1039" i="3"/>
  <c r="D1039" i="3"/>
  <c r="H1038" i="3"/>
  <c r="G1038" i="3"/>
  <c r="F1038" i="3"/>
  <c r="E1038" i="3"/>
  <c r="D1038" i="3"/>
  <c r="H1037" i="3"/>
  <c r="G1037" i="3"/>
  <c r="F1037" i="3"/>
  <c r="E1037" i="3"/>
  <c r="D1037" i="3"/>
  <c r="H1036" i="3"/>
  <c r="G1036" i="3"/>
  <c r="F1036" i="3"/>
  <c r="E1036" i="3"/>
  <c r="D1036" i="3"/>
  <c r="H1035" i="3"/>
  <c r="G1035" i="3"/>
  <c r="F1035" i="3"/>
  <c r="E1035" i="3"/>
  <c r="D1035" i="3"/>
  <c r="H1034" i="3"/>
  <c r="G1034" i="3"/>
  <c r="F1034" i="3"/>
  <c r="E1034" i="3"/>
  <c r="D1034" i="3"/>
  <c r="H1033" i="3"/>
  <c r="G1033" i="3"/>
  <c r="F1033" i="3"/>
  <c r="E1033" i="3"/>
  <c r="D1033" i="3"/>
  <c r="H1032" i="3"/>
  <c r="G1032" i="3"/>
  <c r="F1032" i="3"/>
  <c r="E1032" i="3"/>
  <c r="D1032" i="3"/>
  <c r="H1031" i="3"/>
  <c r="G1031" i="3"/>
  <c r="F1031" i="3"/>
  <c r="E1031" i="3"/>
  <c r="D1031" i="3"/>
  <c r="H1030" i="3"/>
  <c r="G1030" i="3"/>
  <c r="F1030" i="3"/>
  <c r="E1030" i="3"/>
  <c r="D1030" i="3"/>
  <c r="H1029" i="3"/>
  <c r="G1029" i="3"/>
  <c r="F1029" i="3"/>
  <c r="E1029" i="3"/>
  <c r="D1029" i="3"/>
  <c r="H1028" i="3"/>
  <c r="G1028" i="3"/>
  <c r="F1028" i="3"/>
  <c r="E1028" i="3"/>
  <c r="D1028" i="3"/>
  <c r="H1027" i="3"/>
  <c r="G1027" i="3"/>
  <c r="F1027" i="3"/>
  <c r="E1027" i="3"/>
  <c r="D1027" i="3"/>
  <c r="H1026" i="3"/>
  <c r="G1026" i="3"/>
  <c r="F1026" i="3"/>
  <c r="E1026" i="3"/>
  <c r="D1026" i="3"/>
  <c r="H1025" i="3"/>
  <c r="G1025" i="3"/>
  <c r="F1025" i="3"/>
  <c r="E1025" i="3"/>
  <c r="D1025" i="3"/>
  <c r="H1024" i="3"/>
  <c r="G1024" i="3"/>
  <c r="F1024" i="3"/>
  <c r="E1024" i="3"/>
  <c r="D1024" i="3"/>
  <c r="H1023" i="3"/>
  <c r="G1023" i="3"/>
  <c r="F1023" i="3"/>
  <c r="E1023" i="3"/>
  <c r="D1023" i="3"/>
  <c r="H1022" i="3"/>
  <c r="G1022" i="3"/>
  <c r="F1022" i="3"/>
  <c r="E1022" i="3"/>
  <c r="D1022" i="3"/>
  <c r="H1021" i="3"/>
  <c r="G1021" i="3"/>
  <c r="F1021" i="3"/>
  <c r="E1021" i="3"/>
  <c r="D1021" i="3"/>
  <c r="H1020" i="3"/>
  <c r="G1020" i="3"/>
  <c r="F1020" i="3"/>
  <c r="E1020" i="3"/>
  <c r="D1020" i="3"/>
  <c r="H1019" i="3"/>
  <c r="G1019" i="3"/>
  <c r="F1019" i="3"/>
  <c r="E1019" i="3"/>
  <c r="D1019" i="3"/>
  <c r="H1018" i="3"/>
  <c r="G1018" i="3"/>
  <c r="F1018" i="3"/>
  <c r="E1018" i="3"/>
  <c r="D1018" i="3"/>
  <c r="H1017" i="3"/>
  <c r="G1017" i="3"/>
  <c r="F1017" i="3"/>
  <c r="E1017" i="3"/>
  <c r="D1017" i="3"/>
  <c r="H1016" i="3"/>
  <c r="G1016" i="3"/>
  <c r="F1016" i="3"/>
  <c r="E1016" i="3"/>
  <c r="D1016" i="3"/>
  <c r="H1015" i="3"/>
  <c r="G1015" i="3"/>
  <c r="F1015" i="3"/>
  <c r="E1015" i="3"/>
  <c r="D1015" i="3"/>
  <c r="H1014" i="3"/>
  <c r="G1014" i="3"/>
  <c r="F1014" i="3"/>
  <c r="E1014" i="3"/>
  <c r="D1014" i="3"/>
  <c r="H1013" i="3"/>
  <c r="G1013" i="3"/>
  <c r="F1013" i="3"/>
  <c r="E1013" i="3"/>
  <c r="D1013" i="3"/>
  <c r="H1012" i="3"/>
  <c r="G1012" i="3"/>
  <c r="F1012" i="3"/>
  <c r="E1012" i="3"/>
  <c r="D1012" i="3"/>
  <c r="H1011" i="3"/>
  <c r="G1011" i="3"/>
  <c r="F1011" i="3"/>
  <c r="E1011" i="3"/>
  <c r="D1011" i="3"/>
  <c r="H1010" i="3"/>
  <c r="G1010" i="3"/>
  <c r="F1010" i="3"/>
  <c r="E1010" i="3"/>
  <c r="D1010" i="3"/>
  <c r="H1009" i="3"/>
  <c r="G1009" i="3"/>
  <c r="F1009" i="3"/>
  <c r="E1009" i="3"/>
  <c r="D1009" i="3"/>
  <c r="H1008" i="3"/>
  <c r="G1008" i="3"/>
  <c r="F1008" i="3"/>
  <c r="E1008" i="3"/>
  <c r="D1008" i="3"/>
  <c r="H1007" i="3"/>
  <c r="G1007" i="3"/>
  <c r="F1007" i="3"/>
  <c r="E1007" i="3"/>
  <c r="D1007" i="3"/>
  <c r="H1006" i="3"/>
  <c r="G1006" i="3"/>
  <c r="F1006" i="3"/>
  <c r="E1006" i="3"/>
  <c r="D1006" i="3"/>
  <c r="H1005" i="3"/>
  <c r="G1005" i="3"/>
  <c r="F1005" i="3"/>
  <c r="E1005" i="3"/>
  <c r="D1005" i="3"/>
  <c r="H1004" i="3"/>
  <c r="G1004" i="3"/>
  <c r="F1004" i="3"/>
  <c r="E1004" i="3"/>
  <c r="D1004" i="3"/>
  <c r="H1003" i="3"/>
  <c r="G1003" i="3"/>
  <c r="F1003" i="3"/>
  <c r="E1003" i="3"/>
  <c r="D1003" i="3"/>
  <c r="H1002" i="3"/>
  <c r="G1002" i="3"/>
  <c r="F1002" i="3"/>
  <c r="E1002" i="3"/>
  <c r="D1002" i="3"/>
  <c r="H1001" i="3"/>
  <c r="G1001" i="3"/>
  <c r="F1001" i="3"/>
  <c r="E1001" i="3"/>
  <c r="D1001" i="3"/>
  <c r="H1000" i="3"/>
  <c r="G1000" i="3"/>
  <c r="F1000" i="3"/>
  <c r="E1000" i="3"/>
  <c r="D1000" i="3"/>
  <c r="H999" i="3"/>
  <c r="G999" i="3"/>
  <c r="F999" i="3"/>
  <c r="E999" i="3"/>
  <c r="D999" i="3"/>
  <c r="H998" i="3"/>
  <c r="G998" i="3"/>
  <c r="F998" i="3"/>
  <c r="E998" i="3"/>
  <c r="D998" i="3"/>
  <c r="H997" i="3"/>
  <c r="G997" i="3"/>
  <c r="F997" i="3"/>
  <c r="E997" i="3"/>
  <c r="D997" i="3"/>
  <c r="H996" i="3"/>
  <c r="G996" i="3"/>
  <c r="F996" i="3"/>
  <c r="E996" i="3"/>
  <c r="D996" i="3"/>
  <c r="H995" i="3"/>
  <c r="G995" i="3"/>
  <c r="F995" i="3"/>
  <c r="E995" i="3"/>
  <c r="D995" i="3"/>
  <c r="H994" i="3"/>
  <c r="G994" i="3"/>
  <c r="F994" i="3"/>
  <c r="E994" i="3"/>
  <c r="D994" i="3"/>
  <c r="H993" i="3"/>
  <c r="G993" i="3"/>
  <c r="F993" i="3"/>
  <c r="E993" i="3"/>
  <c r="D993" i="3"/>
  <c r="H992" i="3"/>
  <c r="G992" i="3"/>
  <c r="F992" i="3"/>
  <c r="E992" i="3"/>
  <c r="D992" i="3"/>
  <c r="H991" i="3"/>
  <c r="G991" i="3"/>
  <c r="F991" i="3"/>
  <c r="E991" i="3"/>
  <c r="D991" i="3"/>
  <c r="H990" i="3"/>
  <c r="G990" i="3"/>
  <c r="F990" i="3"/>
  <c r="E990" i="3"/>
  <c r="D990" i="3"/>
  <c r="H989" i="3"/>
  <c r="G989" i="3"/>
  <c r="F989" i="3"/>
  <c r="E989" i="3"/>
  <c r="D989" i="3"/>
  <c r="H988" i="3"/>
  <c r="G988" i="3"/>
  <c r="F988" i="3"/>
  <c r="E988" i="3"/>
  <c r="D988" i="3"/>
  <c r="H987" i="3"/>
  <c r="G987" i="3"/>
  <c r="F987" i="3"/>
  <c r="E987" i="3"/>
  <c r="D987" i="3"/>
  <c r="H986" i="3"/>
  <c r="G986" i="3"/>
  <c r="F986" i="3"/>
  <c r="E986" i="3"/>
  <c r="D986" i="3"/>
  <c r="H985" i="3"/>
  <c r="G985" i="3"/>
  <c r="F985" i="3"/>
  <c r="E985" i="3"/>
  <c r="D985" i="3"/>
  <c r="H984" i="3"/>
  <c r="G984" i="3"/>
  <c r="F984" i="3"/>
  <c r="E984" i="3"/>
  <c r="D984" i="3"/>
  <c r="H983" i="3"/>
  <c r="G983" i="3"/>
  <c r="F983" i="3"/>
  <c r="E983" i="3"/>
  <c r="D983" i="3"/>
  <c r="H982" i="3"/>
  <c r="G982" i="3"/>
  <c r="F982" i="3"/>
  <c r="E982" i="3"/>
  <c r="D982" i="3"/>
  <c r="H981" i="3"/>
  <c r="G981" i="3"/>
  <c r="F981" i="3"/>
  <c r="E981" i="3"/>
  <c r="D981" i="3"/>
  <c r="H980" i="3"/>
  <c r="G980" i="3"/>
  <c r="F980" i="3"/>
  <c r="E980" i="3"/>
  <c r="D980" i="3"/>
  <c r="H979" i="3"/>
  <c r="G979" i="3"/>
  <c r="F979" i="3"/>
  <c r="E979" i="3"/>
  <c r="D979" i="3"/>
  <c r="H978" i="3"/>
  <c r="G978" i="3"/>
  <c r="F978" i="3"/>
  <c r="E978" i="3"/>
  <c r="D978" i="3"/>
  <c r="H977" i="3"/>
  <c r="G977" i="3"/>
  <c r="F977" i="3"/>
  <c r="E977" i="3"/>
  <c r="D977" i="3"/>
  <c r="H976" i="3"/>
  <c r="G976" i="3"/>
  <c r="F976" i="3"/>
  <c r="E976" i="3"/>
  <c r="D976" i="3"/>
  <c r="H975" i="3"/>
  <c r="G975" i="3"/>
  <c r="F975" i="3"/>
  <c r="E975" i="3"/>
  <c r="D975" i="3"/>
  <c r="H974" i="3"/>
  <c r="G974" i="3"/>
  <c r="F974" i="3"/>
  <c r="E974" i="3"/>
  <c r="D974" i="3"/>
  <c r="H973" i="3"/>
  <c r="G973" i="3"/>
  <c r="F973" i="3"/>
  <c r="E973" i="3"/>
  <c r="D973" i="3"/>
  <c r="H972" i="3"/>
  <c r="G972" i="3"/>
  <c r="F972" i="3"/>
  <c r="E972" i="3"/>
  <c r="D972" i="3"/>
  <c r="H971" i="3"/>
  <c r="G971" i="3"/>
  <c r="F971" i="3"/>
  <c r="E971" i="3"/>
  <c r="D971" i="3"/>
  <c r="H970" i="3"/>
  <c r="G970" i="3"/>
  <c r="F970" i="3"/>
  <c r="E970" i="3"/>
  <c r="D970" i="3"/>
  <c r="H969" i="3"/>
  <c r="G969" i="3"/>
  <c r="F969" i="3"/>
  <c r="E969" i="3"/>
  <c r="D969" i="3"/>
  <c r="H968" i="3"/>
  <c r="G968" i="3"/>
  <c r="F968" i="3"/>
  <c r="E968" i="3"/>
  <c r="D968" i="3"/>
  <c r="H967" i="3"/>
  <c r="G967" i="3"/>
  <c r="F967" i="3"/>
  <c r="E967" i="3"/>
  <c r="D967" i="3"/>
  <c r="H966" i="3"/>
  <c r="G966" i="3"/>
  <c r="F966" i="3"/>
  <c r="E966" i="3"/>
  <c r="D966" i="3"/>
  <c r="H965" i="3"/>
  <c r="G965" i="3"/>
  <c r="F965" i="3"/>
  <c r="E965" i="3"/>
  <c r="D965" i="3"/>
  <c r="H964" i="3"/>
  <c r="G964" i="3"/>
  <c r="F964" i="3"/>
  <c r="E964" i="3"/>
  <c r="D964" i="3"/>
  <c r="H963" i="3"/>
  <c r="G963" i="3"/>
  <c r="F963" i="3"/>
  <c r="E963" i="3"/>
  <c r="D963" i="3"/>
  <c r="H962" i="3"/>
  <c r="G962" i="3"/>
  <c r="F962" i="3"/>
  <c r="E962" i="3"/>
  <c r="D962" i="3"/>
  <c r="H961" i="3"/>
  <c r="G961" i="3"/>
  <c r="F961" i="3"/>
  <c r="E961" i="3"/>
  <c r="D961" i="3"/>
  <c r="H960" i="3"/>
  <c r="G960" i="3"/>
  <c r="F960" i="3"/>
  <c r="E960" i="3"/>
  <c r="D960" i="3"/>
  <c r="H959" i="3"/>
  <c r="G959" i="3"/>
  <c r="F959" i="3"/>
  <c r="E959" i="3"/>
  <c r="D959" i="3"/>
  <c r="H958" i="3"/>
  <c r="G958" i="3"/>
  <c r="F958" i="3"/>
  <c r="E958" i="3"/>
  <c r="D958" i="3"/>
  <c r="H957" i="3"/>
  <c r="G957" i="3"/>
  <c r="F957" i="3"/>
  <c r="E957" i="3"/>
  <c r="D957" i="3"/>
  <c r="H956" i="3"/>
  <c r="G956" i="3"/>
  <c r="F956" i="3"/>
  <c r="E956" i="3"/>
  <c r="D956" i="3"/>
  <c r="H955" i="3"/>
  <c r="G955" i="3"/>
  <c r="F955" i="3"/>
  <c r="E955" i="3"/>
  <c r="D955" i="3"/>
  <c r="H954" i="3"/>
  <c r="G954" i="3"/>
  <c r="F954" i="3"/>
  <c r="E954" i="3"/>
  <c r="D954" i="3"/>
  <c r="H953" i="3"/>
  <c r="G953" i="3"/>
  <c r="F953" i="3"/>
  <c r="E953" i="3"/>
  <c r="D953" i="3"/>
  <c r="H952" i="3"/>
  <c r="G952" i="3"/>
  <c r="F952" i="3"/>
  <c r="E952" i="3"/>
  <c r="D952" i="3"/>
  <c r="H951" i="3"/>
  <c r="G951" i="3"/>
  <c r="F951" i="3"/>
  <c r="E951" i="3"/>
  <c r="D951" i="3"/>
  <c r="H950" i="3"/>
  <c r="G950" i="3"/>
  <c r="F950" i="3"/>
  <c r="E950" i="3"/>
  <c r="D950" i="3"/>
  <c r="H949" i="3"/>
  <c r="G949" i="3"/>
  <c r="F949" i="3"/>
  <c r="E949" i="3"/>
  <c r="D949" i="3"/>
  <c r="H948" i="3"/>
  <c r="G948" i="3"/>
  <c r="F948" i="3"/>
  <c r="E948" i="3"/>
  <c r="D948" i="3"/>
  <c r="H947" i="3"/>
  <c r="G947" i="3"/>
  <c r="F947" i="3"/>
  <c r="E947" i="3"/>
  <c r="D947" i="3"/>
  <c r="H946" i="3"/>
  <c r="G946" i="3"/>
  <c r="F946" i="3"/>
  <c r="E946" i="3"/>
  <c r="D946" i="3"/>
  <c r="H945" i="3"/>
  <c r="G945" i="3"/>
  <c r="F945" i="3"/>
  <c r="E945" i="3"/>
  <c r="D945" i="3"/>
  <c r="H944" i="3"/>
  <c r="G944" i="3"/>
  <c r="F944" i="3"/>
  <c r="E944" i="3"/>
  <c r="D944" i="3"/>
  <c r="H943" i="3"/>
  <c r="G943" i="3"/>
  <c r="F943" i="3"/>
  <c r="E943" i="3"/>
  <c r="D943" i="3"/>
  <c r="H942" i="3"/>
  <c r="G942" i="3"/>
  <c r="F942" i="3"/>
  <c r="E942" i="3"/>
  <c r="D942" i="3"/>
  <c r="H941" i="3"/>
  <c r="G941" i="3"/>
  <c r="F941" i="3"/>
  <c r="E941" i="3"/>
  <c r="D941" i="3"/>
  <c r="H940" i="3"/>
  <c r="G940" i="3"/>
  <c r="F940" i="3"/>
  <c r="E940" i="3"/>
  <c r="D940" i="3"/>
  <c r="H939" i="3"/>
  <c r="G939" i="3"/>
  <c r="F939" i="3"/>
  <c r="E939" i="3"/>
  <c r="D939" i="3"/>
  <c r="H938" i="3"/>
  <c r="G938" i="3"/>
  <c r="F938" i="3"/>
  <c r="E938" i="3"/>
  <c r="D938" i="3"/>
  <c r="H937" i="3"/>
  <c r="G937" i="3"/>
  <c r="F937" i="3"/>
  <c r="E937" i="3"/>
  <c r="D937" i="3"/>
  <c r="H936" i="3"/>
  <c r="G936" i="3"/>
  <c r="F936" i="3"/>
  <c r="E936" i="3"/>
  <c r="D936" i="3"/>
  <c r="H935" i="3"/>
  <c r="G935" i="3"/>
  <c r="F935" i="3"/>
  <c r="E935" i="3"/>
  <c r="D935" i="3"/>
  <c r="H934" i="3"/>
  <c r="G934" i="3"/>
  <c r="F934" i="3"/>
  <c r="E934" i="3"/>
  <c r="D934" i="3"/>
  <c r="H933" i="3"/>
  <c r="G933" i="3"/>
  <c r="F933" i="3"/>
  <c r="E933" i="3"/>
  <c r="D933" i="3"/>
  <c r="H932" i="3"/>
  <c r="G932" i="3"/>
  <c r="F932" i="3"/>
  <c r="E932" i="3"/>
  <c r="D932" i="3"/>
  <c r="H931" i="3"/>
  <c r="G931" i="3"/>
  <c r="F931" i="3"/>
  <c r="E931" i="3"/>
  <c r="D931" i="3"/>
  <c r="H930" i="3"/>
  <c r="G930" i="3"/>
  <c r="F930" i="3"/>
  <c r="E930" i="3"/>
  <c r="D930" i="3"/>
  <c r="H929" i="3"/>
  <c r="G929" i="3"/>
  <c r="F929" i="3"/>
  <c r="E929" i="3"/>
  <c r="D929" i="3"/>
  <c r="H928" i="3"/>
  <c r="G928" i="3"/>
  <c r="F928" i="3"/>
  <c r="E928" i="3"/>
  <c r="D928" i="3"/>
  <c r="H927" i="3"/>
  <c r="G927" i="3"/>
  <c r="F927" i="3"/>
  <c r="E927" i="3"/>
  <c r="D927" i="3"/>
  <c r="H926" i="3"/>
  <c r="G926" i="3"/>
  <c r="F926" i="3"/>
  <c r="E926" i="3"/>
  <c r="D926" i="3"/>
  <c r="H925" i="3"/>
  <c r="G925" i="3"/>
  <c r="F925" i="3"/>
  <c r="E925" i="3"/>
  <c r="D925" i="3"/>
  <c r="H924" i="3"/>
  <c r="G924" i="3"/>
  <c r="F924" i="3"/>
  <c r="E924" i="3"/>
  <c r="D924" i="3"/>
  <c r="H923" i="3"/>
  <c r="G923" i="3"/>
  <c r="F923" i="3"/>
  <c r="E923" i="3"/>
  <c r="D923" i="3"/>
  <c r="H922" i="3"/>
  <c r="G922" i="3"/>
  <c r="F922" i="3"/>
  <c r="E922" i="3"/>
  <c r="D922" i="3"/>
  <c r="H921" i="3"/>
  <c r="G921" i="3"/>
  <c r="F921" i="3"/>
  <c r="E921" i="3"/>
  <c r="D921" i="3"/>
  <c r="H920" i="3"/>
  <c r="G920" i="3"/>
  <c r="F920" i="3"/>
  <c r="E920" i="3"/>
  <c r="D920" i="3"/>
  <c r="H919" i="3"/>
  <c r="G919" i="3"/>
  <c r="F919" i="3"/>
  <c r="E919" i="3"/>
  <c r="D919" i="3"/>
  <c r="H918" i="3"/>
  <c r="G918" i="3"/>
  <c r="F918" i="3"/>
  <c r="E918" i="3"/>
  <c r="D918" i="3"/>
  <c r="H917" i="3"/>
  <c r="G917" i="3"/>
  <c r="F917" i="3"/>
  <c r="E917" i="3"/>
  <c r="D917" i="3"/>
  <c r="H916" i="3"/>
  <c r="G916" i="3"/>
  <c r="F916" i="3"/>
  <c r="E916" i="3"/>
  <c r="D916" i="3"/>
  <c r="H915" i="3"/>
  <c r="G915" i="3"/>
  <c r="F915" i="3"/>
  <c r="E915" i="3"/>
  <c r="D915" i="3"/>
  <c r="H914" i="3"/>
  <c r="G914" i="3"/>
  <c r="F914" i="3"/>
  <c r="E914" i="3"/>
  <c r="D914" i="3"/>
  <c r="H913" i="3"/>
  <c r="G913" i="3"/>
  <c r="F913" i="3"/>
  <c r="E913" i="3"/>
  <c r="D913" i="3"/>
  <c r="H912" i="3"/>
  <c r="G912" i="3"/>
  <c r="F912" i="3"/>
  <c r="E912" i="3"/>
  <c r="D912" i="3"/>
  <c r="H911" i="3"/>
  <c r="G911" i="3"/>
  <c r="F911" i="3"/>
  <c r="E911" i="3"/>
  <c r="D911" i="3"/>
  <c r="H910" i="3"/>
  <c r="G910" i="3"/>
  <c r="F910" i="3"/>
  <c r="E910" i="3"/>
  <c r="D910" i="3"/>
  <c r="H909" i="3"/>
  <c r="G909" i="3"/>
  <c r="F909" i="3"/>
  <c r="E909" i="3"/>
  <c r="D909" i="3"/>
  <c r="H908" i="3"/>
  <c r="G908" i="3"/>
  <c r="F908" i="3"/>
  <c r="E908" i="3"/>
  <c r="D908" i="3"/>
  <c r="H907" i="3"/>
  <c r="G907" i="3"/>
  <c r="F907" i="3"/>
  <c r="E907" i="3"/>
  <c r="D907" i="3"/>
  <c r="H906" i="3"/>
  <c r="G906" i="3"/>
  <c r="F906" i="3"/>
  <c r="E906" i="3"/>
  <c r="D906" i="3"/>
  <c r="H905" i="3"/>
  <c r="G905" i="3"/>
  <c r="F905" i="3"/>
  <c r="E905" i="3"/>
  <c r="D905" i="3"/>
  <c r="H904" i="3"/>
  <c r="G904" i="3"/>
  <c r="F904" i="3"/>
  <c r="E904" i="3"/>
  <c r="D904" i="3"/>
  <c r="H903" i="3"/>
  <c r="G903" i="3"/>
  <c r="F903" i="3"/>
  <c r="E903" i="3"/>
  <c r="D903" i="3"/>
  <c r="H902" i="3"/>
  <c r="G902" i="3"/>
  <c r="F902" i="3"/>
  <c r="E902" i="3"/>
  <c r="D902" i="3"/>
  <c r="H901" i="3"/>
  <c r="G901" i="3"/>
  <c r="F901" i="3"/>
  <c r="E901" i="3"/>
  <c r="D901" i="3"/>
  <c r="H900" i="3"/>
  <c r="G900" i="3"/>
  <c r="F900" i="3"/>
  <c r="E900" i="3"/>
  <c r="D900" i="3"/>
  <c r="H899" i="3"/>
  <c r="G899" i="3"/>
  <c r="F899" i="3"/>
  <c r="E899" i="3"/>
  <c r="D899" i="3"/>
  <c r="H898" i="3"/>
  <c r="G898" i="3"/>
  <c r="F898" i="3"/>
  <c r="E898" i="3"/>
  <c r="D898" i="3"/>
  <c r="H897" i="3"/>
  <c r="G897" i="3"/>
  <c r="F897" i="3"/>
  <c r="E897" i="3"/>
  <c r="D897" i="3"/>
  <c r="H896" i="3"/>
  <c r="G896" i="3"/>
  <c r="F896" i="3"/>
  <c r="E896" i="3"/>
  <c r="D896" i="3"/>
  <c r="H895" i="3"/>
  <c r="G895" i="3"/>
  <c r="F895" i="3"/>
  <c r="E895" i="3"/>
  <c r="D895" i="3"/>
  <c r="H894" i="3"/>
  <c r="G894" i="3"/>
  <c r="F894" i="3"/>
  <c r="E894" i="3"/>
  <c r="D894" i="3"/>
  <c r="H893" i="3"/>
  <c r="G893" i="3"/>
  <c r="F893" i="3"/>
  <c r="E893" i="3"/>
  <c r="D893" i="3"/>
  <c r="H892" i="3"/>
  <c r="G892" i="3"/>
  <c r="F892" i="3"/>
  <c r="E892" i="3"/>
  <c r="D892" i="3"/>
  <c r="H891" i="3"/>
  <c r="G891" i="3"/>
  <c r="F891" i="3"/>
  <c r="E891" i="3"/>
  <c r="D891" i="3"/>
  <c r="H890" i="3"/>
  <c r="G890" i="3"/>
  <c r="F890" i="3"/>
  <c r="E890" i="3"/>
  <c r="D890" i="3"/>
  <c r="H889" i="3"/>
  <c r="G889" i="3"/>
  <c r="F889" i="3"/>
  <c r="E889" i="3"/>
  <c r="D889" i="3"/>
  <c r="H888" i="3"/>
  <c r="G888" i="3"/>
  <c r="F888" i="3"/>
  <c r="E888" i="3"/>
  <c r="D888" i="3"/>
  <c r="H887" i="3"/>
  <c r="G887" i="3"/>
  <c r="F887" i="3"/>
  <c r="E887" i="3"/>
  <c r="D887" i="3"/>
  <c r="H886" i="3"/>
  <c r="G886" i="3"/>
  <c r="F886" i="3"/>
  <c r="E886" i="3"/>
  <c r="D886" i="3"/>
  <c r="H885" i="3"/>
  <c r="G885" i="3"/>
  <c r="F885" i="3"/>
  <c r="E885" i="3"/>
  <c r="D885" i="3"/>
  <c r="H884" i="3"/>
  <c r="G884" i="3"/>
  <c r="F884" i="3"/>
  <c r="E884" i="3"/>
  <c r="D884" i="3"/>
  <c r="H883" i="3"/>
  <c r="G883" i="3"/>
  <c r="F883" i="3"/>
  <c r="E883" i="3"/>
  <c r="D883" i="3"/>
  <c r="H882" i="3"/>
  <c r="G882" i="3"/>
  <c r="F882" i="3"/>
  <c r="E882" i="3"/>
  <c r="D882" i="3"/>
  <c r="H881" i="3"/>
  <c r="G881" i="3"/>
  <c r="F881" i="3"/>
  <c r="E881" i="3"/>
  <c r="D881" i="3"/>
  <c r="H880" i="3"/>
  <c r="G880" i="3"/>
  <c r="F880" i="3"/>
  <c r="E880" i="3"/>
  <c r="D880" i="3"/>
  <c r="H879" i="3"/>
  <c r="G879" i="3"/>
  <c r="F879" i="3"/>
  <c r="E879" i="3"/>
  <c r="D879" i="3"/>
  <c r="H878" i="3"/>
  <c r="G878" i="3"/>
  <c r="F878" i="3"/>
  <c r="E878" i="3"/>
  <c r="D878" i="3"/>
  <c r="H877" i="3"/>
  <c r="G877" i="3"/>
  <c r="F877" i="3"/>
  <c r="E877" i="3"/>
  <c r="D877" i="3"/>
  <c r="H876" i="3"/>
  <c r="G876" i="3"/>
  <c r="F876" i="3"/>
  <c r="E876" i="3"/>
  <c r="D876" i="3"/>
  <c r="H875" i="3"/>
  <c r="G875" i="3"/>
  <c r="F875" i="3"/>
  <c r="E875" i="3"/>
  <c r="D875" i="3"/>
  <c r="H874" i="3"/>
  <c r="G874" i="3"/>
  <c r="F874" i="3"/>
  <c r="E874" i="3"/>
  <c r="D874" i="3"/>
  <c r="H873" i="3"/>
  <c r="G873" i="3"/>
  <c r="F873" i="3"/>
  <c r="E873" i="3"/>
  <c r="D873" i="3"/>
  <c r="H872" i="3"/>
  <c r="G872" i="3"/>
  <c r="F872" i="3"/>
  <c r="E872" i="3"/>
  <c r="D872" i="3"/>
  <c r="H871" i="3"/>
  <c r="G871" i="3"/>
  <c r="F871" i="3"/>
  <c r="E871" i="3"/>
  <c r="D871" i="3"/>
  <c r="H870" i="3"/>
  <c r="G870" i="3"/>
  <c r="F870" i="3"/>
  <c r="E870" i="3"/>
  <c r="D870" i="3"/>
  <c r="H869" i="3"/>
  <c r="G869" i="3"/>
  <c r="F869" i="3"/>
  <c r="E869" i="3"/>
  <c r="D869" i="3"/>
  <c r="H868" i="3"/>
  <c r="G868" i="3"/>
  <c r="F868" i="3"/>
  <c r="E868" i="3"/>
  <c r="D868" i="3"/>
  <c r="H867" i="3"/>
  <c r="G867" i="3"/>
  <c r="F867" i="3"/>
  <c r="E867" i="3"/>
  <c r="D867" i="3"/>
  <c r="H866" i="3"/>
  <c r="G866" i="3"/>
  <c r="F866" i="3"/>
  <c r="E866" i="3"/>
  <c r="D866" i="3"/>
  <c r="H865" i="3"/>
  <c r="G865" i="3"/>
  <c r="F865" i="3"/>
  <c r="E865" i="3"/>
  <c r="D865" i="3"/>
  <c r="H864" i="3"/>
  <c r="G864" i="3"/>
  <c r="F864" i="3"/>
  <c r="E864" i="3"/>
  <c r="D864" i="3"/>
  <c r="H863" i="3"/>
  <c r="G863" i="3"/>
  <c r="F863" i="3"/>
  <c r="E863" i="3"/>
  <c r="D863" i="3"/>
  <c r="H862" i="3"/>
  <c r="G862" i="3"/>
  <c r="F862" i="3"/>
  <c r="E862" i="3"/>
  <c r="D862" i="3"/>
  <c r="H861" i="3"/>
  <c r="G861" i="3"/>
  <c r="F861" i="3"/>
  <c r="E861" i="3"/>
  <c r="D861" i="3"/>
  <c r="H860" i="3"/>
  <c r="G860" i="3"/>
  <c r="F860" i="3"/>
  <c r="E860" i="3"/>
  <c r="D860" i="3"/>
  <c r="H859" i="3"/>
  <c r="G859" i="3"/>
  <c r="F859" i="3"/>
  <c r="E859" i="3"/>
  <c r="D859" i="3"/>
  <c r="H858" i="3"/>
  <c r="G858" i="3"/>
  <c r="F858" i="3"/>
  <c r="E858" i="3"/>
  <c r="D858" i="3"/>
  <c r="H857" i="3"/>
  <c r="G857" i="3"/>
  <c r="F857" i="3"/>
  <c r="E857" i="3"/>
  <c r="D857" i="3"/>
  <c r="H856" i="3"/>
  <c r="G856" i="3"/>
  <c r="F856" i="3"/>
  <c r="E856" i="3"/>
  <c r="D856" i="3"/>
  <c r="H855" i="3"/>
  <c r="G855" i="3"/>
  <c r="F855" i="3"/>
  <c r="E855" i="3"/>
  <c r="D855" i="3"/>
  <c r="H854" i="3"/>
  <c r="G854" i="3"/>
  <c r="F854" i="3"/>
  <c r="E854" i="3"/>
  <c r="D854" i="3"/>
  <c r="H853" i="3"/>
  <c r="G853" i="3"/>
  <c r="F853" i="3"/>
  <c r="E853" i="3"/>
  <c r="D853" i="3"/>
  <c r="H852" i="3"/>
  <c r="G852" i="3"/>
  <c r="F852" i="3"/>
  <c r="E852" i="3"/>
  <c r="D852" i="3"/>
  <c r="H851" i="3"/>
  <c r="G851" i="3"/>
  <c r="F851" i="3"/>
  <c r="E851" i="3"/>
  <c r="D851" i="3"/>
  <c r="H850" i="3"/>
  <c r="G850" i="3"/>
  <c r="F850" i="3"/>
  <c r="E850" i="3"/>
  <c r="D850" i="3"/>
  <c r="H849" i="3"/>
  <c r="G849" i="3"/>
  <c r="F849" i="3"/>
  <c r="E849" i="3"/>
  <c r="D849" i="3"/>
  <c r="H848" i="3"/>
  <c r="G848" i="3"/>
  <c r="F848" i="3"/>
  <c r="E848" i="3"/>
  <c r="D848" i="3"/>
  <c r="H847" i="3"/>
  <c r="G847" i="3"/>
  <c r="F847" i="3"/>
  <c r="E847" i="3"/>
  <c r="D847" i="3"/>
  <c r="H846" i="3"/>
  <c r="G846" i="3"/>
  <c r="F846" i="3"/>
  <c r="E846" i="3"/>
  <c r="D846" i="3"/>
  <c r="H845" i="3"/>
  <c r="G845" i="3"/>
  <c r="F845" i="3"/>
  <c r="E845" i="3"/>
  <c r="D845" i="3"/>
  <c r="H844" i="3"/>
  <c r="G844" i="3"/>
  <c r="F844" i="3"/>
  <c r="E844" i="3"/>
  <c r="D844" i="3"/>
  <c r="H843" i="3"/>
  <c r="G843" i="3"/>
  <c r="F843" i="3"/>
  <c r="E843" i="3"/>
  <c r="D843" i="3"/>
  <c r="H842" i="3"/>
  <c r="G842" i="3"/>
  <c r="F842" i="3"/>
  <c r="E842" i="3"/>
  <c r="D842" i="3"/>
  <c r="H841" i="3"/>
  <c r="G841" i="3"/>
  <c r="F841" i="3"/>
  <c r="E841" i="3"/>
  <c r="D841" i="3"/>
  <c r="H840" i="3"/>
  <c r="G840" i="3"/>
  <c r="F840" i="3"/>
  <c r="E840" i="3"/>
  <c r="D840" i="3"/>
  <c r="H839" i="3"/>
  <c r="G839" i="3"/>
  <c r="F839" i="3"/>
  <c r="E839" i="3"/>
  <c r="D839" i="3"/>
  <c r="H838" i="3"/>
  <c r="G838" i="3"/>
  <c r="F838" i="3"/>
  <c r="E838" i="3"/>
  <c r="D838" i="3"/>
  <c r="H837" i="3"/>
  <c r="G837" i="3"/>
  <c r="F837" i="3"/>
  <c r="E837" i="3"/>
  <c r="D837" i="3"/>
  <c r="H836" i="3"/>
  <c r="G836" i="3"/>
  <c r="F836" i="3"/>
  <c r="E836" i="3"/>
  <c r="D836" i="3"/>
  <c r="H835" i="3"/>
  <c r="G835" i="3"/>
  <c r="F835" i="3"/>
  <c r="E835" i="3"/>
  <c r="D835" i="3"/>
  <c r="H834" i="3"/>
  <c r="G834" i="3"/>
  <c r="F834" i="3"/>
  <c r="E834" i="3"/>
  <c r="D834" i="3"/>
  <c r="H833" i="3"/>
  <c r="G833" i="3"/>
  <c r="F833" i="3"/>
  <c r="E833" i="3"/>
  <c r="D833" i="3"/>
  <c r="H832" i="3"/>
  <c r="G832" i="3"/>
  <c r="F832" i="3"/>
  <c r="E832" i="3"/>
  <c r="D832" i="3"/>
  <c r="H831" i="3"/>
  <c r="G831" i="3"/>
  <c r="F831" i="3"/>
  <c r="E831" i="3"/>
  <c r="D831" i="3"/>
  <c r="H830" i="3"/>
  <c r="G830" i="3"/>
  <c r="F830" i="3"/>
  <c r="E830" i="3"/>
  <c r="D830" i="3"/>
  <c r="H829" i="3"/>
  <c r="G829" i="3"/>
  <c r="F829" i="3"/>
  <c r="E829" i="3"/>
  <c r="D829" i="3"/>
  <c r="H828" i="3"/>
  <c r="G828" i="3"/>
  <c r="F828" i="3"/>
  <c r="E828" i="3"/>
  <c r="D828" i="3"/>
  <c r="H827" i="3"/>
  <c r="G827" i="3"/>
  <c r="F827" i="3"/>
  <c r="E827" i="3"/>
  <c r="D827" i="3"/>
  <c r="H826" i="3"/>
  <c r="G826" i="3"/>
  <c r="F826" i="3"/>
  <c r="E826" i="3"/>
  <c r="D826" i="3"/>
  <c r="H825" i="3"/>
  <c r="G825" i="3"/>
  <c r="F825" i="3"/>
  <c r="E825" i="3"/>
  <c r="D825" i="3"/>
  <c r="H824" i="3"/>
  <c r="G824" i="3"/>
  <c r="F824" i="3"/>
  <c r="E824" i="3"/>
  <c r="D824" i="3"/>
  <c r="H823" i="3"/>
  <c r="G823" i="3"/>
  <c r="F823" i="3"/>
  <c r="E823" i="3"/>
  <c r="D823" i="3"/>
  <c r="H822" i="3"/>
  <c r="G822" i="3"/>
  <c r="F822" i="3"/>
  <c r="E822" i="3"/>
  <c r="D822" i="3"/>
  <c r="H821" i="3"/>
  <c r="G821" i="3"/>
  <c r="F821" i="3"/>
  <c r="E821" i="3"/>
  <c r="D821" i="3"/>
  <c r="H820" i="3"/>
  <c r="G820" i="3"/>
  <c r="F820" i="3"/>
  <c r="E820" i="3"/>
  <c r="D820" i="3"/>
  <c r="H819" i="3"/>
  <c r="G819" i="3"/>
  <c r="F819" i="3"/>
  <c r="E819" i="3"/>
  <c r="D819" i="3"/>
  <c r="H818" i="3"/>
  <c r="G818" i="3"/>
  <c r="F818" i="3"/>
  <c r="E818" i="3"/>
  <c r="D818" i="3"/>
  <c r="H817" i="3"/>
  <c r="G817" i="3"/>
  <c r="F817" i="3"/>
  <c r="E817" i="3"/>
  <c r="D817" i="3"/>
  <c r="H816" i="3"/>
  <c r="G816" i="3"/>
  <c r="F816" i="3"/>
  <c r="E816" i="3"/>
  <c r="D816" i="3"/>
  <c r="H815" i="3"/>
  <c r="G815" i="3"/>
  <c r="F815" i="3"/>
  <c r="E815" i="3"/>
  <c r="D815" i="3"/>
  <c r="H814" i="3"/>
  <c r="G814" i="3"/>
  <c r="F814" i="3"/>
  <c r="E814" i="3"/>
  <c r="D814" i="3"/>
  <c r="H813" i="3"/>
  <c r="G813" i="3"/>
  <c r="F813" i="3"/>
  <c r="E813" i="3"/>
  <c r="D813" i="3"/>
  <c r="H812" i="3"/>
  <c r="G812" i="3"/>
  <c r="F812" i="3"/>
  <c r="E812" i="3"/>
  <c r="D812" i="3"/>
  <c r="H811" i="3"/>
  <c r="G811" i="3"/>
  <c r="F811" i="3"/>
  <c r="E811" i="3"/>
  <c r="D811" i="3"/>
  <c r="H810" i="3"/>
  <c r="G810" i="3"/>
  <c r="F810" i="3"/>
  <c r="E810" i="3"/>
  <c r="D810" i="3"/>
  <c r="H809" i="3"/>
  <c r="G809" i="3"/>
  <c r="F809" i="3"/>
  <c r="E809" i="3"/>
  <c r="D809" i="3"/>
  <c r="H808" i="3"/>
  <c r="G808" i="3"/>
  <c r="F808" i="3"/>
  <c r="E808" i="3"/>
  <c r="D808" i="3"/>
  <c r="H807" i="3"/>
  <c r="G807" i="3"/>
  <c r="F807" i="3"/>
  <c r="E807" i="3"/>
  <c r="D807" i="3"/>
  <c r="H806" i="3"/>
  <c r="G806" i="3"/>
  <c r="F806" i="3"/>
  <c r="E806" i="3"/>
  <c r="D806" i="3"/>
  <c r="H805" i="3"/>
  <c r="G805" i="3"/>
  <c r="F805" i="3"/>
  <c r="E805" i="3"/>
  <c r="D805" i="3"/>
  <c r="H804" i="3"/>
  <c r="G804" i="3"/>
  <c r="F804" i="3"/>
  <c r="E804" i="3"/>
  <c r="D804" i="3"/>
  <c r="H803" i="3"/>
  <c r="G803" i="3"/>
  <c r="F803" i="3"/>
  <c r="E803" i="3"/>
  <c r="D803" i="3"/>
  <c r="H802" i="3"/>
  <c r="G802" i="3"/>
  <c r="F802" i="3"/>
  <c r="E802" i="3"/>
  <c r="D802" i="3"/>
  <c r="H801" i="3"/>
  <c r="G801" i="3"/>
  <c r="F801" i="3"/>
  <c r="E801" i="3"/>
  <c r="D801" i="3"/>
  <c r="H800" i="3"/>
  <c r="G800" i="3"/>
  <c r="F800" i="3"/>
  <c r="E800" i="3"/>
  <c r="D800" i="3"/>
  <c r="H799" i="3"/>
  <c r="G799" i="3"/>
  <c r="F799" i="3"/>
  <c r="E799" i="3"/>
  <c r="D799" i="3"/>
  <c r="H798" i="3"/>
  <c r="G798" i="3"/>
  <c r="F798" i="3"/>
  <c r="E798" i="3"/>
  <c r="D798" i="3"/>
  <c r="H797" i="3"/>
  <c r="G797" i="3"/>
  <c r="F797" i="3"/>
  <c r="E797" i="3"/>
  <c r="D797" i="3"/>
  <c r="H796" i="3"/>
  <c r="G796" i="3"/>
  <c r="F796" i="3"/>
  <c r="E796" i="3"/>
  <c r="D796" i="3"/>
  <c r="H795" i="3"/>
  <c r="G795" i="3"/>
  <c r="F795" i="3"/>
  <c r="E795" i="3"/>
  <c r="D795" i="3"/>
  <c r="H794" i="3"/>
  <c r="G794" i="3"/>
  <c r="F794" i="3"/>
  <c r="E794" i="3"/>
  <c r="D794" i="3"/>
  <c r="H793" i="3"/>
  <c r="G793" i="3"/>
  <c r="F793" i="3"/>
  <c r="E793" i="3"/>
  <c r="D793" i="3"/>
  <c r="H792" i="3"/>
  <c r="G792" i="3"/>
  <c r="F792" i="3"/>
  <c r="E792" i="3"/>
  <c r="D792" i="3"/>
  <c r="H791" i="3"/>
  <c r="G791" i="3"/>
  <c r="F791" i="3"/>
  <c r="E791" i="3"/>
  <c r="D791" i="3"/>
  <c r="H790" i="3"/>
  <c r="G790" i="3"/>
  <c r="F790" i="3"/>
  <c r="E790" i="3"/>
  <c r="D790" i="3"/>
  <c r="H789" i="3"/>
  <c r="G789" i="3"/>
  <c r="F789" i="3"/>
  <c r="E789" i="3"/>
  <c r="D789" i="3"/>
  <c r="H788" i="3"/>
  <c r="G788" i="3"/>
  <c r="F788" i="3"/>
  <c r="E788" i="3"/>
  <c r="D788" i="3"/>
  <c r="H787" i="3"/>
  <c r="G787" i="3"/>
  <c r="F787" i="3"/>
  <c r="E787" i="3"/>
  <c r="D787" i="3"/>
  <c r="H786" i="3"/>
  <c r="G786" i="3"/>
  <c r="F786" i="3"/>
  <c r="E786" i="3"/>
  <c r="D786" i="3"/>
  <c r="H785" i="3"/>
  <c r="G785" i="3"/>
  <c r="F785" i="3"/>
  <c r="E785" i="3"/>
  <c r="D785" i="3"/>
  <c r="H784" i="3"/>
  <c r="G784" i="3"/>
  <c r="F784" i="3"/>
  <c r="E784" i="3"/>
  <c r="D784" i="3"/>
  <c r="H783" i="3"/>
  <c r="G783" i="3"/>
  <c r="F783" i="3"/>
  <c r="E783" i="3"/>
  <c r="D783" i="3"/>
  <c r="H782" i="3"/>
  <c r="G782" i="3"/>
  <c r="F782" i="3"/>
  <c r="E782" i="3"/>
  <c r="D782" i="3"/>
  <c r="H781" i="3"/>
  <c r="G781" i="3"/>
  <c r="F781" i="3"/>
  <c r="E781" i="3"/>
  <c r="D781" i="3"/>
  <c r="H780" i="3"/>
  <c r="G780" i="3"/>
  <c r="F780" i="3"/>
  <c r="E780" i="3"/>
  <c r="D780" i="3"/>
  <c r="H779" i="3"/>
  <c r="G779" i="3"/>
  <c r="F779" i="3"/>
  <c r="E779" i="3"/>
  <c r="D779" i="3"/>
  <c r="H778" i="3"/>
  <c r="G778" i="3"/>
  <c r="F778" i="3"/>
  <c r="E778" i="3"/>
  <c r="D778" i="3"/>
  <c r="H777" i="3"/>
  <c r="G777" i="3"/>
  <c r="F777" i="3"/>
  <c r="E777" i="3"/>
  <c r="D777" i="3"/>
  <c r="H776" i="3"/>
  <c r="G776" i="3"/>
  <c r="F776" i="3"/>
  <c r="E776" i="3"/>
  <c r="D776" i="3"/>
  <c r="H775" i="3"/>
  <c r="G775" i="3"/>
  <c r="F775" i="3"/>
  <c r="E775" i="3"/>
  <c r="D775" i="3"/>
  <c r="H774" i="3"/>
  <c r="G774" i="3"/>
  <c r="F774" i="3"/>
  <c r="E774" i="3"/>
  <c r="D774" i="3"/>
  <c r="H773" i="3"/>
  <c r="G773" i="3"/>
  <c r="F773" i="3"/>
  <c r="E773" i="3"/>
  <c r="D773" i="3"/>
  <c r="H772" i="3"/>
  <c r="G772" i="3"/>
  <c r="F772" i="3"/>
  <c r="E772" i="3"/>
  <c r="D772" i="3"/>
  <c r="H771" i="3"/>
  <c r="G771" i="3"/>
  <c r="F771" i="3"/>
  <c r="E771" i="3"/>
  <c r="D771" i="3"/>
  <c r="H770" i="3"/>
  <c r="G770" i="3"/>
  <c r="F770" i="3"/>
  <c r="E770" i="3"/>
  <c r="D770" i="3"/>
  <c r="H769" i="3"/>
  <c r="G769" i="3"/>
  <c r="F769" i="3"/>
  <c r="E769" i="3"/>
  <c r="D769" i="3"/>
  <c r="H768" i="3"/>
  <c r="G768" i="3"/>
  <c r="F768" i="3"/>
  <c r="E768" i="3"/>
  <c r="D768" i="3"/>
  <c r="H767" i="3"/>
  <c r="G767" i="3"/>
  <c r="F767" i="3"/>
  <c r="E767" i="3"/>
  <c r="D767" i="3"/>
  <c r="H766" i="3"/>
  <c r="G766" i="3"/>
  <c r="F766" i="3"/>
  <c r="E766" i="3"/>
  <c r="D766" i="3"/>
  <c r="H765" i="3"/>
  <c r="G765" i="3"/>
  <c r="F765" i="3"/>
  <c r="E765" i="3"/>
  <c r="D765" i="3"/>
  <c r="H764" i="3"/>
  <c r="G764" i="3"/>
  <c r="F764" i="3"/>
  <c r="E764" i="3"/>
  <c r="D764" i="3"/>
  <c r="H763" i="3"/>
  <c r="G763" i="3"/>
  <c r="F763" i="3"/>
  <c r="E763" i="3"/>
  <c r="D763" i="3"/>
  <c r="H762" i="3"/>
  <c r="G762" i="3"/>
  <c r="F762" i="3"/>
  <c r="E762" i="3"/>
  <c r="D762" i="3"/>
  <c r="H761" i="3"/>
  <c r="G761" i="3"/>
  <c r="F761" i="3"/>
  <c r="E761" i="3"/>
  <c r="D761" i="3"/>
  <c r="H760" i="3"/>
  <c r="G760" i="3"/>
  <c r="F760" i="3"/>
  <c r="E760" i="3"/>
  <c r="D760" i="3"/>
  <c r="H759" i="3"/>
  <c r="G759" i="3"/>
  <c r="F759" i="3"/>
  <c r="E759" i="3"/>
  <c r="D759" i="3"/>
  <c r="H758" i="3"/>
  <c r="G758" i="3"/>
  <c r="F758" i="3"/>
  <c r="E758" i="3"/>
  <c r="D758" i="3"/>
  <c r="H757" i="3"/>
  <c r="G757" i="3"/>
  <c r="F757" i="3"/>
  <c r="E757" i="3"/>
  <c r="D757" i="3"/>
  <c r="H756" i="3"/>
  <c r="G756" i="3"/>
  <c r="F756" i="3"/>
  <c r="E756" i="3"/>
  <c r="D756" i="3"/>
  <c r="H755" i="3"/>
  <c r="G755" i="3"/>
  <c r="F755" i="3"/>
  <c r="E755" i="3"/>
  <c r="D755" i="3"/>
  <c r="H754" i="3"/>
  <c r="G754" i="3"/>
  <c r="F754" i="3"/>
  <c r="E754" i="3"/>
  <c r="D754" i="3"/>
  <c r="H753" i="3"/>
  <c r="G753" i="3"/>
  <c r="F753" i="3"/>
  <c r="E753" i="3"/>
  <c r="D753" i="3"/>
  <c r="H752" i="3"/>
  <c r="G752" i="3"/>
  <c r="F752" i="3"/>
  <c r="E752" i="3"/>
  <c r="D752" i="3"/>
  <c r="H751" i="3"/>
  <c r="G751" i="3"/>
  <c r="F751" i="3"/>
  <c r="E751" i="3"/>
  <c r="D751" i="3"/>
  <c r="H750" i="3"/>
  <c r="G750" i="3"/>
  <c r="F750" i="3"/>
  <c r="E750" i="3"/>
  <c r="D750" i="3"/>
  <c r="H749" i="3"/>
  <c r="G749" i="3"/>
  <c r="F749" i="3"/>
  <c r="E749" i="3"/>
  <c r="D749" i="3"/>
  <c r="H748" i="3"/>
  <c r="G748" i="3"/>
  <c r="F748" i="3"/>
  <c r="E748" i="3"/>
  <c r="D748" i="3"/>
  <c r="H747" i="3"/>
  <c r="G747" i="3"/>
  <c r="F747" i="3"/>
  <c r="E747" i="3"/>
  <c r="D747" i="3"/>
  <c r="H746" i="3"/>
  <c r="G746" i="3"/>
  <c r="F746" i="3"/>
  <c r="E746" i="3"/>
  <c r="D746" i="3"/>
  <c r="H745" i="3"/>
  <c r="G745" i="3"/>
  <c r="F745" i="3"/>
  <c r="E745" i="3"/>
  <c r="D745" i="3"/>
  <c r="H744" i="3"/>
  <c r="G744" i="3"/>
  <c r="F744" i="3"/>
  <c r="E744" i="3"/>
  <c r="D744" i="3"/>
  <c r="H743" i="3"/>
  <c r="G743" i="3"/>
  <c r="F743" i="3"/>
  <c r="E743" i="3"/>
  <c r="D743" i="3"/>
  <c r="H742" i="3"/>
  <c r="G742" i="3"/>
  <c r="F742" i="3"/>
  <c r="E742" i="3"/>
  <c r="D742" i="3"/>
  <c r="H741" i="3"/>
  <c r="G741" i="3"/>
  <c r="F741" i="3"/>
  <c r="E741" i="3"/>
  <c r="D741" i="3"/>
  <c r="H740" i="3"/>
  <c r="G740" i="3"/>
  <c r="F740" i="3"/>
  <c r="E740" i="3"/>
  <c r="D740" i="3"/>
  <c r="H739" i="3"/>
  <c r="G739" i="3"/>
  <c r="F739" i="3"/>
  <c r="E739" i="3"/>
  <c r="D739" i="3"/>
  <c r="H738" i="3"/>
  <c r="G738" i="3"/>
  <c r="F738" i="3"/>
  <c r="E738" i="3"/>
  <c r="D738" i="3"/>
  <c r="H737" i="3"/>
  <c r="G737" i="3"/>
  <c r="F737" i="3"/>
  <c r="E737" i="3"/>
  <c r="D737" i="3"/>
  <c r="H736" i="3"/>
  <c r="G736" i="3"/>
  <c r="F736" i="3"/>
  <c r="E736" i="3"/>
  <c r="D736" i="3"/>
  <c r="H735" i="3"/>
  <c r="G735" i="3"/>
  <c r="F735" i="3"/>
  <c r="E735" i="3"/>
  <c r="D735" i="3"/>
  <c r="H734" i="3"/>
  <c r="G734" i="3"/>
  <c r="F734" i="3"/>
  <c r="E734" i="3"/>
  <c r="D734" i="3"/>
  <c r="H733" i="3"/>
  <c r="G733" i="3"/>
  <c r="F733" i="3"/>
  <c r="E733" i="3"/>
  <c r="D733" i="3"/>
  <c r="H732" i="3"/>
  <c r="G732" i="3"/>
  <c r="F732" i="3"/>
  <c r="E732" i="3"/>
  <c r="D732" i="3"/>
  <c r="H731" i="3"/>
  <c r="G731" i="3"/>
  <c r="F731" i="3"/>
  <c r="E731" i="3"/>
  <c r="D731" i="3"/>
  <c r="H730" i="3"/>
  <c r="G730" i="3"/>
  <c r="F730" i="3"/>
  <c r="E730" i="3"/>
  <c r="D730" i="3"/>
  <c r="H729" i="3"/>
  <c r="G729" i="3"/>
  <c r="F729" i="3"/>
  <c r="E729" i="3"/>
  <c r="D729" i="3"/>
  <c r="H728" i="3"/>
  <c r="G728" i="3"/>
  <c r="F728" i="3"/>
  <c r="E728" i="3"/>
  <c r="D728" i="3"/>
  <c r="H727" i="3"/>
  <c r="G727" i="3"/>
  <c r="F727" i="3"/>
  <c r="E727" i="3"/>
  <c r="D727" i="3"/>
  <c r="H726" i="3"/>
  <c r="G726" i="3"/>
  <c r="F726" i="3"/>
  <c r="E726" i="3"/>
  <c r="D726" i="3"/>
  <c r="H725" i="3"/>
  <c r="G725" i="3"/>
  <c r="F725" i="3"/>
  <c r="E725" i="3"/>
  <c r="D725" i="3"/>
  <c r="H724" i="3"/>
  <c r="G724" i="3"/>
  <c r="F724" i="3"/>
  <c r="E724" i="3"/>
  <c r="D724" i="3"/>
  <c r="H723" i="3"/>
  <c r="G723" i="3"/>
  <c r="F723" i="3"/>
  <c r="E723" i="3"/>
  <c r="D723" i="3"/>
  <c r="H722" i="3"/>
  <c r="G722" i="3"/>
  <c r="F722" i="3"/>
  <c r="E722" i="3"/>
  <c r="D722" i="3"/>
  <c r="H721" i="3"/>
  <c r="G721" i="3"/>
  <c r="F721" i="3"/>
  <c r="E721" i="3"/>
  <c r="D721" i="3"/>
  <c r="H720" i="3"/>
  <c r="G720" i="3"/>
  <c r="F720" i="3"/>
  <c r="E720" i="3"/>
  <c r="D720" i="3"/>
  <c r="H719" i="3"/>
  <c r="G719" i="3"/>
  <c r="F719" i="3"/>
  <c r="E719" i="3"/>
  <c r="D719" i="3"/>
  <c r="H718" i="3"/>
  <c r="G718" i="3"/>
  <c r="F718" i="3"/>
  <c r="E718" i="3"/>
  <c r="D718" i="3"/>
  <c r="H717" i="3"/>
  <c r="G717" i="3"/>
  <c r="F717" i="3"/>
  <c r="E717" i="3"/>
  <c r="D717" i="3"/>
  <c r="H716" i="3"/>
  <c r="G716" i="3"/>
  <c r="F716" i="3"/>
  <c r="E716" i="3"/>
  <c r="D716" i="3"/>
  <c r="H715" i="3"/>
  <c r="G715" i="3"/>
  <c r="F715" i="3"/>
  <c r="E715" i="3"/>
  <c r="D715" i="3"/>
  <c r="H714" i="3"/>
  <c r="G714" i="3"/>
  <c r="F714" i="3"/>
  <c r="E714" i="3"/>
  <c r="D714" i="3"/>
  <c r="H713" i="3"/>
  <c r="G713" i="3"/>
  <c r="F713" i="3"/>
  <c r="E713" i="3"/>
  <c r="D713" i="3"/>
  <c r="H712" i="3"/>
  <c r="G712" i="3"/>
  <c r="F712" i="3"/>
  <c r="E712" i="3"/>
  <c r="D712" i="3"/>
  <c r="H711" i="3"/>
  <c r="G711" i="3"/>
  <c r="F711" i="3"/>
  <c r="E711" i="3"/>
  <c r="D711" i="3"/>
  <c r="H710" i="3"/>
  <c r="G710" i="3"/>
  <c r="F710" i="3"/>
  <c r="E710" i="3"/>
  <c r="D710" i="3"/>
  <c r="H709" i="3"/>
  <c r="G709" i="3"/>
  <c r="F709" i="3"/>
  <c r="E709" i="3"/>
  <c r="D709" i="3"/>
  <c r="H708" i="3"/>
  <c r="G708" i="3"/>
  <c r="F708" i="3"/>
  <c r="E708" i="3"/>
  <c r="D708" i="3"/>
  <c r="H707" i="3"/>
  <c r="G707" i="3"/>
  <c r="F707" i="3"/>
  <c r="E707" i="3"/>
  <c r="D707" i="3"/>
  <c r="H706" i="3"/>
  <c r="G706" i="3"/>
  <c r="F706" i="3"/>
  <c r="E706" i="3"/>
  <c r="D706" i="3"/>
  <c r="H705" i="3"/>
  <c r="G705" i="3"/>
  <c r="F705" i="3"/>
  <c r="E705" i="3"/>
  <c r="D705" i="3"/>
  <c r="H704" i="3"/>
  <c r="G704" i="3"/>
  <c r="F704" i="3"/>
  <c r="E704" i="3"/>
  <c r="D704" i="3"/>
  <c r="H703" i="3"/>
  <c r="G703" i="3"/>
  <c r="F703" i="3"/>
  <c r="E703" i="3"/>
  <c r="D703" i="3"/>
  <c r="H702" i="3"/>
  <c r="G702" i="3"/>
  <c r="F702" i="3"/>
  <c r="E702" i="3"/>
  <c r="D702" i="3"/>
  <c r="H701" i="3"/>
  <c r="G701" i="3"/>
  <c r="F701" i="3"/>
  <c r="E701" i="3"/>
  <c r="D701" i="3"/>
  <c r="H700" i="3"/>
  <c r="G700" i="3"/>
  <c r="F700" i="3"/>
  <c r="E700" i="3"/>
  <c r="D700" i="3"/>
  <c r="H699" i="3"/>
  <c r="G699" i="3"/>
  <c r="F699" i="3"/>
  <c r="E699" i="3"/>
  <c r="D699" i="3"/>
  <c r="H698" i="3"/>
  <c r="G698" i="3"/>
  <c r="F698" i="3"/>
  <c r="E698" i="3"/>
  <c r="D698" i="3"/>
  <c r="H697" i="3"/>
  <c r="G697" i="3"/>
  <c r="F697" i="3"/>
  <c r="E697" i="3"/>
  <c r="D697" i="3"/>
  <c r="H696" i="3"/>
  <c r="G696" i="3"/>
  <c r="F696" i="3"/>
  <c r="E696" i="3"/>
  <c r="D696" i="3"/>
  <c r="H695" i="3"/>
  <c r="G695" i="3"/>
  <c r="F695" i="3"/>
  <c r="E695" i="3"/>
  <c r="D695" i="3"/>
  <c r="H694" i="3"/>
  <c r="G694" i="3"/>
  <c r="F694" i="3"/>
  <c r="E694" i="3"/>
  <c r="D694" i="3"/>
  <c r="H693" i="3"/>
  <c r="G693" i="3"/>
  <c r="F693" i="3"/>
  <c r="E693" i="3"/>
  <c r="D693" i="3"/>
  <c r="H692" i="3"/>
  <c r="G692" i="3"/>
  <c r="F692" i="3"/>
  <c r="E692" i="3"/>
  <c r="D692" i="3"/>
  <c r="H691" i="3"/>
  <c r="G691" i="3"/>
  <c r="F691" i="3"/>
  <c r="E691" i="3"/>
  <c r="D691" i="3"/>
  <c r="H690" i="3"/>
  <c r="G690" i="3"/>
  <c r="F690" i="3"/>
  <c r="E690" i="3"/>
  <c r="D690" i="3"/>
  <c r="H689" i="3"/>
  <c r="G689" i="3"/>
  <c r="F689" i="3"/>
  <c r="E689" i="3"/>
  <c r="D689" i="3"/>
  <c r="H688" i="3"/>
  <c r="G688" i="3"/>
  <c r="F688" i="3"/>
  <c r="E688" i="3"/>
  <c r="D688" i="3"/>
  <c r="H687" i="3"/>
  <c r="G687" i="3"/>
  <c r="F687" i="3"/>
  <c r="E687" i="3"/>
  <c r="D687" i="3"/>
  <c r="H686" i="3"/>
  <c r="G686" i="3"/>
  <c r="F686" i="3"/>
  <c r="E686" i="3"/>
  <c r="D686" i="3"/>
  <c r="H685" i="3"/>
  <c r="G685" i="3"/>
  <c r="F685" i="3"/>
  <c r="E685" i="3"/>
  <c r="D685" i="3"/>
  <c r="H684" i="3"/>
  <c r="G684" i="3"/>
  <c r="F684" i="3"/>
  <c r="E684" i="3"/>
  <c r="D684" i="3"/>
  <c r="H683" i="3"/>
  <c r="G683" i="3"/>
  <c r="F683" i="3"/>
  <c r="E683" i="3"/>
  <c r="D683" i="3"/>
  <c r="H682" i="3"/>
  <c r="G682" i="3"/>
  <c r="F682" i="3"/>
  <c r="E682" i="3"/>
  <c r="D682" i="3"/>
  <c r="H681" i="3"/>
  <c r="G681" i="3"/>
  <c r="F681" i="3"/>
  <c r="E681" i="3"/>
  <c r="D681" i="3"/>
  <c r="H680" i="3"/>
  <c r="G680" i="3"/>
  <c r="F680" i="3"/>
  <c r="E680" i="3"/>
  <c r="D680" i="3"/>
  <c r="H679" i="3"/>
  <c r="G679" i="3"/>
  <c r="F679" i="3"/>
  <c r="E679" i="3"/>
  <c r="D679" i="3"/>
  <c r="H678" i="3"/>
  <c r="G678" i="3"/>
  <c r="F678" i="3"/>
  <c r="E678" i="3"/>
  <c r="D678" i="3"/>
  <c r="H677" i="3"/>
  <c r="G677" i="3"/>
  <c r="F677" i="3"/>
  <c r="E677" i="3"/>
  <c r="D677" i="3"/>
  <c r="H676" i="3"/>
  <c r="G676" i="3"/>
  <c r="F676" i="3"/>
  <c r="E676" i="3"/>
  <c r="D676" i="3"/>
  <c r="H675" i="3"/>
  <c r="G675" i="3"/>
  <c r="F675" i="3"/>
  <c r="E675" i="3"/>
  <c r="D675" i="3"/>
  <c r="H674" i="3"/>
  <c r="G674" i="3"/>
  <c r="F674" i="3"/>
  <c r="E674" i="3"/>
  <c r="D674" i="3"/>
  <c r="H673" i="3"/>
  <c r="G673" i="3"/>
  <c r="F673" i="3"/>
  <c r="E673" i="3"/>
  <c r="D673" i="3"/>
  <c r="H672" i="3"/>
  <c r="G672" i="3"/>
  <c r="F672" i="3"/>
  <c r="E672" i="3"/>
  <c r="D672" i="3"/>
  <c r="H671" i="3"/>
  <c r="G671" i="3"/>
  <c r="F671" i="3"/>
  <c r="E671" i="3"/>
  <c r="D671" i="3"/>
  <c r="H670" i="3"/>
  <c r="G670" i="3"/>
  <c r="F670" i="3"/>
  <c r="E670" i="3"/>
  <c r="D670" i="3"/>
  <c r="H669" i="3"/>
  <c r="G669" i="3"/>
  <c r="F669" i="3"/>
  <c r="E669" i="3"/>
  <c r="D669" i="3"/>
  <c r="H668" i="3"/>
  <c r="G668" i="3"/>
  <c r="F668" i="3"/>
  <c r="E668" i="3"/>
  <c r="D668" i="3"/>
  <c r="H667" i="3"/>
  <c r="G667" i="3"/>
  <c r="F667" i="3"/>
  <c r="E667" i="3"/>
  <c r="D667" i="3"/>
  <c r="H666" i="3"/>
  <c r="G666" i="3"/>
  <c r="F666" i="3"/>
  <c r="E666" i="3"/>
  <c r="D666" i="3"/>
  <c r="H665" i="3"/>
  <c r="G665" i="3"/>
  <c r="F665" i="3"/>
  <c r="E665" i="3"/>
  <c r="D665" i="3"/>
  <c r="H664" i="3"/>
  <c r="G664" i="3"/>
  <c r="F664" i="3"/>
  <c r="E664" i="3"/>
  <c r="D664" i="3"/>
  <c r="H663" i="3"/>
  <c r="G663" i="3"/>
  <c r="F663" i="3"/>
  <c r="E663" i="3"/>
  <c r="D663" i="3"/>
  <c r="H662" i="3"/>
  <c r="G662" i="3"/>
  <c r="F662" i="3"/>
  <c r="E662" i="3"/>
  <c r="D662" i="3"/>
  <c r="H661" i="3"/>
  <c r="G661" i="3"/>
  <c r="F661" i="3"/>
  <c r="E661" i="3"/>
  <c r="D661" i="3"/>
  <c r="H660" i="3"/>
  <c r="G660" i="3"/>
  <c r="F660" i="3"/>
  <c r="E660" i="3"/>
  <c r="D660" i="3"/>
  <c r="H659" i="3"/>
  <c r="G659" i="3"/>
  <c r="F659" i="3"/>
  <c r="E659" i="3"/>
  <c r="D659" i="3"/>
  <c r="H658" i="3"/>
  <c r="G658" i="3"/>
  <c r="F658" i="3"/>
  <c r="E658" i="3"/>
  <c r="D658" i="3"/>
  <c r="H657" i="3"/>
  <c r="G657" i="3"/>
  <c r="F657" i="3"/>
  <c r="E657" i="3"/>
  <c r="D657" i="3"/>
  <c r="H656" i="3"/>
  <c r="G656" i="3"/>
  <c r="F656" i="3"/>
  <c r="E656" i="3"/>
  <c r="D656" i="3"/>
  <c r="H655" i="3"/>
  <c r="G655" i="3"/>
  <c r="F655" i="3"/>
  <c r="E655" i="3"/>
  <c r="D655" i="3"/>
  <c r="H654" i="3"/>
  <c r="G654" i="3"/>
  <c r="F654" i="3"/>
  <c r="E654" i="3"/>
  <c r="D654" i="3"/>
  <c r="H653" i="3"/>
  <c r="G653" i="3"/>
  <c r="F653" i="3"/>
  <c r="E653" i="3"/>
  <c r="D653" i="3"/>
  <c r="H652" i="3"/>
  <c r="G652" i="3"/>
  <c r="F652" i="3"/>
  <c r="E652" i="3"/>
  <c r="D652" i="3"/>
  <c r="H651" i="3"/>
  <c r="G651" i="3"/>
  <c r="F651" i="3"/>
  <c r="E651" i="3"/>
  <c r="D651" i="3"/>
  <c r="H650" i="3"/>
  <c r="G650" i="3"/>
  <c r="F650" i="3"/>
  <c r="E650" i="3"/>
  <c r="D650" i="3"/>
  <c r="H649" i="3"/>
  <c r="G649" i="3"/>
  <c r="F649" i="3"/>
  <c r="E649" i="3"/>
  <c r="D649" i="3"/>
  <c r="H648" i="3"/>
  <c r="G648" i="3"/>
  <c r="F648" i="3"/>
  <c r="E648" i="3"/>
  <c r="D648" i="3"/>
  <c r="H647" i="3"/>
  <c r="G647" i="3"/>
  <c r="F647" i="3"/>
  <c r="E647" i="3"/>
  <c r="D647" i="3"/>
  <c r="H646" i="3"/>
  <c r="G646" i="3"/>
  <c r="F646" i="3"/>
  <c r="E646" i="3"/>
  <c r="D646" i="3"/>
  <c r="H645" i="3"/>
  <c r="G645" i="3"/>
  <c r="F645" i="3"/>
  <c r="E645" i="3"/>
  <c r="D645" i="3"/>
  <c r="H644" i="3"/>
  <c r="G644" i="3"/>
  <c r="F644" i="3"/>
  <c r="E644" i="3"/>
  <c r="D644" i="3"/>
  <c r="H643" i="3"/>
  <c r="G643" i="3"/>
  <c r="F643" i="3"/>
  <c r="E643" i="3"/>
  <c r="D643" i="3"/>
  <c r="H642" i="3"/>
  <c r="G642" i="3"/>
  <c r="F642" i="3"/>
  <c r="E642" i="3"/>
  <c r="D642" i="3"/>
  <c r="H641" i="3"/>
  <c r="G641" i="3"/>
  <c r="F641" i="3"/>
  <c r="E641" i="3"/>
  <c r="D641" i="3"/>
  <c r="H640" i="3"/>
  <c r="G640" i="3"/>
  <c r="F640" i="3"/>
  <c r="E640" i="3"/>
  <c r="D640" i="3"/>
  <c r="H639" i="3"/>
  <c r="G639" i="3"/>
  <c r="F639" i="3"/>
  <c r="E639" i="3"/>
  <c r="D639" i="3"/>
  <c r="H638" i="3"/>
  <c r="G638" i="3"/>
  <c r="F638" i="3"/>
  <c r="E638" i="3"/>
  <c r="D638" i="3"/>
  <c r="H637" i="3"/>
  <c r="G637" i="3"/>
  <c r="F637" i="3"/>
  <c r="E637" i="3"/>
  <c r="D637" i="3"/>
  <c r="H636" i="3"/>
  <c r="G636" i="3"/>
  <c r="F636" i="3"/>
  <c r="E636" i="3"/>
  <c r="D636" i="3"/>
  <c r="H635" i="3"/>
  <c r="G635" i="3"/>
  <c r="F635" i="3"/>
  <c r="E635" i="3"/>
  <c r="D635" i="3"/>
  <c r="H634" i="3"/>
  <c r="G634" i="3"/>
  <c r="F634" i="3"/>
  <c r="E634" i="3"/>
  <c r="D634" i="3"/>
  <c r="H633" i="3"/>
  <c r="G633" i="3"/>
  <c r="F633" i="3"/>
  <c r="E633" i="3"/>
  <c r="D633" i="3"/>
  <c r="H632" i="3"/>
  <c r="G632" i="3"/>
  <c r="F632" i="3"/>
  <c r="E632" i="3"/>
  <c r="D632" i="3"/>
  <c r="H631" i="3"/>
  <c r="G631" i="3"/>
  <c r="F631" i="3"/>
  <c r="E631" i="3"/>
  <c r="D631" i="3"/>
  <c r="H630" i="3"/>
  <c r="G630" i="3"/>
  <c r="F630" i="3"/>
  <c r="E630" i="3"/>
  <c r="D630" i="3"/>
  <c r="H629" i="3"/>
  <c r="G629" i="3"/>
  <c r="F629" i="3"/>
  <c r="E629" i="3"/>
  <c r="D629" i="3"/>
  <c r="H628" i="3"/>
  <c r="G628" i="3"/>
  <c r="F628" i="3"/>
  <c r="E628" i="3"/>
  <c r="D628" i="3"/>
  <c r="H627" i="3"/>
  <c r="G627" i="3"/>
  <c r="F627" i="3"/>
  <c r="E627" i="3"/>
  <c r="D627" i="3"/>
  <c r="H626" i="3"/>
  <c r="G626" i="3"/>
  <c r="F626" i="3"/>
  <c r="E626" i="3"/>
  <c r="D626" i="3"/>
  <c r="H625" i="3"/>
  <c r="G625" i="3"/>
  <c r="F625" i="3"/>
  <c r="E625" i="3"/>
  <c r="D625" i="3"/>
  <c r="H624" i="3"/>
  <c r="G624" i="3"/>
  <c r="F624" i="3"/>
  <c r="E624" i="3"/>
  <c r="D624" i="3"/>
  <c r="H623" i="3"/>
  <c r="G623" i="3"/>
  <c r="F623" i="3"/>
  <c r="E623" i="3"/>
  <c r="D623" i="3"/>
  <c r="H622" i="3"/>
  <c r="G622" i="3"/>
  <c r="F622" i="3"/>
  <c r="E622" i="3"/>
  <c r="D622" i="3"/>
  <c r="H621" i="3"/>
  <c r="G621" i="3"/>
  <c r="F621" i="3"/>
  <c r="E621" i="3"/>
  <c r="D621" i="3"/>
  <c r="H620" i="3"/>
  <c r="G620" i="3"/>
  <c r="F620" i="3"/>
  <c r="E620" i="3"/>
  <c r="D620" i="3"/>
  <c r="H619" i="3"/>
  <c r="G619" i="3"/>
  <c r="F619" i="3"/>
  <c r="E619" i="3"/>
  <c r="D619" i="3"/>
  <c r="H618" i="3"/>
  <c r="G618" i="3"/>
  <c r="F618" i="3"/>
  <c r="E618" i="3"/>
  <c r="D618" i="3"/>
  <c r="H617" i="3"/>
  <c r="G617" i="3"/>
  <c r="F617" i="3"/>
  <c r="E617" i="3"/>
  <c r="D617" i="3"/>
  <c r="H616" i="3"/>
  <c r="G616" i="3"/>
  <c r="F616" i="3"/>
  <c r="E616" i="3"/>
  <c r="D616" i="3"/>
  <c r="H615" i="3"/>
  <c r="G615" i="3"/>
  <c r="F615" i="3"/>
  <c r="E615" i="3"/>
  <c r="D615" i="3"/>
  <c r="H614" i="3"/>
  <c r="G614" i="3"/>
  <c r="F614" i="3"/>
  <c r="E614" i="3"/>
  <c r="D614" i="3"/>
  <c r="H613" i="3"/>
  <c r="G613" i="3"/>
  <c r="F613" i="3"/>
  <c r="E613" i="3"/>
  <c r="D613" i="3"/>
  <c r="H612" i="3"/>
  <c r="G612" i="3"/>
  <c r="F612" i="3"/>
  <c r="E612" i="3"/>
  <c r="D612" i="3"/>
  <c r="H611" i="3"/>
  <c r="G611" i="3"/>
  <c r="F611" i="3"/>
  <c r="E611" i="3"/>
  <c r="D611" i="3"/>
  <c r="H610" i="3"/>
  <c r="G610" i="3"/>
  <c r="F610" i="3"/>
  <c r="E610" i="3"/>
  <c r="D610" i="3"/>
  <c r="H609" i="3"/>
  <c r="G609" i="3"/>
  <c r="F609" i="3"/>
  <c r="E609" i="3"/>
  <c r="D609" i="3"/>
  <c r="H608" i="3"/>
  <c r="G608" i="3"/>
  <c r="F608" i="3"/>
  <c r="E608" i="3"/>
  <c r="D608" i="3"/>
  <c r="H607" i="3"/>
  <c r="G607" i="3"/>
  <c r="F607" i="3"/>
  <c r="E607" i="3"/>
  <c r="D607" i="3"/>
  <c r="H606" i="3"/>
  <c r="G606" i="3"/>
  <c r="F606" i="3"/>
  <c r="E606" i="3"/>
  <c r="D606" i="3"/>
  <c r="H605" i="3"/>
  <c r="G605" i="3"/>
  <c r="F605" i="3"/>
  <c r="E605" i="3"/>
  <c r="D605" i="3"/>
  <c r="H604" i="3"/>
  <c r="G604" i="3"/>
  <c r="F604" i="3"/>
  <c r="E604" i="3"/>
  <c r="D604" i="3"/>
  <c r="H603" i="3"/>
  <c r="G603" i="3"/>
  <c r="F603" i="3"/>
  <c r="E603" i="3"/>
  <c r="D603" i="3"/>
  <c r="H602" i="3"/>
  <c r="G602" i="3"/>
  <c r="F602" i="3"/>
  <c r="E602" i="3"/>
  <c r="D602" i="3"/>
  <c r="H601" i="3"/>
  <c r="G601" i="3"/>
  <c r="F601" i="3"/>
  <c r="E601" i="3"/>
  <c r="D601" i="3"/>
  <c r="H600" i="3"/>
  <c r="G600" i="3"/>
  <c r="F600" i="3"/>
  <c r="E600" i="3"/>
  <c r="D600" i="3"/>
  <c r="H599" i="3"/>
  <c r="G599" i="3"/>
  <c r="F599" i="3"/>
  <c r="E599" i="3"/>
  <c r="D599" i="3"/>
  <c r="H598" i="3"/>
  <c r="G598" i="3"/>
  <c r="F598" i="3"/>
  <c r="E598" i="3"/>
  <c r="D598" i="3"/>
  <c r="H597" i="3"/>
  <c r="G597" i="3"/>
  <c r="F597" i="3"/>
  <c r="E597" i="3"/>
  <c r="D597" i="3"/>
  <c r="H596" i="3"/>
  <c r="G596" i="3"/>
  <c r="F596" i="3"/>
  <c r="E596" i="3"/>
  <c r="D596" i="3"/>
  <c r="H595" i="3"/>
  <c r="G595" i="3"/>
  <c r="F595" i="3"/>
  <c r="E595" i="3"/>
  <c r="D595" i="3"/>
  <c r="H594" i="3"/>
  <c r="G594" i="3"/>
  <c r="F594" i="3"/>
  <c r="E594" i="3"/>
  <c r="D594" i="3"/>
  <c r="H593" i="3"/>
  <c r="G593" i="3"/>
  <c r="F593" i="3"/>
  <c r="E593" i="3"/>
  <c r="D593" i="3"/>
  <c r="H592" i="3"/>
  <c r="G592" i="3"/>
  <c r="F592" i="3"/>
  <c r="E592" i="3"/>
  <c r="D592" i="3"/>
  <c r="H591" i="3"/>
  <c r="G591" i="3"/>
  <c r="F591" i="3"/>
  <c r="E591" i="3"/>
  <c r="D591" i="3"/>
  <c r="H590" i="3"/>
  <c r="G590" i="3"/>
  <c r="F590" i="3"/>
  <c r="E590" i="3"/>
  <c r="D590" i="3"/>
  <c r="H589" i="3"/>
  <c r="G589" i="3"/>
  <c r="F589" i="3"/>
  <c r="E589" i="3"/>
  <c r="D589" i="3"/>
  <c r="H588" i="3"/>
  <c r="G588" i="3"/>
  <c r="F588" i="3"/>
  <c r="E588" i="3"/>
  <c r="D588" i="3"/>
  <c r="H587" i="3"/>
  <c r="G587" i="3"/>
  <c r="F587" i="3"/>
  <c r="E587" i="3"/>
  <c r="D587" i="3"/>
  <c r="H586" i="3"/>
  <c r="G586" i="3"/>
  <c r="F586" i="3"/>
  <c r="E586" i="3"/>
  <c r="D586" i="3"/>
  <c r="H585" i="3"/>
  <c r="G585" i="3"/>
  <c r="F585" i="3"/>
  <c r="E585" i="3"/>
  <c r="D585" i="3"/>
  <c r="H584" i="3"/>
  <c r="G584" i="3"/>
  <c r="F584" i="3"/>
  <c r="E584" i="3"/>
  <c r="D584" i="3"/>
  <c r="H583" i="3"/>
  <c r="G583" i="3"/>
  <c r="F583" i="3"/>
  <c r="E583" i="3"/>
  <c r="D583" i="3"/>
  <c r="H582" i="3"/>
  <c r="G582" i="3"/>
  <c r="F582" i="3"/>
  <c r="E582" i="3"/>
  <c r="D582" i="3"/>
  <c r="H581" i="3"/>
  <c r="G581" i="3"/>
  <c r="F581" i="3"/>
  <c r="E581" i="3"/>
  <c r="D581" i="3"/>
  <c r="H580" i="3"/>
  <c r="G580" i="3"/>
  <c r="F580" i="3"/>
  <c r="E580" i="3"/>
  <c r="D580" i="3"/>
  <c r="H579" i="3"/>
  <c r="G579" i="3"/>
  <c r="F579" i="3"/>
  <c r="E579" i="3"/>
  <c r="D579" i="3"/>
  <c r="H578" i="3"/>
  <c r="G578" i="3"/>
  <c r="F578" i="3"/>
  <c r="E578" i="3"/>
  <c r="D578" i="3"/>
  <c r="H577" i="3"/>
  <c r="G577" i="3"/>
  <c r="F577" i="3"/>
  <c r="E577" i="3"/>
  <c r="D577" i="3"/>
  <c r="H576" i="3"/>
  <c r="G576" i="3"/>
  <c r="F576" i="3"/>
  <c r="E576" i="3"/>
  <c r="D576" i="3"/>
  <c r="H575" i="3"/>
  <c r="G575" i="3"/>
  <c r="F575" i="3"/>
  <c r="E575" i="3"/>
  <c r="D575" i="3"/>
  <c r="H574" i="3"/>
  <c r="G574" i="3"/>
  <c r="F574" i="3"/>
  <c r="E574" i="3"/>
  <c r="D574" i="3"/>
  <c r="H573" i="3"/>
  <c r="G573" i="3"/>
  <c r="F573" i="3"/>
  <c r="E573" i="3"/>
  <c r="D573" i="3"/>
  <c r="H572" i="3"/>
  <c r="G572" i="3"/>
  <c r="F572" i="3"/>
  <c r="E572" i="3"/>
  <c r="D572" i="3"/>
  <c r="H571" i="3"/>
  <c r="G571" i="3"/>
  <c r="F571" i="3"/>
  <c r="E571" i="3"/>
  <c r="D571" i="3"/>
  <c r="H570" i="3"/>
  <c r="G570" i="3"/>
  <c r="F570" i="3"/>
  <c r="E570" i="3"/>
  <c r="D570" i="3"/>
  <c r="H569" i="3"/>
  <c r="G569" i="3"/>
  <c r="F569" i="3"/>
  <c r="E569" i="3"/>
  <c r="D569" i="3"/>
  <c r="H568" i="3"/>
  <c r="G568" i="3"/>
  <c r="F568" i="3"/>
  <c r="E568" i="3"/>
  <c r="D568" i="3"/>
  <c r="H567" i="3"/>
  <c r="G567" i="3"/>
  <c r="F567" i="3"/>
  <c r="E567" i="3"/>
  <c r="D567" i="3"/>
  <c r="H566" i="3"/>
  <c r="G566" i="3"/>
  <c r="F566" i="3"/>
  <c r="E566" i="3"/>
  <c r="D566" i="3"/>
  <c r="H565" i="3"/>
  <c r="G565" i="3"/>
  <c r="F565" i="3"/>
  <c r="E565" i="3"/>
  <c r="D565" i="3"/>
  <c r="H564" i="3"/>
  <c r="G564" i="3"/>
  <c r="F564" i="3"/>
  <c r="E564" i="3"/>
  <c r="D564" i="3"/>
  <c r="H563" i="3"/>
  <c r="G563" i="3"/>
  <c r="F563" i="3"/>
  <c r="E563" i="3"/>
  <c r="D563" i="3"/>
  <c r="H562" i="3"/>
  <c r="G562" i="3"/>
  <c r="F562" i="3"/>
  <c r="E562" i="3"/>
  <c r="D562" i="3"/>
  <c r="H561" i="3"/>
  <c r="G561" i="3"/>
  <c r="F561" i="3"/>
  <c r="E561" i="3"/>
  <c r="D561" i="3"/>
  <c r="H560" i="3"/>
  <c r="G560" i="3"/>
  <c r="F560" i="3"/>
  <c r="E560" i="3"/>
  <c r="D560" i="3"/>
  <c r="H559" i="3"/>
  <c r="G559" i="3"/>
  <c r="F559" i="3"/>
  <c r="E559" i="3"/>
  <c r="D559" i="3"/>
  <c r="H558" i="3"/>
  <c r="G558" i="3"/>
  <c r="F558" i="3"/>
  <c r="E558" i="3"/>
  <c r="D558" i="3"/>
  <c r="H557" i="3"/>
  <c r="G557" i="3"/>
  <c r="F557" i="3"/>
  <c r="E557" i="3"/>
  <c r="D557" i="3"/>
  <c r="H556" i="3"/>
  <c r="G556" i="3"/>
  <c r="F556" i="3"/>
  <c r="E556" i="3"/>
  <c r="D556" i="3"/>
  <c r="H555" i="3"/>
  <c r="G555" i="3"/>
  <c r="F555" i="3"/>
  <c r="E555" i="3"/>
  <c r="D555" i="3"/>
  <c r="H554" i="3"/>
  <c r="G554" i="3"/>
  <c r="F554" i="3"/>
  <c r="E554" i="3"/>
  <c r="D554" i="3"/>
  <c r="H553" i="3"/>
  <c r="G553" i="3"/>
  <c r="F553" i="3"/>
  <c r="E553" i="3"/>
  <c r="D553" i="3"/>
  <c r="H552" i="3"/>
  <c r="G552" i="3"/>
  <c r="F552" i="3"/>
  <c r="E552" i="3"/>
  <c r="D552" i="3"/>
  <c r="H551" i="3"/>
  <c r="G551" i="3"/>
  <c r="F551" i="3"/>
  <c r="E551" i="3"/>
  <c r="D551" i="3"/>
  <c r="H550" i="3"/>
  <c r="G550" i="3"/>
  <c r="F550" i="3"/>
  <c r="E550" i="3"/>
  <c r="D550" i="3"/>
  <c r="H549" i="3"/>
  <c r="G549" i="3"/>
  <c r="F549" i="3"/>
  <c r="E549" i="3"/>
  <c r="D549" i="3"/>
  <c r="H548" i="3"/>
  <c r="G548" i="3"/>
  <c r="F548" i="3"/>
  <c r="E548" i="3"/>
  <c r="D548" i="3"/>
  <c r="H547" i="3"/>
  <c r="G547" i="3"/>
  <c r="F547" i="3"/>
  <c r="E547" i="3"/>
  <c r="D547" i="3"/>
  <c r="H546" i="3"/>
  <c r="G546" i="3"/>
  <c r="F546" i="3"/>
  <c r="E546" i="3"/>
  <c r="D546" i="3"/>
  <c r="H545" i="3"/>
  <c r="G545" i="3"/>
  <c r="F545" i="3"/>
  <c r="E545" i="3"/>
  <c r="D545" i="3"/>
  <c r="H544" i="3"/>
  <c r="G544" i="3"/>
  <c r="F544" i="3"/>
  <c r="E544" i="3"/>
  <c r="D544" i="3"/>
  <c r="H543" i="3"/>
  <c r="G543" i="3"/>
  <c r="F543" i="3"/>
  <c r="E543" i="3"/>
  <c r="D543" i="3"/>
  <c r="H542" i="3"/>
  <c r="G542" i="3"/>
  <c r="F542" i="3"/>
  <c r="E542" i="3"/>
  <c r="D542" i="3"/>
  <c r="H541" i="3"/>
  <c r="G541" i="3"/>
  <c r="F541" i="3"/>
  <c r="E541" i="3"/>
  <c r="D541" i="3"/>
  <c r="H540" i="3"/>
  <c r="G540" i="3"/>
  <c r="F540" i="3"/>
  <c r="E540" i="3"/>
  <c r="D540" i="3"/>
  <c r="H539" i="3"/>
  <c r="G539" i="3"/>
  <c r="F539" i="3"/>
  <c r="E539" i="3"/>
  <c r="D539" i="3"/>
  <c r="H538" i="3"/>
  <c r="G538" i="3"/>
  <c r="F538" i="3"/>
  <c r="E538" i="3"/>
  <c r="D538" i="3"/>
  <c r="H537" i="3"/>
  <c r="G537" i="3"/>
  <c r="F537" i="3"/>
  <c r="E537" i="3"/>
  <c r="D537" i="3"/>
  <c r="H536" i="3"/>
  <c r="G536" i="3"/>
  <c r="F536" i="3"/>
  <c r="E536" i="3"/>
  <c r="D536" i="3"/>
  <c r="H535" i="3"/>
  <c r="G535" i="3"/>
  <c r="F535" i="3"/>
  <c r="E535" i="3"/>
  <c r="D535" i="3"/>
  <c r="H534" i="3"/>
  <c r="G534" i="3"/>
  <c r="F534" i="3"/>
  <c r="E534" i="3"/>
  <c r="D534" i="3"/>
  <c r="H533" i="3"/>
  <c r="G533" i="3"/>
  <c r="F533" i="3"/>
  <c r="E533" i="3"/>
  <c r="D533" i="3"/>
  <c r="H532" i="3"/>
  <c r="G532" i="3"/>
  <c r="F532" i="3"/>
  <c r="E532" i="3"/>
  <c r="D532" i="3"/>
  <c r="H531" i="3"/>
  <c r="G531" i="3"/>
  <c r="F531" i="3"/>
  <c r="E531" i="3"/>
  <c r="D531" i="3"/>
  <c r="H530" i="3"/>
  <c r="G530" i="3"/>
  <c r="F530" i="3"/>
  <c r="E530" i="3"/>
  <c r="D530" i="3"/>
  <c r="H529" i="3"/>
  <c r="G529" i="3"/>
  <c r="F529" i="3"/>
  <c r="E529" i="3"/>
  <c r="D529" i="3"/>
  <c r="H528" i="3"/>
  <c r="G528" i="3"/>
  <c r="F528" i="3"/>
  <c r="E528" i="3"/>
  <c r="D528" i="3"/>
  <c r="H527" i="3"/>
  <c r="G527" i="3"/>
  <c r="F527" i="3"/>
  <c r="E527" i="3"/>
  <c r="D527" i="3"/>
  <c r="H526" i="3"/>
  <c r="G526" i="3"/>
  <c r="F526" i="3"/>
  <c r="E526" i="3"/>
  <c r="D526" i="3"/>
  <c r="H525" i="3"/>
  <c r="G525" i="3"/>
  <c r="F525" i="3"/>
  <c r="E525" i="3"/>
  <c r="D525" i="3"/>
  <c r="H524" i="3"/>
  <c r="G524" i="3"/>
  <c r="F524" i="3"/>
  <c r="E524" i="3"/>
  <c r="D524" i="3"/>
  <c r="H523" i="3"/>
  <c r="G523" i="3"/>
  <c r="F523" i="3"/>
  <c r="E523" i="3"/>
  <c r="D523" i="3"/>
  <c r="H522" i="3"/>
  <c r="G522" i="3"/>
  <c r="F522" i="3"/>
  <c r="E522" i="3"/>
  <c r="D522" i="3"/>
  <c r="H521" i="3"/>
  <c r="G521" i="3"/>
  <c r="F521" i="3"/>
  <c r="E521" i="3"/>
  <c r="D521" i="3"/>
  <c r="H520" i="3"/>
  <c r="G520" i="3"/>
  <c r="F520" i="3"/>
  <c r="E520" i="3"/>
  <c r="D520" i="3"/>
  <c r="H519" i="3"/>
  <c r="G519" i="3"/>
  <c r="F519" i="3"/>
  <c r="E519" i="3"/>
  <c r="D519" i="3"/>
  <c r="H518" i="3"/>
  <c r="G518" i="3"/>
  <c r="F518" i="3"/>
  <c r="E518" i="3"/>
  <c r="D518" i="3"/>
  <c r="H517" i="3"/>
  <c r="G517" i="3"/>
  <c r="F517" i="3"/>
  <c r="E517" i="3"/>
  <c r="D517" i="3"/>
  <c r="H516" i="3"/>
  <c r="G516" i="3"/>
  <c r="F516" i="3"/>
  <c r="E516" i="3"/>
  <c r="D516" i="3"/>
  <c r="H515" i="3"/>
  <c r="G515" i="3"/>
  <c r="F515" i="3"/>
  <c r="E515" i="3"/>
  <c r="D515" i="3"/>
  <c r="H514" i="3"/>
  <c r="G514" i="3"/>
  <c r="F514" i="3"/>
  <c r="E514" i="3"/>
  <c r="D514" i="3"/>
  <c r="H513" i="3"/>
  <c r="G513" i="3"/>
  <c r="F513" i="3"/>
  <c r="E513" i="3"/>
  <c r="D513" i="3"/>
  <c r="H512" i="3"/>
  <c r="G512" i="3"/>
  <c r="F512" i="3"/>
  <c r="E512" i="3"/>
  <c r="D512" i="3"/>
  <c r="H511" i="3"/>
  <c r="G511" i="3"/>
  <c r="F511" i="3"/>
  <c r="E511" i="3"/>
  <c r="D511" i="3"/>
  <c r="H510" i="3"/>
  <c r="G510" i="3"/>
  <c r="F510" i="3"/>
  <c r="E510" i="3"/>
  <c r="D510" i="3"/>
  <c r="H509" i="3"/>
  <c r="G509" i="3"/>
  <c r="F509" i="3"/>
  <c r="E509" i="3"/>
  <c r="D509" i="3"/>
  <c r="H508" i="3"/>
  <c r="G508" i="3"/>
  <c r="F508" i="3"/>
  <c r="E508" i="3"/>
  <c r="D508" i="3"/>
  <c r="H507" i="3"/>
  <c r="G507" i="3"/>
  <c r="F507" i="3"/>
  <c r="E507" i="3"/>
  <c r="D507" i="3"/>
  <c r="H506" i="3"/>
  <c r="G506" i="3"/>
  <c r="F506" i="3"/>
  <c r="E506" i="3"/>
  <c r="D506" i="3"/>
  <c r="H505" i="3"/>
  <c r="G505" i="3"/>
  <c r="F505" i="3"/>
  <c r="E505" i="3"/>
  <c r="D505" i="3"/>
  <c r="H504" i="3"/>
  <c r="G504" i="3"/>
  <c r="F504" i="3"/>
  <c r="E504" i="3"/>
  <c r="D504" i="3"/>
  <c r="H503" i="3"/>
  <c r="G503" i="3"/>
  <c r="F503" i="3"/>
  <c r="E503" i="3"/>
  <c r="D503" i="3"/>
  <c r="H502" i="3"/>
  <c r="G502" i="3"/>
  <c r="F502" i="3"/>
  <c r="E502" i="3"/>
  <c r="D502" i="3"/>
  <c r="H501" i="3"/>
  <c r="G501" i="3"/>
  <c r="F501" i="3"/>
  <c r="E501" i="3"/>
  <c r="D501" i="3"/>
  <c r="H500" i="3"/>
  <c r="G500" i="3"/>
  <c r="F500" i="3"/>
  <c r="E500" i="3"/>
  <c r="D500" i="3"/>
  <c r="H499" i="3"/>
  <c r="G499" i="3"/>
  <c r="F499" i="3"/>
  <c r="E499" i="3"/>
  <c r="D499" i="3"/>
  <c r="H498" i="3"/>
  <c r="G498" i="3"/>
  <c r="F498" i="3"/>
  <c r="E498" i="3"/>
  <c r="D498" i="3"/>
  <c r="H497" i="3"/>
  <c r="G497" i="3"/>
  <c r="F497" i="3"/>
  <c r="E497" i="3"/>
  <c r="D497" i="3"/>
  <c r="H496" i="3"/>
  <c r="G496" i="3"/>
  <c r="F496" i="3"/>
  <c r="E496" i="3"/>
  <c r="D496" i="3"/>
  <c r="H495" i="3"/>
  <c r="G495" i="3"/>
  <c r="F495" i="3"/>
  <c r="E495" i="3"/>
  <c r="D495" i="3"/>
  <c r="H494" i="3"/>
  <c r="G494" i="3"/>
  <c r="F494" i="3"/>
  <c r="E494" i="3"/>
  <c r="D494" i="3"/>
  <c r="H493" i="3"/>
  <c r="G493" i="3"/>
  <c r="F493" i="3"/>
  <c r="E493" i="3"/>
  <c r="D493" i="3"/>
  <c r="H492" i="3"/>
  <c r="G492" i="3"/>
  <c r="F492" i="3"/>
  <c r="E492" i="3"/>
  <c r="D492" i="3"/>
  <c r="H491" i="3"/>
  <c r="G491" i="3"/>
  <c r="F491" i="3"/>
  <c r="E491" i="3"/>
  <c r="D491" i="3"/>
  <c r="H490" i="3"/>
  <c r="G490" i="3"/>
  <c r="F490" i="3"/>
  <c r="E490" i="3"/>
  <c r="D490" i="3"/>
  <c r="H489" i="3"/>
  <c r="G489" i="3"/>
  <c r="F489" i="3"/>
  <c r="E489" i="3"/>
  <c r="D489" i="3"/>
  <c r="H488" i="3"/>
  <c r="G488" i="3"/>
  <c r="F488" i="3"/>
  <c r="E488" i="3"/>
  <c r="D488" i="3"/>
  <c r="H487" i="3"/>
  <c r="G487" i="3"/>
  <c r="F487" i="3"/>
  <c r="E487" i="3"/>
  <c r="D487" i="3"/>
  <c r="H486" i="3"/>
  <c r="G486" i="3"/>
  <c r="F486" i="3"/>
  <c r="E486" i="3"/>
  <c r="D486" i="3"/>
  <c r="H485" i="3"/>
  <c r="G485" i="3"/>
  <c r="F485" i="3"/>
  <c r="E485" i="3"/>
  <c r="D485" i="3"/>
  <c r="H484" i="3"/>
  <c r="G484" i="3"/>
  <c r="F484" i="3"/>
  <c r="E484" i="3"/>
  <c r="D484" i="3"/>
  <c r="H483" i="3"/>
  <c r="G483" i="3"/>
  <c r="F483" i="3"/>
  <c r="E483" i="3"/>
  <c r="D483" i="3"/>
  <c r="H482" i="3"/>
  <c r="G482" i="3"/>
  <c r="F482" i="3"/>
  <c r="E482" i="3"/>
  <c r="D482" i="3"/>
  <c r="H481" i="3"/>
  <c r="G481" i="3"/>
  <c r="F481" i="3"/>
  <c r="E481" i="3"/>
  <c r="D481" i="3"/>
  <c r="H480" i="3"/>
  <c r="G480" i="3"/>
  <c r="F480" i="3"/>
  <c r="E480" i="3"/>
  <c r="D480" i="3"/>
  <c r="H479" i="3"/>
  <c r="G479" i="3"/>
  <c r="F479" i="3"/>
  <c r="E479" i="3"/>
  <c r="D479" i="3"/>
  <c r="H478" i="3"/>
  <c r="G478" i="3"/>
  <c r="F478" i="3"/>
  <c r="E478" i="3"/>
  <c r="D478" i="3"/>
  <c r="H477" i="3"/>
  <c r="G477" i="3"/>
  <c r="F477" i="3"/>
  <c r="E477" i="3"/>
  <c r="D477" i="3"/>
  <c r="H476" i="3"/>
  <c r="G476" i="3"/>
  <c r="F476" i="3"/>
  <c r="E476" i="3"/>
  <c r="D476" i="3"/>
  <c r="H475" i="3"/>
  <c r="G475" i="3"/>
  <c r="F475" i="3"/>
  <c r="E475" i="3"/>
  <c r="D475" i="3"/>
  <c r="H474" i="3"/>
  <c r="G474" i="3"/>
  <c r="F474" i="3"/>
  <c r="E474" i="3"/>
  <c r="D474" i="3"/>
  <c r="H473" i="3"/>
  <c r="G473" i="3"/>
  <c r="F473" i="3"/>
  <c r="E473" i="3"/>
  <c r="D473" i="3"/>
  <c r="H472" i="3"/>
  <c r="G472" i="3"/>
  <c r="F472" i="3"/>
  <c r="E472" i="3"/>
  <c r="D472" i="3"/>
  <c r="H471" i="3"/>
  <c r="G471" i="3"/>
  <c r="F471" i="3"/>
  <c r="E471" i="3"/>
  <c r="D471" i="3"/>
  <c r="H470" i="3"/>
  <c r="G470" i="3"/>
  <c r="F470" i="3"/>
  <c r="E470" i="3"/>
  <c r="D470" i="3"/>
  <c r="H469" i="3"/>
  <c r="G469" i="3"/>
  <c r="F469" i="3"/>
  <c r="E469" i="3"/>
  <c r="D469" i="3"/>
  <c r="H468" i="3"/>
  <c r="G468" i="3"/>
  <c r="F468" i="3"/>
  <c r="E468" i="3"/>
  <c r="D468" i="3"/>
  <c r="H467" i="3"/>
  <c r="G467" i="3"/>
  <c r="F467" i="3"/>
  <c r="E467" i="3"/>
  <c r="D467" i="3"/>
  <c r="H466" i="3"/>
  <c r="G466" i="3"/>
  <c r="F466" i="3"/>
  <c r="E466" i="3"/>
  <c r="D466" i="3"/>
  <c r="H465" i="3"/>
  <c r="G465" i="3"/>
  <c r="F465" i="3"/>
  <c r="E465" i="3"/>
  <c r="D465" i="3"/>
  <c r="H464" i="3"/>
  <c r="G464" i="3"/>
  <c r="F464" i="3"/>
  <c r="E464" i="3"/>
  <c r="D464" i="3"/>
  <c r="H463" i="3"/>
  <c r="G463" i="3"/>
  <c r="F463" i="3"/>
  <c r="E463" i="3"/>
  <c r="D463" i="3"/>
  <c r="H462" i="3"/>
  <c r="G462" i="3"/>
  <c r="F462" i="3"/>
  <c r="E462" i="3"/>
  <c r="D462" i="3"/>
  <c r="H461" i="3"/>
  <c r="G461" i="3"/>
  <c r="F461" i="3"/>
  <c r="E461" i="3"/>
  <c r="D461" i="3"/>
  <c r="H460" i="3"/>
  <c r="G460" i="3"/>
  <c r="F460" i="3"/>
  <c r="E460" i="3"/>
  <c r="D460" i="3"/>
  <c r="H459" i="3"/>
  <c r="G459" i="3"/>
  <c r="F459" i="3"/>
  <c r="E459" i="3"/>
  <c r="D459" i="3"/>
  <c r="H458" i="3"/>
  <c r="G458" i="3"/>
  <c r="F458" i="3"/>
  <c r="E458" i="3"/>
  <c r="D458" i="3"/>
  <c r="H457" i="3"/>
  <c r="G457" i="3"/>
  <c r="F457" i="3"/>
  <c r="E457" i="3"/>
  <c r="D457" i="3"/>
  <c r="H456" i="3"/>
  <c r="G456" i="3"/>
  <c r="F456" i="3"/>
  <c r="E456" i="3"/>
  <c r="D456" i="3"/>
  <c r="H455" i="3"/>
  <c r="G455" i="3"/>
  <c r="F455" i="3"/>
  <c r="E455" i="3"/>
  <c r="D455" i="3"/>
  <c r="H454" i="3"/>
  <c r="G454" i="3"/>
  <c r="F454" i="3"/>
  <c r="E454" i="3"/>
  <c r="D454" i="3"/>
  <c r="H453" i="3"/>
  <c r="G453" i="3"/>
  <c r="F453" i="3"/>
  <c r="E453" i="3"/>
  <c r="D453" i="3"/>
  <c r="H452" i="3"/>
  <c r="G452" i="3"/>
  <c r="F452" i="3"/>
  <c r="E452" i="3"/>
  <c r="D452" i="3"/>
  <c r="H451" i="3"/>
  <c r="G451" i="3"/>
  <c r="F451" i="3"/>
  <c r="E451" i="3"/>
  <c r="D451" i="3"/>
  <c r="H450" i="3"/>
  <c r="G450" i="3"/>
  <c r="F450" i="3"/>
  <c r="E450" i="3"/>
  <c r="D450" i="3"/>
  <c r="H449" i="3"/>
  <c r="G449" i="3"/>
  <c r="F449" i="3"/>
  <c r="E449" i="3"/>
  <c r="D449" i="3"/>
  <c r="H448" i="3"/>
  <c r="G448" i="3"/>
  <c r="F448" i="3"/>
  <c r="E448" i="3"/>
  <c r="D448" i="3"/>
  <c r="H447" i="3"/>
  <c r="G447" i="3"/>
  <c r="F447" i="3"/>
  <c r="E447" i="3"/>
  <c r="D447" i="3"/>
  <c r="H446" i="3"/>
  <c r="G446" i="3"/>
  <c r="F446" i="3"/>
  <c r="E446" i="3"/>
  <c r="D446" i="3"/>
  <c r="H445" i="3"/>
  <c r="G445" i="3"/>
  <c r="F445" i="3"/>
  <c r="E445" i="3"/>
  <c r="D445" i="3"/>
  <c r="H444" i="3"/>
  <c r="G444" i="3"/>
  <c r="F444" i="3"/>
  <c r="E444" i="3"/>
  <c r="D444" i="3"/>
  <c r="H443" i="3"/>
  <c r="G443" i="3"/>
  <c r="F443" i="3"/>
  <c r="E443" i="3"/>
  <c r="D443" i="3"/>
  <c r="H442" i="3"/>
  <c r="G442" i="3"/>
  <c r="F442" i="3"/>
  <c r="E442" i="3"/>
  <c r="D442" i="3"/>
  <c r="H441" i="3"/>
  <c r="G441" i="3"/>
  <c r="F441" i="3"/>
  <c r="E441" i="3"/>
  <c r="D441" i="3"/>
  <c r="H440" i="3"/>
  <c r="G440" i="3"/>
  <c r="F440" i="3"/>
  <c r="E440" i="3"/>
  <c r="D440" i="3"/>
  <c r="H439" i="3"/>
  <c r="G439" i="3"/>
  <c r="F439" i="3"/>
  <c r="E439" i="3"/>
  <c r="D439" i="3"/>
  <c r="H438" i="3"/>
  <c r="G438" i="3"/>
  <c r="F438" i="3"/>
  <c r="E438" i="3"/>
  <c r="D438" i="3"/>
  <c r="H437" i="3"/>
  <c r="G437" i="3"/>
  <c r="F437" i="3"/>
  <c r="E437" i="3"/>
  <c r="D437" i="3"/>
  <c r="H436" i="3"/>
  <c r="G436" i="3"/>
  <c r="F436" i="3"/>
  <c r="E436" i="3"/>
  <c r="D436" i="3"/>
  <c r="H435" i="3"/>
  <c r="G435" i="3"/>
  <c r="F435" i="3"/>
  <c r="E435" i="3"/>
  <c r="D435" i="3"/>
  <c r="H434" i="3"/>
  <c r="G434" i="3"/>
  <c r="F434" i="3"/>
  <c r="E434" i="3"/>
  <c r="D434" i="3"/>
  <c r="H433" i="3"/>
  <c r="G433" i="3"/>
  <c r="F433" i="3"/>
  <c r="E433" i="3"/>
  <c r="D433" i="3"/>
  <c r="H432" i="3"/>
  <c r="G432" i="3"/>
  <c r="F432" i="3"/>
  <c r="E432" i="3"/>
  <c r="D432" i="3"/>
  <c r="H431" i="3"/>
  <c r="G431" i="3"/>
  <c r="F431" i="3"/>
  <c r="E431" i="3"/>
  <c r="D431" i="3"/>
  <c r="H430" i="3"/>
  <c r="G430" i="3"/>
  <c r="F430" i="3"/>
  <c r="E430" i="3"/>
  <c r="D430" i="3"/>
  <c r="H429" i="3"/>
  <c r="G429" i="3"/>
  <c r="F429" i="3"/>
  <c r="E429" i="3"/>
  <c r="D429" i="3"/>
  <c r="H428" i="3"/>
  <c r="G428" i="3"/>
  <c r="F428" i="3"/>
  <c r="E428" i="3"/>
  <c r="D428" i="3"/>
  <c r="H427" i="3"/>
  <c r="G427" i="3"/>
  <c r="F427" i="3"/>
  <c r="E427" i="3"/>
  <c r="D427" i="3"/>
  <c r="H426" i="3"/>
  <c r="G426" i="3"/>
  <c r="F426" i="3"/>
  <c r="E426" i="3"/>
  <c r="D426" i="3"/>
  <c r="H425" i="3"/>
  <c r="G425" i="3"/>
  <c r="F425" i="3"/>
  <c r="E425" i="3"/>
  <c r="D425" i="3"/>
  <c r="H424" i="3"/>
  <c r="G424" i="3"/>
  <c r="F424" i="3"/>
  <c r="E424" i="3"/>
  <c r="D424" i="3"/>
  <c r="H423" i="3"/>
  <c r="G423" i="3"/>
  <c r="F423" i="3"/>
  <c r="E423" i="3"/>
  <c r="D423" i="3"/>
  <c r="H422" i="3"/>
  <c r="G422" i="3"/>
  <c r="F422" i="3"/>
  <c r="E422" i="3"/>
  <c r="D422" i="3"/>
  <c r="H421" i="3"/>
  <c r="G421" i="3"/>
  <c r="F421" i="3"/>
  <c r="E421" i="3"/>
  <c r="D421" i="3"/>
  <c r="H420" i="3"/>
  <c r="G420" i="3"/>
  <c r="F420" i="3"/>
  <c r="E420" i="3"/>
  <c r="D420" i="3"/>
  <c r="H419" i="3"/>
  <c r="G419" i="3"/>
  <c r="F419" i="3"/>
  <c r="E419" i="3"/>
  <c r="D419" i="3"/>
  <c r="H418" i="3"/>
  <c r="G418" i="3"/>
  <c r="F418" i="3"/>
  <c r="E418" i="3"/>
  <c r="D418" i="3"/>
  <c r="H417" i="3"/>
  <c r="G417" i="3"/>
  <c r="F417" i="3"/>
  <c r="E417" i="3"/>
  <c r="D417" i="3"/>
  <c r="H416" i="3"/>
  <c r="G416" i="3"/>
  <c r="F416" i="3"/>
  <c r="E416" i="3"/>
  <c r="D416" i="3"/>
  <c r="H415" i="3"/>
  <c r="G415" i="3"/>
  <c r="F415" i="3"/>
  <c r="E415" i="3"/>
  <c r="D415" i="3"/>
  <c r="H414" i="3"/>
  <c r="G414" i="3"/>
  <c r="F414" i="3"/>
  <c r="E414" i="3"/>
  <c r="D414" i="3"/>
  <c r="H413" i="3"/>
  <c r="G413" i="3"/>
  <c r="F413" i="3"/>
  <c r="E413" i="3"/>
  <c r="D413" i="3"/>
  <c r="H412" i="3"/>
  <c r="G412" i="3"/>
  <c r="F412" i="3"/>
  <c r="E412" i="3"/>
  <c r="D412" i="3"/>
  <c r="H411" i="3"/>
  <c r="G411" i="3"/>
  <c r="F411" i="3"/>
  <c r="E411" i="3"/>
  <c r="D411" i="3"/>
  <c r="H410" i="3"/>
  <c r="G410" i="3"/>
  <c r="F410" i="3"/>
  <c r="E410" i="3"/>
  <c r="D410" i="3"/>
  <c r="H409" i="3"/>
  <c r="G409" i="3"/>
  <c r="F409" i="3"/>
  <c r="E409" i="3"/>
  <c r="D409" i="3"/>
  <c r="H408" i="3"/>
  <c r="G408" i="3"/>
  <c r="F408" i="3"/>
  <c r="E408" i="3"/>
  <c r="D408" i="3"/>
  <c r="H407" i="3"/>
  <c r="G407" i="3"/>
  <c r="F407" i="3"/>
  <c r="E407" i="3"/>
  <c r="D407" i="3"/>
  <c r="H406" i="3"/>
  <c r="G406" i="3"/>
  <c r="F406" i="3"/>
  <c r="E406" i="3"/>
  <c r="D406" i="3"/>
  <c r="H405" i="3"/>
  <c r="G405" i="3"/>
  <c r="F405" i="3"/>
  <c r="E405" i="3"/>
  <c r="D405" i="3"/>
  <c r="H404" i="3"/>
  <c r="G404" i="3"/>
  <c r="F404" i="3"/>
  <c r="E404" i="3"/>
  <c r="D404" i="3"/>
  <c r="H403" i="3"/>
  <c r="G403" i="3"/>
  <c r="F403" i="3"/>
  <c r="E403" i="3"/>
  <c r="D403" i="3"/>
  <c r="H402" i="3"/>
  <c r="G402" i="3"/>
  <c r="F402" i="3"/>
  <c r="E402" i="3"/>
  <c r="D402" i="3"/>
  <c r="H401" i="3"/>
  <c r="G401" i="3"/>
  <c r="F401" i="3"/>
  <c r="E401" i="3"/>
  <c r="D401" i="3"/>
  <c r="H400" i="3"/>
  <c r="G400" i="3"/>
  <c r="F400" i="3"/>
  <c r="E400" i="3"/>
  <c r="D400" i="3"/>
  <c r="H399" i="3"/>
  <c r="G399" i="3"/>
  <c r="F399" i="3"/>
  <c r="E399" i="3"/>
  <c r="D399" i="3"/>
  <c r="H398" i="3"/>
  <c r="G398" i="3"/>
  <c r="F398" i="3"/>
  <c r="E398" i="3"/>
  <c r="D398" i="3"/>
  <c r="H397" i="3"/>
  <c r="G397" i="3"/>
  <c r="F397" i="3"/>
  <c r="E397" i="3"/>
  <c r="D397" i="3"/>
  <c r="H396" i="3"/>
  <c r="G396" i="3"/>
  <c r="F396" i="3"/>
  <c r="E396" i="3"/>
  <c r="D396" i="3"/>
  <c r="H395" i="3"/>
  <c r="G395" i="3"/>
  <c r="F395" i="3"/>
  <c r="E395" i="3"/>
  <c r="D395" i="3"/>
  <c r="H394" i="3"/>
  <c r="G394" i="3"/>
  <c r="F394" i="3"/>
  <c r="E394" i="3"/>
  <c r="D394" i="3"/>
  <c r="H393" i="3"/>
  <c r="G393" i="3"/>
  <c r="F393" i="3"/>
  <c r="E393" i="3"/>
  <c r="D393" i="3"/>
  <c r="H392" i="3"/>
  <c r="G392" i="3"/>
  <c r="F392" i="3"/>
  <c r="E392" i="3"/>
  <c r="D392" i="3"/>
  <c r="H391" i="3"/>
  <c r="G391" i="3"/>
  <c r="F391" i="3"/>
  <c r="E391" i="3"/>
  <c r="D391" i="3"/>
  <c r="H390" i="3"/>
  <c r="G390" i="3"/>
  <c r="F390" i="3"/>
  <c r="E390" i="3"/>
  <c r="D390" i="3"/>
  <c r="H389" i="3"/>
  <c r="G389" i="3"/>
  <c r="F389" i="3"/>
  <c r="E389" i="3"/>
  <c r="D389" i="3"/>
  <c r="H388" i="3"/>
  <c r="G388" i="3"/>
  <c r="F388" i="3"/>
  <c r="E388" i="3"/>
  <c r="D388" i="3"/>
  <c r="H387" i="3"/>
  <c r="G387" i="3"/>
  <c r="F387" i="3"/>
  <c r="E387" i="3"/>
  <c r="D387" i="3"/>
  <c r="H386" i="3"/>
  <c r="G386" i="3"/>
  <c r="F386" i="3"/>
  <c r="E386" i="3"/>
  <c r="D386" i="3"/>
  <c r="H385" i="3"/>
  <c r="G385" i="3"/>
  <c r="F385" i="3"/>
  <c r="E385" i="3"/>
  <c r="D385" i="3"/>
  <c r="H384" i="3"/>
  <c r="G384" i="3"/>
  <c r="F384" i="3"/>
  <c r="E384" i="3"/>
  <c r="D384" i="3"/>
  <c r="H383" i="3"/>
  <c r="G383" i="3"/>
  <c r="F383" i="3"/>
  <c r="E383" i="3"/>
  <c r="D383" i="3"/>
  <c r="H382" i="3"/>
  <c r="G382" i="3"/>
  <c r="F382" i="3"/>
  <c r="E382" i="3"/>
  <c r="D382" i="3"/>
  <c r="H381" i="3"/>
  <c r="G381" i="3"/>
  <c r="F381" i="3"/>
  <c r="E381" i="3"/>
  <c r="D381" i="3"/>
  <c r="H380" i="3"/>
  <c r="G380" i="3"/>
  <c r="F380" i="3"/>
  <c r="E380" i="3"/>
  <c r="D380" i="3"/>
  <c r="H379" i="3"/>
  <c r="G379" i="3"/>
  <c r="F379" i="3"/>
  <c r="E379" i="3"/>
  <c r="D379" i="3"/>
  <c r="H378" i="3"/>
  <c r="G378" i="3"/>
  <c r="F378" i="3"/>
  <c r="E378" i="3"/>
  <c r="D378" i="3"/>
  <c r="H377" i="3"/>
  <c r="G377" i="3"/>
  <c r="F377" i="3"/>
  <c r="E377" i="3"/>
  <c r="D377" i="3"/>
  <c r="H376" i="3"/>
  <c r="G376" i="3"/>
  <c r="F376" i="3"/>
  <c r="E376" i="3"/>
  <c r="D376" i="3"/>
  <c r="H375" i="3"/>
  <c r="G375" i="3"/>
  <c r="F375" i="3"/>
  <c r="E375" i="3"/>
  <c r="D375" i="3"/>
  <c r="H374" i="3"/>
  <c r="G374" i="3"/>
  <c r="F374" i="3"/>
  <c r="E374" i="3"/>
  <c r="D374" i="3"/>
  <c r="H373" i="3"/>
  <c r="G373" i="3"/>
  <c r="F373" i="3"/>
  <c r="E373" i="3"/>
  <c r="D373" i="3"/>
  <c r="H372" i="3"/>
  <c r="G372" i="3"/>
  <c r="F372" i="3"/>
  <c r="E372" i="3"/>
  <c r="D372" i="3"/>
  <c r="H371" i="3"/>
  <c r="G371" i="3"/>
  <c r="F371" i="3"/>
  <c r="E371" i="3"/>
  <c r="D371" i="3"/>
  <c r="H370" i="3"/>
  <c r="G370" i="3"/>
  <c r="F370" i="3"/>
  <c r="E370" i="3"/>
  <c r="D370" i="3"/>
  <c r="H369" i="3"/>
  <c r="G369" i="3"/>
  <c r="F369" i="3"/>
  <c r="E369" i="3"/>
  <c r="D369" i="3"/>
  <c r="H368" i="3"/>
  <c r="G368" i="3"/>
  <c r="F368" i="3"/>
  <c r="E368" i="3"/>
  <c r="D368" i="3"/>
  <c r="H367" i="3"/>
  <c r="G367" i="3"/>
  <c r="F367" i="3"/>
  <c r="E367" i="3"/>
  <c r="D367" i="3"/>
  <c r="H366" i="3"/>
  <c r="G366" i="3"/>
  <c r="F366" i="3"/>
  <c r="E366" i="3"/>
  <c r="D366" i="3"/>
  <c r="H365" i="3"/>
  <c r="G365" i="3"/>
  <c r="F365" i="3"/>
  <c r="E365" i="3"/>
  <c r="D365" i="3"/>
  <c r="H364" i="3"/>
  <c r="G364" i="3"/>
  <c r="F364" i="3"/>
  <c r="E364" i="3"/>
  <c r="D364" i="3"/>
  <c r="H363" i="3"/>
  <c r="G363" i="3"/>
  <c r="F363" i="3"/>
  <c r="E363" i="3"/>
  <c r="D363" i="3"/>
  <c r="H362" i="3"/>
  <c r="G362" i="3"/>
  <c r="F362" i="3"/>
  <c r="E362" i="3"/>
  <c r="D362" i="3"/>
  <c r="H361" i="3"/>
  <c r="G361" i="3"/>
  <c r="F361" i="3"/>
  <c r="E361" i="3"/>
  <c r="D361" i="3"/>
  <c r="H360" i="3"/>
  <c r="G360" i="3"/>
  <c r="F360" i="3"/>
  <c r="E360" i="3"/>
  <c r="D360" i="3"/>
  <c r="H359" i="3"/>
  <c r="G359" i="3"/>
  <c r="F359" i="3"/>
  <c r="E359" i="3"/>
  <c r="D359" i="3"/>
  <c r="H358" i="3"/>
  <c r="G358" i="3"/>
  <c r="F358" i="3"/>
  <c r="E358" i="3"/>
  <c r="D358" i="3"/>
  <c r="H357" i="3"/>
  <c r="G357" i="3"/>
  <c r="F357" i="3"/>
  <c r="E357" i="3"/>
  <c r="D357" i="3"/>
  <c r="H356" i="3"/>
  <c r="G356" i="3"/>
  <c r="F356" i="3"/>
  <c r="E356" i="3"/>
  <c r="D356" i="3"/>
  <c r="H355" i="3"/>
  <c r="G355" i="3"/>
  <c r="F355" i="3"/>
  <c r="E355" i="3"/>
  <c r="D355" i="3"/>
  <c r="H354" i="3"/>
  <c r="G354" i="3"/>
  <c r="F354" i="3"/>
  <c r="E354" i="3"/>
  <c r="D354" i="3"/>
  <c r="H353" i="3"/>
  <c r="G353" i="3"/>
  <c r="F353" i="3"/>
  <c r="E353" i="3"/>
  <c r="D353" i="3"/>
  <c r="H352" i="3"/>
  <c r="G352" i="3"/>
  <c r="F352" i="3"/>
  <c r="E352" i="3"/>
  <c r="D352" i="3"/>
  <c r="H351" i="3"/>
  <c r="G351" i="3"/>
  <c r="F351" i="3"/>
  <c r="E351" i="3"/>
  <c r="D351" i="3"/>
  <c r="H350" i="3"/>
  <c r="G350" i="3"/>
  <c r="F350" i="3"/>
  <c r="E350" i="3"/>
  <c r="D350" i="3"/>
  <c r="H349" i="3"/>
  <c r="G349" i="3"/>
  <c r="F349" i="3"/>
  <c r="E349" i="3"/>
  <c r="D349" i="3"/>
  <c r="H348" i="3"/>
  <c r="G348" i="3"/>
  <c r="F348" i="3"/>
  <c r="E348" i="3"/>
  <c r="D348" i="3"/>
  <c r="H347" i="3"/>
  <c r="G347" i="3"/>
  <c r="F347" i="3"/>
  <c r="E347" i="3"/>
  <c r="D347" i="3"/>
  <c r="H346" i="3"/>
  <c r="G346" i="3"/>
  <c r="F346" i="3"/>
  <c r="E346" i="3"/>
  <c r="D346" i="3"/>
  <c r="H345" i="3"/>
  <c r="G345" i="3"/>
  <c r="F345" i="3"/>
  <c r="E345" i="3"/>
  <c r="D345" i="3"/>
  <c r="H344" i="3"/>
  <c r="G344" i="3"/>
  <c r="F344" i="3"/>
  <c r="E344" i="3"/>
  <c r="D344" i="3"/>
  <c r="H343" i="3"/>
  <c r="G343" i="3"/>
  <c r="F343" i="3"/>
  <c r="E343" i="3"/>
  <c r="D343" i="3"/>
  <c r="H342" i="3"/>
  <c r="G342" i="3"/>
  <c r="F342" i="3"/>
  <c r="E342" i="3"/>
  <c r="D342" i="3"/>
  <c r="H341" i="3"/>
  <c r="G341" i="3"/>
  <c r="F341" i="3"/>
  <c r="E341" i="3"/>
  <c r="D341" i="3"/>
  <c r="H340" i="3"/>
  <c r="G340" i="3"/>
  <c r="F340" i="3"/>
  <c r="E340" i="3"/>
  <c r="D340" i="3"/>
  <c r="H339" i="3"/>
  <c r="G339" i="3"/>
  <c r="F339" i="3"/>
  <c r="E339" i="3"/>
  <c r="D339" i="3"/>
  <c r="H338" i="3"/>
  <c r="G338" i="3"/>
  <c r="F338" i="3"/>
  <c r="E338" i="3"/>
  <c r="D338" i="3"/>
  <c r="H337" i="3"/>
  <c r="G337" i="3"/>
  <c r="F337" i="3"/>
  <c r="E337" i="3"/>
  <c r="D337" i="3"/>
  <c r="H336" i="3"/>
  <c r="G336" i="3"/>
  <c r="F336" i="3"/>
  <c r="E336" i="3"/>
  <c r="D336" i="3"/>
  <c r="H335" i="3"/>
  <c r="G335" i="3"/>
  <c r="F335" i="3"/>
  <c r="E335" i="3"/>
  <c r="D335" i="3"/>
  <c r="H334" i="3"/>
  <c r="G334" i="3"/>
  <c r="F334" i="3"/>
  <c r="E334" i="3"/>
  <c r="D334" i="3"/>
  <c r="H333" i="3"/>
  <c r="G333" i="3"/>
  <c r="F333" i="3"/>
  <c r="E333" i="3"/>
  <c r="D333" i="3"/>
  <c r="H332" i="3"/>
  <c r="G332" i="3"/>
  <c r="F332" i="3"/>
  <c r="E332" i="3"/>
  <c r="D332" i="3"/>
  <c r="H331" i="3"/>
  <c r="G331" i="3"/>
  <c r="F331" i="3"/>
  <c r="E331" i="3"/>
  <c r="D331" i="3"/>
  <c r="H330" i="3"/>
  <c r="G330" i="3"/>
  <c r="F330" i="3"/>
  <c r="E330" i="3"/>
  <c r="D330" i="3"/>
  <c r="H329" i="3"/>
  <c r="G329" i="3"/>
  <c r="F329" i="3"/>
  <c r="E329" i="3"/>
  <c r="D329" i="3"/>
  <c r="H328" i="3"/>
  <c r="G328" i="3"/>
  <c r="F328" i="3"/>
  <c r="E328" i="3"/>
  <c r="D328" i="3"/>
  <c r="H327" i="3"/>
  <c r="G327" i="3"/>
  <c r="F327" i="3"/>
  <c r="E327" i="3"/>
  <c r="D327" i="3"/>
  <c r="H326" i="3"/>
  <c r="G326" i="3"/>
  <c r="F326" i="3"/>
  <c r="E326" i="3"/>
  <c r="D326" i="3"/>
  <c r="H325" i="3"/>
  <c r="G325" i="3"/>
  <c r="F325" i="3"/>
  <c r="E325" i="3"/>
  <c r="D325" i="3"/>
  <c r="H324" i="3"/>
  <c r="G324" i="3"/>
  <c r="F324" i="3"/>
  <c r="E324" i="3"/>
  <c r="D324" i="3"/>
  <c r="H323" i="3"/>
  <c r="G323" i="3"/>
  <c r="F323" i="3"/>
  <c r="E323" i="3"/>
  <c r="D323" i="3"/>
  <c r="H322" i="3"/>
  <c r="G322" i="3"/>
  <c r="F322" i="3"/>
  <c r="E322" i="3"/>
  <c r="D322" i="3"/>
  <c r="H321" i="3"/>
  <c r="G321" i="3"/>
  <c r="F321" i="3"/>
  <c r="E321" i="3"/>
  <c r="D321" i="3"/>
  <c r="H320" i="3"/>
  <c r="G320" i="3"/>
  <c r="F320" i="3"/>
  <c r="E320" i="3"/>
  <c r="D320" i="3"/>
  <c r="H319" i="3"/>
  <c r="G319" i="3"/>
  <c r="F319" i="3"/>
  <c r="E319" i="3"/>
  <c r="D319" i="3"/>
  <c r="H318" i="3"/>
  <c r="G318" i="3"/>
  <c r="F318" i="3"/>
  <c r="E318" i="3"/>
  <c r="D318" i="3"/>
  <c r="H317" i="3"/>
  <c r="G317" i="3"/>
  <c r="F317" i="3"/>
  <c r="E317" i="3"/>
  <c r="D317" i="3"/>
  <c r="H316" i="3"/>
  <c r="G316" i="3"/>
  <c r="F316" i="3"/>
  <c r="E316" i="3"/>
  <c r="D316" i="3"/>
  <c r="H315" i="3"/>
  <c r="G315" i="3"/>
  <c r="F315" i="3"/>
  <c r="E315" i="3"/>
  <c r="D315" i="3"/>
  <c r="H314" i="3"/>
  <c r="G314" i="3"/>
  <c r="F314" i="3"/>
  <c r="E314" i="3"/>
  <c r="D314" i="3"/>
  <c r="H313" i="3"/>
  <c r="G313" i="3"/>
  <c r="F313" i="3"/>
  <c r="E313" i="3"/>
  <c r="D313" i="3"/>
  <c r="H312" i="3"/>
  <c r="G312" i="3"/>
  <c r="F312" i="3"/>
  <c r="E312" i="3"/>
  <c r="D312" i="3"/>
  <c r="H311" i="3"/>
  <c r="G311" i="3"/>
  <c r="F311" i="3"/>
  <c r="E311" i="3"/>
  <c r="D311" i="3"/>
  <c r="H310" i="3"/>
  <c r="G310" i="3"/>
  <c r="F310" i="3"/>
  <c r="E310" i="3"/>
  <c r="D310" i="3"/>
  <c r="H309" i="3"/>
  <c r="G309" i="3"/>
  <c r="F309" i="3"/>
  <c r="E309" i="3"/>
  <c r="D309" i="3"/>
  <c r="H308" i="3"/>
  <c r="G308" i="3"/>
  <c r="F308" i="3"/>
  <c r="E308" i="3"/>
  <c r="D308" i="3"/>
  <c r="H307" i="3"/>
  <c r="G307" i="3"/>
  <c r="F307" i="3"/>
  <c r="E307" i="3"/>
  <c r="D307" i="3"/>
  <c r="H306" i="3"/>
  <c r="G306" i="3"/>
  <c r="F306" i="3"/>
  <c r="E306" i="3"/>
  <c r="D306" i="3"/>
  <c r="H305" i="3"/>
  <c r="G305" i="3"/>
  <c r="F305" i="3"/>
  <c r="E305" i="3"/>
  <c r="D305" i="3"/>
  <c r="H304" i="3"/>
  <c r="G304" i="3"/>
  <c r="F304" i="3"/>
  <c r="E304" i="3"/>
  <c r="D304" i="3"/>
  <c r="H303" i="3"/>
  <c r="G303" i="3"/>
  <c r="F303" i="3"/>
  <c r="E303" i="3"/>
  <c r="D303" i="3"/>
  <c r="H302" i="3"/>
  <c r="G302" i="3"/>
  <c r="F302" i="3"/>
  <c r="E302" i="3"/>
  <c r="D302" i="3"/>
  <c r="H301" i="3"/>
  <c r="G301" i="3"/>
  <c r="F301" i="3"/>
  <c r="E301" i="3"/>
  <c r="D301" i="3"/>
  <c r="H300" i="3"/>
  <c r="G300" i="3"/>
  <c r="F300" i="3"/>
  <c r="E300" i="3"/>
  <c r="D300" i="3"/>
  <c r="H299" i="3"/>
  <c r="G299" i="3"/>
  <c r="F299" i="3"/>
  <c r="E299" i="3"/>
  <c r="D299" i="3"/>
  <c r="H298" i="3"/>
  <c r="G298" i="3"/>
  <c r="F298" i="3"/>
  <c r="E298" i="3"/>
  <c r="D298" i="3"/>
  <c r="H297" i="3"/>
  <c r="G297" i="3"/>
  <c r="F297" i="3"/>
  <c r="E297" i="3"/>
  <c r="D297" i="3"/>
  <c r="H296" i="3"/>
  <c r="G296" i="3"/>
  <c r="F296" i="3"/>
  <c r="E296" i="3"/>
  <c r="D296" i="3"/>
  <c r="H295" i="3"/>
  <c r="G295" i="3"/>
  <c r="F295" i="3"/>
  <c r="E295" i="3"/>
  <c r="D295" i="3"/>
  <c r="H294" i="3"/>
  <c r="G294" i="3"/>
  <c r="F294" i="3"/>
  <c r="E294" i="3"/>
  <c r="D294" i="3"/>
  <c r="H293" i="3"/>
  <c r="G293" i="3"/>
  <c r="F293" i="3"/>
  <c r="E293" i="3"/>
  <c r="D293" i="3"/>
  <c r="H292" i="3"/>
  <c r="G292" i="3"/>
  <c r="F292" i="3"/>
  <c r="E292" i="3"/>
  <c r="D292" i="3"/>
  <c r="H291" i="3"/>
  <c r="G291" i="3"/>
  <c r="F291" i="3"/>
  <c r="E291" i="3"/>
  <c r="D291" i="3"/>
  <c r="H290" i="3"/>
  <c r="G290" i="3"/>
  <c r="F290" i="3"/>
  <c r="E290" i="3"/>
  <c r="D290" i="3"/>
  <c r="H289" i="3"/>
  <c r="G289" i="3"/>
  <c r="F289" i="3"/>
  <c r="E289" i="3"/>
  <c r="D289" i="3"/>
  <c r="H288" i="3"/>
  <c r="G288" i="3"/>
  <c r="F288" i="3"/>
  <c r="E288" i="3"/>
  <c r="D288" i="3"/>
  <c r="H287" i="3"/>
  <c r="G287" i="3"/>
  <c r="F287" i="3"/>
  <c r="E287" i="3"/>
  <c r="D287" i="3"/>
  <c r="H286" i="3"/>
  <c r="G286" i="3"/>
  <c r="F286" i="3"/>
  <c r="E286" i="3"/>
  <c r="D286" i="3"/>
  <c r="H285" i="3"/>
  <c r="G285" i="3"/>
  <c r="F285" i="3"/>
  <c r="E285" i="3"/>
  <c r="D285" i="3"/>
  <c r="H284" i="3"/>
  <c r="G284" i="3"/>
  <c r="F284" i="3"/>
  <c r="E284" i="3"/>
  <c r="D284" i="3"/>
  <c r="H283" i="3"/>
  <c r="G283" i="3"/>
  <c r="F283" i="3"/>
  <c r="E283" i="3"/>
  <c r="D283" i="3"/>
  <c r="H282" i="3"/>
  <c r="G282" i="3"/>
  <c r="F282" i="3"/>
  <c r="E282" i="3"/>
  <c r="D282" i="3"/>
  <c r="H281" i="3"/>
  <c r="G281" i="3"/>
  <c r="F281" i="3"/>
  <c r="E281" i="3"/>
  <c r="D281" i="3"/>
  <c r="H280" i="3"/>
  <c r="G280" i="3"/>
  <c r="F280" i="3"/>
  <c r="E280" i="3"/>
  <c r="D280" i="3"/>
  <c r="H279" i="3"/>
  <c r="G279" i="3"/>
  <c r="F279" i="3"/>
  <c r="E279" i="3"/>
  <c r="D279" i="3"/>
  <c r="H278" i="3"/>
  <c r="G278" i="3"/>
  <c r="F278" i="3"/>
  <c r="E278" i="3"/>
  <c r="D278" i="3"/>
  <c r="H277" i="3"/>
  <c r="G277" i="3"/>
  <c r="F277" i="3"/>
  <c r="E277" i="3"/>
  <c r="D277" i="3"/>
  <c r="H276" i="3"/>
  <c r="G276" i="3"/>
  <c r="F276" i="3"/>
  <c r="E276" i="3"/>
  <c r="D276" i="3"/>
  <c r="H275" i="3"/>
  <c r="G275" i="3"/>
  <c r="F275" i="3"/>
  <c r="E275" i="3"/>
  <c r="D275" i="3"/>
  <c r="H274" i="3"/>
  <c r="G274" i="3"/>
  <c r="F274" i="3"/>
  <c r="E274" i="3"/>
  <c r="D274" i="3"/>
  <c r="H273" i="3"/>
  <c r="G273" i="3"/>
  <c r="F273" i="3"/>
  <c r="E273" i="3"/>
  <c r="D273" i="3"/>
  <c r="H272" i="3"/>
  <c r="G272" i="3"/>
  <c r="F272" i="3"/>
  <c r="E272" i="3"/>
  <c r="D272" i="3"/>
  <c r="H271" i="3"/>
  <c r="G271" i="3"/>
  <c r="F271" i="3"/>
  <c r="E271" i="3"/>
  <c r="D271" i="3"/>
  <c r="H270" i="3"/>
  <c r="G270" i="3"/>
  <c r="F270" i="3"/>
  <c r="E270" i="3"/>
  <c r="D270" i="3"/>
  <c r="H269" i="3"/>
  <c r="G269" i="3"/>
  <c r="F269" i="3"/>
  <c r="E269" i="3"/>
  <c r="D269" i="3"/>
  <c r="H268" i="3"/>
  <c r="G268" i="3"/>
  <c r="F268" i="3"/>
  <c r="E268" i="3"/>
  <c r="D268" i="3"/>
  <c r="H267" i="3"/>
  <c r="G267" i="3"/>
  <c r="F267" i="3"/>
  <c r="E267" i="3"/>
  <c r="D267" i="3"/>
  <c r="H266" i="3"/>
  <c r="G266" i="3"/>
  <c r="F266" i="3"/>
  <c r="E266" i="3"/>
  <c r="D266" i="3"/>
  <c r="H265" i="3"/>
  <c r="G265" i="3"/>
  <c r="F265" i="3"/>
  <c r="E265" i="3"/>
  <c r="D265" i="3"/>
  <c r="H264" i="3"/>
  <c r="G264" i="3"/>
  <c r="F264" i="3"/>
  <c r="E264" i="3"/>
  <c r="D264" i="3"/>
  <c r="H263" i="3"/>
  <c r="G263" i="3"/>
  <c r="F263" i="3"/>
  <c r="E263" i="3"/>
  <c r="D263" i="3"/>
  <c r="H262" i="3"/>
  <c r="G262" i="3"/>
  <c r="F262" i="3"/>
  <c r="E262" i="3"/>
  <c r="D262" i="3"/>
  <c r="H261" i="3"/>
  <c r="G261" i="3"/>
  <c r="F261" i="3"/>
  <c r="E261" i="3"/>
  <c r="D261" i="3"/>
  <c r="H260" i="3"/>
  <c r="G260" i="3"/>
  <c r="F260" i="3"/>
  <c r="E260" i="3"/>
  <c r="D260" i="3"/>
  <c r="H259" i="3"/>
  <c r="G259" i="3"/>
  <c r="F259" i="3"/>
  <c r="E259" i="3"/>
  <c r="D259" i="3"/>
  <c r="H258" i="3"/>
  <c r="G258" i="3"/>
  <c r="F258" i="3"/>
  <c r="E258" i="3"/>
  <c r="D258" i="3"/>
  <c r="H257" i="3"/>
  <c r="G257" i="3"/>
  <c r="F257" i="3"/>
  <c r="E257" i="3"/>
  <c r="D257" i="3"/>
  <c r="H256" i="3"/>
  <c r="G256" i="3"/>
  <c r="F256" i="3"/>
  <c r="E256" i="3"/>
  <c r="D256" i="3"/>
  <c r="H255" i="3"/>
  <c r="G255" i="3"/>
  <c r="F255" i="3"/>
  <c r="E255" i="3"/>
  <c r="D255" i="3"/>
  <c r="H254" i="3"/>
  <c r="G254" i="3"/>
  <c r="F254" i="3"/>
  <c r="E254" i="3"/>
  <c r="D254" i="3"/>
  <c r="H253" i="3"/>
  <c r="G253" i="3"/>
  <c r="F253" i="3"/>
  <c r="E253" i="3"/>
  <c r="D253" i="3"/>
  <c r="H252" i="3"/>
  <c r="G252" i="3"/>
  <c r="F252" i="3"/>
  <c r="E252" i="3"/>
  <c r="D252" i="3"/>
  <c r="H251" i="3"/>
  <c r="G251" i="3"/>
  <c r="F251" i="3"/>
  <c r="E251" i="3"/>
  <c r="D251" i="3"/>
  <c r="H250" i="3"/>
  <c r="G250" i="3"/>
  <c r="F250" i="3"/>
  <c r="E250" i="3"/>
  <c r="D250" i="3"/>
  <c r="H249" i="3"/>
  <c r="G249" i="3"/>
  <c r="F249" i="3"/>
  <c r="E249" i="3"/>
  <c r="D249" i="3"/>
  <c r="H248" i="3"/>
  <c r="G248" i="3"/>
  <c r="F248" i="3"/>
  <c r="E248" i="3"/>
  <c r="D248" i="3"/>
  <c r="H247" i="3"/>
  <c r="G247" i="3"/>
  <c r="F247" i="3"/>
  <c r="E247" i="3"/>
  <c r="D247" i="3"/>
  <c r="H246" i="3"/>
  <c r="G246" i="3"/>
  <c r="F246" i="3"/>
  <c r="E246" i="3"/>
  <c r="D246" i="3"/>
  <c r="H245" i="3"/>
  <c r="G245" i="3"/>
  <c r="F245" i="3"/>
  <c r="E245" i="3"/>
  <c r="D245" i="3"/>
  <c r="H244" i="3"/>
  <c r="G244" i="3"/>
  <c r="F244" i="3"/>
  <c r="E244" i="3"/>
  <c r="D244" i="3"/>
  <c r="H243" i="3"/>
  <c r="G243" i="3"/>
  <c r="F243" i="3"/>
  <c r="E243" i="3"/>
  <c r="D243" i="3"/>
  <c r="H242" i="3"/>
  <c r="G242" i="3"/>
  <c r="F242" i="3"/>
  <c r="E242" i="3"/>
  <c r="D242" i="3"/>
  <c r="H241" i="3"/>
  <c r="G241" i="3"/>
  <c r="F241" i="3"/>
  <c r="E241" i="3"/>
  <c r="D241" i="3"/>
  <c r="H240" i="3"/>
  <c r="G240" i="3"/>
  <c r="F240" i="3"/>
  <c r="E240" i="3"/>
  <c r="D240" i="3"/>
  <c r="H239" i="3"/>
  <c r="G239" i="3"/>
  <c r="F239" i="3"/>
  <c r="E239" i="3"/>
  <c r="D239" i="3"/>
  <c r="H238" i="3"/>
  <c r="G238" i="3"/>
  <c r="F238" i="3"/>
  <c r="E238" i="3"/>
  <c r="D238" i="3"/>
  <c r="H237" i="3"/>
  <c r="G237" i="3"/>
  <c r="F237" i="3"/>
  <c r="E237" i="3"/>
  <c r="D237" i="3"/>
  <c r="H236" i="3"/>
  <c r="G236" i="3"/>
  <c r="F236" i="3"/>
  <c r="E236" i="3"/>
  <c r="D236" i="3"/>
  <c r="H235" i="3"/>
  <c r="G235" i="3"/>
  <c r="F235" i="3"/>
  <c r="E235" i="3"/>
  <c r="D235" i="3"/>
  <c r="H234" i="3"/>
  <c r="G234" i="3"/>
  <c r="F234" i="3"/>
  <c r="E234" i="3"/>
  <c r="D234" i="3"/>
  <c r="H233" i="3"/>
  <c r="G233" i="3"/>
  <c r="F233" i="3"/>
  <c r="E233" i="3"/>
  <c r="D233" i="3"/>
  <c r="H232" i="3"/>
  <c r="G232" i="3"/>
  <c r="F232" i="3"/>
  <c r="E232" i="3"/>
  <c r="D232" i="3"/>
  <c r="H231" i="3"/>
  <c r="G231" i="3"/>
  <c r="F231" i="3"/>
  <c r="E231" i="3"/>
  <c r="D231" i="3"/>
  <c r="H230" i="3"/>
  <c r="G230" i="3"/>
  <c r="F230" i="3"/>
  <c r="E230" i="3"/>
  <c r="D230" i="3"/>
  <c r="H229" i="3"/>
  <c r="G229" i="3"/>
  <c r="F229" i="3"/>
  <c r="E229" i="3"/>
  <c r="D229" i="3"/>
  <c r="H228" i="3"/>
  <c r="G228" i="3"/>
  <c r="F228" i="3"/>
  <c r="E228" i="3"/>
  <c r="D228" i="3"/>
  <c r="H227" i="3"/>
  <c r="G227" i="3"/>
  <c r="F227" i="3"/>
  <c r="E227" i="3"/>
  <c r="D227" i="3"/>
  <c r="H226" i="3"/>
  <c r="G226" i="3"/>
  <c r="F226" i="3"/>
  <c r="E226" i="3"/>
  <c r="D226" i="3"/>
  <c r="H225" i="3"/>
  <c r="G225" i="3"/>
  <c r="F225" i="3"/>
  <c r="E225" i="3"/>
  <c r="D225" i="3"/>
  <c r="H224" i="3"/>
  <c r="G224" i="3"/>
  <c r="F224" i="3"/>
  <c r="E224" i="3"/>
  <c r="D224" i="3"/>
  <c r="H223" i="3"/>
  <c r="G223" i="3"/>
  <c r="F223" i="3"/>
  <c r="E223" i="3"/>
  <c r="D223" i="3"/>
  <c r="H222" i="3"/>
  <c r="G222" i="3"/>
  <c r="F222" i="3"/>
  <c r="E222" i="3"/>
  <c r="D222" i="3"/>
  <c r="H221" i="3"/>
  <c r="G221" i="3"/>
  <c r="F221" i="3"/>
  <c r="E221" i="3"/>
  <c r="D221" i="3"/>
  <c r="H220" i="3"/>
  <c r="G220" i="3"/>
  <c r="F220" i="3"/>
  <c r="E220" i="3"/>
  <c r="D220" i="3"/>
  <c r="H219" i="3"/>
  <c r="G219" i="3"/>
  <c r="F219" i="3"/>
  <c r="E219" i="3"/>
  <c r="D219" i="3"/>
  <c r="H218" i="3"/>
  <c r="G218" i="3"/>
  <c r="F218" i="3"/>
  <c r="E218" i="3"/>
  <c r="D218" i="3"/>
  <c r="H217" i="3"/>
  <c r="G217" i="3"/>
  <c r="F217" i="3"/>
  <c r="E217" i="3"/>
  <c r="D217" i="3"/>
  <c r="H216" i="3"/>
  <c r="G216" i="3"/>
  <c r="F216" i="3"/>
  <c r="E216" i="3"/>
  <c r="D216" i="3"/>
  <c r="H215" i="3"/>
  <c r="G215" i="3"/>
  <c r="F215" i="3"/>
  <c r="E215" i="3"/>
  <c r="D215" i="3"/>
  <c r="H214" i="3"/>
  <c r="G214" i="3"/>
  <c r="F214" i="3"/>
  <c r="E214" i="3"/>
  <c r="D214" i="3"/>
  <c r="H213" i="3"/>
  <c r="G213" i="3"/>
  <c r="F213" i="3"/>
  <c r="E213" i="3"/>
  <c r="D213" i="3"/>
  <c r="H212" i="3"/>
  <c r="G212" i="3"/>
  <c r="F212" i="3"/>
  <c r="E212" i="3"/>
  <c r="D212" i="3"/>
  <c r="H211" i="3"/>
  <c r="G211" i="3"/>
  <c r="F211" i="3"/>
  <c r="E211" i="3"/>
  <c r="D211" i="3"/>
  <c r="H210" i="3"/>
  <c r="G210" i="3"/>
  <c r="F210" i="3"/>
  <c r="E210" i="3"/>
  <c r="D210" i="3"/>
  <c r="H209" i="3"/>
  <c r="G209" i="3"/>
  <c r="F209" i="3"/>
  <c r="E209" i="3"/>
  <c r="D209" i="3"/>
  <c r="H208" i="3"/>
  <c r="G208" i="3"/>
  <c r="F208" i="3"/>
  <c r="E208" i="3"/>
  <c r="D208" i="3"/>
  <c r="H207" i="3"/>
  <c r="G207" i="3"/>
  <c r="F207" i="3"/>
  <c r="E207" i="3"/>
  <c r="D207" i="3"/>
  <c r="H206" i="3"/>
  <c r="G206" i="3"/>
  <c r="F206" i="3"/>
  <c r="E206" i="3"/>
  <c r="D206" i="3"/>
  <c r="H205" i="3"/>
  <c r="G205" i="3"/>
  <c r="F205" i="3"/>
  <c r="E205" i="3"/>
  <c r="D205" i="3"/>
  <c r="H204" i="3"/>
  <c r="G204" i="3"/>
  <c r="F204" i="3"/>
  <c r="E204" i="3"/>
  <c r="D204" i="3"/>
  <c r="H203" i="3"/>
  <c r="G203" i="3"/>
  <c r="F203" i="3"/>
  <c r="E203" i="3"/>
  <c r="D203" i="3"/>
  <c r="H202" i="3"/>
  <c r="G202" i="3"/>
  <c r="F202" i="3"/>
  <c r="E202" i="3"/>
  <c r="D202" i="3"/>
  <c r="H201" i="3"/>
  <c r="G201" i="3"/>
  <c r="F201" i="3"/>
  <c r="E201" i="3"/>
  <c r="D201" i="3"/>
  <c r="H200" i="3"/>
  <c r="G200" i="3"/>
  <c r="F200" i="3"/>
  <c r="E200" i="3"/>
  <c r="D200" i="3"/>
  <c r="H199" i="3"/>
  <c r="G199" i="3"/>
  <c r="F199" i="3"/>
  <c r="E199" i="3"/>
  <c r="D199" i="3"/>
  <c r="H198" i="3"/>
  <c r="G198" i="3"/>
  <c r="F198" i="3"/>
  <c r="E198" i="3"/>
  <c r="D198" i="3"/>
  <c r="H197" i="3"/>
  <c r="G197" i="3"/>
  <c r="F197" i="3"/>
  <c r="E197" i="3"/>
  <c r="D197" i="3"/>
  <c r="H196" i="3"/>
  <c r="G196" i="3"/>
  <c r="F196" i="3"/>
  <c r="E196" i="3"/>
  <c r="D196" i="3"/>
  <c r="H195" i="3"/>
  <c r="G195" i="3"/>
  <c r="F195" i="3"/>
  <c r="E195" i="3"/>
  <c r="D195" i="3"/>
  <c r="H194" i="3"/>
  <c r="G194" i="3"/>
  <c r="F194" i="3"/>
  <c r="E194" i="3"/>
  <c r="D194" i="3"/>
  <c r="H193" i="3"/>
  <c r="G193" i="3"/>
  <c r="F193" i="3"/>
  <c r="E193" i="3"/>
  <c r="D193" i="3"/>
  <c r="H192" i="3"/>
  <c r="G192" i="3"/>
  <c r="F192" i="3"/>
  <c r="E192" i="3"/>
  <c r="D192" i="3"/>
  <c r="H191" i="3"/>
  <c r="G191" i="3"/>
  <c r="F191" i="3"/>
  <c r="E191" i="3"/>
  <c r="D191" i="3"/>
  <c r="H190" i="3"/>
  <c r="G190" i="3"/>
  <c r="F190" i="3"/>
  <c r="E190" i="3"/>
  <c r="D190" i="3"/>
  <c r="H189" i="3"/>
  <c r="G189" i="3"/>
  <c r="F189" i="3"/>
  <c r="E189" i="3"/>
  <c r="D189" i="3"/>
  <c r="H188" i="3"/>
  <c r="G188" i="3"/>
  <c r="F188" i="3"/>
  <c r="E188" i="3"/>
  <c r="D188" i="3"/>
  <c r="H187" i="3"/>
  <c r="G187" i="3"/>
  <c r="F187" i="3"/>
  <c r="E187" i="3"/>
  <c r="D187" i="3"/>
  <c r="H186" i="3"/>
  <c r="G186" i="3"/>
  <c r="F186" i="3"/>
  <c r="E186" i="3"/>
  <c r="D186" i="3"/>
  <c r="H185" i="3"/>
  <c r="G185" i="3"/>
  <c r="F185" i="3"/>
  <c r="E185" i="3"/>
  <c r="D185" i="3"/>
  <c r="H184" i="3"/>
  <c r="G184" i="3"/>
  <c r="F184" i="3"/>
  <c r="E184" i="3"/>
  <c r="D184" i="3"/>
  <c r="H183" i="3"/>
  <c r="G183" i="3"/>
  <c r="F183" i="3"/>
  <c r="E183" i="3"/>
  <c r="D183" i="3"/>
  <c r="H182" i="3"/>
  <c r="G182" i="3"/>
  <c r="F182" i="3"/>
  <c r="E182" i="3"/>
  <c r="D182" i="3"/>
  <c r="H181" i="3"/>
  <c r="G181" i="3"/>
  <c r="F181" i="3"/>
  <c r="E181" i="3"/>
  <c r="D181" i="3"/>
  <c r="H180" i="3"/>
  <c r="G180" i="3"/>
  <c r="F180" i="3"/>
  <c r="E180" i="3"/>
  <c r="D180" i="3"/>
  <c r="H179" i="3"/>
  <c r="G179" i="3"/>
  <c r="F179" i="3"/>
  <c r="E179" i="3"/>
  <c r="D179" i="3"/>
  <c r="H178" i="3"/>
  <c r="G178" i="3"/>
  <c r="F178" i="3"/>
  <c r="E178" i="3"/>
  <c r="D178" i="3"/>
  <c r="H177" i="3"/>
  <c r="G177" i="3"/>
  <c r="F177" i="3"/>
  <c r="E177" i="3"/>
  <c r="D177" i="3"/>
  <c r="H176" i="3"/>
  <c r="G176" i="3"/>
  <c r="F176" i="3"/>
  <c r="E176" i="3"/>
  <c r="D176" i="3"/>
  <c r="H175" i="3"/>
  <c r="G175" i="3"/>
  <c r="F175" i="3"/>
  <c r="E175" i="3"/>
  <c r="D175" i="3"/>
  <c r="H174" i="3"/>
  <c r="G174" i="3"/>
  <c r="F174" i="3"/>
  <c r="E174" i="3"/>
  <c r="D174" i="3"/>
  <c r="H173" i="3"/>
  <c r="G173" i="3"/>
  <c r="F173" i="3"/>
  <c r="E173" i="3"/>
  <c r="D173" i="3"/>
  <c r="H172" i="3"/>
  <c r="G172" i="3"/>
  <c r="F172" i="3"/>
  <c r="E172" i="3"/>
  <c r="D172" i="3"/>
  <c r="H171" i="3"/>
  <c r="G171" i="3"/>
  <c r="F171" i="3"/>
  <c r="E171" i="3"/>
  <c r="D171" i="3"/>
  <c r="H170" i="3"/>
  <c r="G170" i="3"/>
  <c r="F170" i="3"/>
  <c r="E170" i="3"/>
  <c r="D170" i="3"/>
  <c r="H169" i="3"/>
  <c r="G169" i="3"/>
  <c r="F169" i="3"/>
  <c r="E169" i="3"/>
  <c r="D169" i="3"/>
  <c r="H168" i="3"/>
  <c r="G168" i="3"/>
  <c r="F168" i="3"/>
  <c r="E168" i="3"/>
  <c r="D168" i="3"/>
  <c r="H167" i="3"/>
  <c r="G167" i="3"/>
  <c r="F167" i="3"/>
  <c r="E167" i="3"/>
  <c r="D167" i="3"/>
  <c r="H166" i="3"/>
  <c r="G166" i="3"/>
  <c r="F166" i="3"/>
  <c r="E166" i="3"/>
  <c r="D166" i="3"/>
  <c r="H165" i="3"/>
  <c r="G165" i="3"/>
  <c r="F165" i="3"/>
  <c r="E165" i="3"/>
  <c r="D165" i="3"/>
  <c r="H164" i="3"/>
  <c r="G164" i="3"/>
  <c r="F164" i="3"/>
  <c r="E164" i="3"/>
  <c r="D164" i="3"/>
  <c r="H163" i="3"/>
  <c r="G163" i="3"/>
  <c r="F163" i="3"/>
  <c r="E163" i="3"/>
  <c r="D163" i="3"/>
  <c r="H162" i="3"/>
  <c r="G162" i="3"/>
  <c r="F162" i="3"/>
  <c r="E162" i="3"/>
  <c r="D162" i="3"/>
  <c r="H161" i="3"/>
  <c r="G161" i="3"/>
  <c r="F161" i="3"/>
  <c r="E161" i="3"/>
  <c r="D161" i="3"/>
  <c r="H160" i="3"/>
  <c r="G160" i="3"/>
  <c r="F160" i="3"/>
  <c r="E160" i="3"/>
  <c r="D160" i="3"/>
  <c r="H159" i="3"/>
  <c r="G159" i="3"/>
  <c r="F159" i="3"/>
  <c r="E159" i="3"/>
  <c r="D159" i="3"/>
  <c r="H158" i="3"/>
  <c r="G158" i="3"/>
  <c r="F158" i="3"/>
  <c r="E158" i="3"/>
  <c r="D158" i="3"/>
  <c r="H157" i="3"/>
  <c r="G157" i="3"/>
  <c r="F157" i="3"/>
  <c r="E157" i="3"/>
  <c r="D157" i="3"/>
  <c r="H156" i="3"/>
  <c r="G156" i="3"/>
  <c r="F156" i="3"/>
  <c r="E156" i="3"/>
  <c r="D156" i="3"/>
  <c r="H155" i="3"/>
  <c r="G155" i="3"/>
  <c r="F155" i="3"/>
  <c r="E155" i="3"/>
  <c r="D155" i="3"/>
  <c r="H154" i="3"/>
  <c r="G154" i="3"/>
  <c r="F154" i="3"/>
  <c r="E154" i="3"/>
  <c r="D154" i="3"/>
  <c r="H153" i="3"/>
  <c r="G153" i="3"/>
  <c r="F153" i="3"/>
  <c r="E153" i="3"/>
  <c r="D153" i="3"/>
  <c r="H152" i="3"/>
  <c r="G152" i="3"/>
  <c r="F152" i="3"/>
  <c r="E152" i="3"/>
  <c r="D152" i="3"/>
  <c r="H151" i="3"/>
  <c r="G151" i="3"/>
  <c r="F151" i="3"/>
  <c r="E151" i="3"/>
  <c r="D151" i="3"/>
  <c r="H150" i="3"/>
  <c r="G150" i="3"/>
  <c r="F150" i="3"/>
  <c r="E150" i="3"/>
  <c r="D150" i="3"/>
  <c r="H149" i="3"/>
  <c r="G149" i="3"/>
  <c r="F149" i="3"/>
  <c r="E149" i="3"/>
  <c r="D149" i="3"/>
  <c r="H148" i="3"/>
  <c r="G148" i="3"/>
  <c r="F148" i="3"/>
  <c r="E148" i="3"/>
  <c r="D148" i="3"/>
  <c r="H147" i="3"/>
  <c r="G147" i="3"/>
  <c r="F147" i="3"/>
  <c r="E147" i="3"/>
  <c r="D147" i="3"/>
  <c r="H146" i="3"/>
  <c r="G146" i="3"/>
  <c r="F146" i="3"/>
  <c r="E146" i="3"/>
  <c r="D146" i="3"/>
  <c r="H145" i="3"/>
  <c r="G145" i="3"/>
  <c r="F145" i="3"/>
  <c r="E145" i="3"/>
  <c r="D145" i="3"/>
  <c r="H144" i="3"/>
  <c r="G144" i="3"/>
  <c r="F144" i="3"/>
  <c r="E144" i="3"/>
  <c r="D144" i="3"/>
  <c r="H143" i="3"/>
  <c r="G143" i="3"/>
  <c r="F143" i="3"/>
  <c r="E143" i="3"/>
  <c r="D143" i="3"/>
  <c r="H142" i="3"/>
  <c r="G142" i="3"/>
  <c r="F142" i="3"/>
  <c r="E142" i="3"/>
  <c r="D142" i="3"/>
  <c r="H141" i="3"/>
  <c r="G141" i="3"/>
  <c r="F141" i="3"/>
  <c r="E141" i="3"/>
  <c r="D141" i="3"/>
  <c r="H140" i="3"/>
  <c r="G140" i="3"/>
  <c r="F140" i="3"/>
  <c r="E140" i="3"/>
  <c r="D140" i="3"/>
  <c r="H139" i="3"/>
  <c r="G139" i="3"/>
  <c r="F139" i="3"/>
  <c r="E139" i="3"/>
  <c r="D139" i="3"/>
  <c r="H138" i="3"/>
  <c r="G138" i="3"/>
  <c r="F138" i="3"/>
  <c r="E138" i="3"/>
  <c r="D138" i="3"/>
  <c r="H137" i="3"/>
  <c r="G137" i="3"/>
  <c r="F137" i="3"/>
  <c r="E137" i="3"/>
  <c r="D137" i="3"/>
  <c r="H136" i="3"/>
  <c r="G136" i="3"/>
  <c r="F136" i="3"/>
  <c r="E136" i="3"/>
  <c r="D136" i="3"/>
  <c r="H135" i="3"/>
  <c r="G135" i="3"/>
  <c r="F135" i="3"/>
  <c r="E135" i="3"/>
  <c r="D135" i="3"/>
  <c r="H134" i="3"/>
  <c r="G134" i="3"/>
  <c r="F134" i="3"/>
  <c r="E134" i="3"/>
  <c r="D134" i="3"/>
  <c r="H133" i="3"/>
  <c r="G133" i="3"/>
  <c r="F133" i="3"/>
  <c r="E133" i="3"/>
  <c r="D133" i="3"/>
  <c r="H132" i="3"/>
  <c r="G132" i="3"/>
  <c r="F132" i="3"/>
  <c r="E132" i="3"/>
  <c r="D132" i="3"/>
  <c r="H131" i="3"/>
  <c r="G131" i="3"/>
  <c r="F131" i="3"/>
  <c r="E131" i="3"/>
  <c r="D131" i="3"/>
  <c r="H130" i="3"/>
  <c r="G130" i="3"/>
  <c r="F130" i="3"/>
  <c r="E130" i="3"/>
  <c r="D130" i="3"/>
  <c r="H129" i="3"/>
  <c r="G129" i="3"/>
  <c r="F129" i="3"/>
  <c r="E129" i="3"/>
  <c r="D129" i="3"/>
  <c r="H128" i="3"/>
  <c r="G128" i="3"/>
  <c r="F128" i="3"/>
  <c r="E128" i="3"/>
  <c r="D128" i="3"/>
  <c r="H127" i="3"/>
  <c r="G127" i="3"/>
  <c r="F127" i="3"/>
  <c r="E127" i="3"/>
  <c r="D127" i="3"/>
  <c r="H126" i="3"/>
  <c r="G126" i="3"/>
  <c r="F126" i="3"/>
  <c r="E126" i="3"/>
  <c r="D126" i="3"/>
  <c r="H125" i="3"/>
  <c r="G125" i="3"/>
  <c r="F125" i="3"/>
  <c r="E125" i="3"/>
  <c r="D125" i="3"/>
  <c r="H124" i="3"/>
  <c r="G124" i="3"/>
  <c r="F124" i="3"/>
  <c r="E124" i="3"/>
  <c r="D124" i="3"/>
  <c r="H123" i="3"/>
  <c r="G123" i="3"/>
  <c r="F123" i="3"/>
  <c r="E123" i="3"/>
  <c r="D123" i="3"/>
  <c r="H122" i="3"/>
  <c r="G122" i="3"/>
  <c r="F122" i="3"/>
  <c r="E122" i="3"/>
  <c r="D122" i="3"/>
  <c r="H121" i="3"/>
  <c r="G121" i="3"/>
  <c r="F121" i="3"/>
  <c r="E121" i="3"/>
  <c r="D121" i="3"/>
  <c r="H120" i="3"/>
  <c r="G120" i="3"/>
  <c r="F120" i="3"/>
  <c r="E120" i="3"/>
  <c r="D120" i="3"/>
  <c r="H119" i="3"/>
  <c r="G119" i="3"/>
  <c r="F119" i="3"/>
  <c r="E119" i="3"/>
  <c r="D119" i="3"/>
  <c r="H118" i="3"/>
  <c r="G118" i="3"/>
  <c r="F118" i="3"/>
  <c r="E118" i="3"/>
  <c r="D118" i="3"/>
  <c r="H117" i="3"/>
  <c r="G117" i="3"/>
  <c r="F117" i="3"/>
  <c r="E117" i="3"/>
  <c r="D117" i="3"/>
  <c r="H116" i="3"/>
  <c r="G116" i="3"/>
  <c r="F116" i="3"/>
  <c r="E116" i="3"/>
  <c r="D116" i="3"/>
  <c r="H115" i="3"/>
  <c r="G115" i="3"/>
  <c r="F115" i="3"/>
  <c r="E115" i="3"/>
  <c r="D115" i="3"/>
  <c r="H114" i="3"/>
  <c r="G114" i="3"/>
  <c r="F114" i="3"/>
  <c r="E114" i="3"/>
  <c r="D114" i="3"/>
  <c r="H113" i="3"/>
  <c r="G113" i="3"/>
  <c r="F113" i="3"/>
  <c r="E113" i="3"/>
  <c r="D113" i="3"/>
  <c r="H112" i="3"/>
  <c r="G112" i="3"/>
  <c r="F112" i="3"/>
  <c r="E112" i="3"/>
  <c r="D112" i="3"/>
  <c r="H111" i="3"/>
  <c r="G111" i="3"/>
  <c r="F111" i="3"/>
  <c r="E111" i="3"/>
  <c r="D111" i="3"/>
  <c r="H110" i="3"/>
  <c r="G110" i="3"/>
  <c r="F110" i="3"/>
  <c r="E110" i="3"/>
  <c r="D110" i="3"/>
  <c r="H109" i="3"/>
  <c r="G109" i="3"/>
  <c r="F109" i="3"/>
  <c r="E109" i="3"/>
  <c r="D109" i="3"/>
  <c r="H108" i="3"/>
  <c r="G108" i="3"/>
  <c r="F108" i="3"/>
  <c r="E108" i="3"/>
  <c r="D108" i="3"/>
  <c r="H107" i="3"/>
  <c r="G107" i="3"/>
  <c r="F107" i="3"/>
  <c r="E107" i="3"/>
  <c r="D107" i="3"/>
  <c r="H106" i="3"/>
  <c r="G106" i="3"/>
  <c r="F106" i="3"/>
  <c r="E106" i="3"/>
  <c r="D106" i="3"/>
  <c r="H105" i="3"/>
  <c r="G105" i="3"/>
  <c r="F105" i="3"/>
  <c r="E105" i="3"/>
  <c r="D105" i="3"/>
  <c r="H104" i="3"/>
  <c r="G104" i="3"/>
  <c r="F104" i="3"/>
  <c r="E104" i="3"/>
  <c r="D104" i="3"/>
  <c r="H103" i="3"/>
  <c r="G103" i="3"/>
  <c r="F103" i="3"/>
  <c r="E103" i="3"/>
  <c r="D103" i="3"/>
  <c r="H102" i="3"/>
  <c r="G102" i="3"/>
  <c r="F102" i="3"/>
  <c r="E102" i="3"/>
  <c r="D102" i="3"/>
  <c r="H101" i="3"/>
  <c r="G101" i="3"/>
  <c r="F101" i="3"/>
  <c r="E101" i="3"/>
  <c r="D101" i="3"/>
  <c r="H100" i="3"/>
  <c r="G100" i="3"/>
  <c r="F100" i="3"/>
  <c r="E100" i="3"/>
  <c r="D100" i="3"/>
  <c r="H99" i="3"/>
  <c r="G99" i="3"/>
  <c r="F99" i="3"/>
  <c r="E99" i="3"/>
  <c r="D99" i="3"/>
  <c r="H98" i="3"/>
  <c r="G98" i="3"/>
  <c r="F98" i="3"/>
  <c r="E98" i="3"/>
  <c r="D98" i="3"/>
  <c r="H97" i="3"/>
  <c r="G97" i="3"/>
  <c r="F97" i="3"/>
  <c r="E97" i="3"/>
  <c r="D97" i="3"/>
  <c r="H96" i="3"/>
  <c r="G96" i="3"/>
  <c r="F96" i="3"/>
  <c r="E96" i="3"/>
  <c r="D96" i="3"/>
  <c r="H95" i="3"/>
  <c r="G95" i="3"/>
  <c r="F95" i="3"/>
  <c r="E95" i="3"/>
  <c r="D95" i="3"/>
  <c r="H94" i="3"/>
  <c r="G94" i="3"/>
  <c r="F94" i="3"/>
  <c r="E94" i="3"/>
  <c r="D94" i="3"/>
  <c r="H93" i="3"/>
  <c r="G93" i="3"/>
  <c r="F93" i="3"/>
  <c r="E93" i="3"/>
  <c r="D93" i="3"/>
  <c r="H92" i="3"/>
  <c r="G92" i="3"/>
  <c r="F92" i="3"/>
  <c r="E92" i="3"/>
  <c r="D92" i="3"/>
  <c r="H91" i="3"/>
  <c r="G91" i="3"/>
  <c r="F91" i="3"/>
  <c r="E91" i="3"/>
  <c r="D91" i="3"/>
  <c r="H90" i="3"/>
  <c r="G90" i="3"/>
  <c r="F90" i="3"/>
  <c r="E90" i="3"/>
  <c r="D90" i="3"/>
  <c r="H89" i="3"/>
  <c r="G89" i="3"/>
  <c r="F89" i="3"/>
  <c r="E89" i="3"/>
  <c r="D89" i="3"/>
  <c r="H88" i="3"/>
  <c r="G88" i="3"/>
  <c r="F88" i="3"/>
  <c r="E88" i="3"/>
  <c r="D88" i="3"/>
  <c r="H87" i="3"/>
  <c r="G87" i="3"/>
  <c r="F87" i="3"/>
  <c r="E87" i="3"/>
  <c r="D87" i="3"/>
  <c r="H86" i="3"/>
  <c r="G86" i="3"/>
  <c r="F86" i="3"/>
  <c r="E86" i="3"/>
  <c r="D86" i="3"/>
  <c r="H85" i="3"/>
  <c r="G85" i="3"/>
  <c r="F85" i="3"/>
  <c r="E85" i="3"/>
  <c r="D85" i="3"/>
  <c r="H84" i="3"/>
  <c r="G84" i="3"/>
  <c r="F84" i="3"/>
  <c r="E84" i="3"/>
  <c r="D84" i="3"/>
  <c r="H83" i="3"/>
  <c r="G83" i="3"/>
  <c r="F83" i="3"/>
  <c r="E83" i="3"/>
  <c r="D83" i="3"/>
  <c r="H82" i="3"/>
  <c r="G82" i="3"/>
  <c r="F82" i="3"/>
  <c r="E82" i="3"/>
  <c r="D82" i="3"/>
  <c r="H81" i="3"/>
  <c r="G81" i="3"/>
  <c r="F81" i="3"/>
  <c r="E81" i="3"/>
  <c r="D81" i="3"/>
  <c r="H80" i="3"/>
  <c r="G80" i="3"/>
  <c r="F80" i="3"/>
  <c r="E80" i="3"/>
  <c r="D80" i="3"/>
  <c r="H79" i="3"/>
  <c r="G79" i="3"/>
  <c r="F79" i="3"/>
  <c r="E79" i="3"/>
  <c r="D79" i="3"/>
  <c r="H78" i="3"/>
  <c r="G78" i="3"/>
  <c r="F78" i="3"/>
  <c r="E78" i="3"/>
  <c r="D78" i="3"/>
  <c r="H77" i="3"/>
  <c r="G77" i="3"/>
  <c r="F77" i="3"/>
  <c r="E77" i="3"/>
  <c r="D77" i="3"/>
  <c r="H76" i="3"/>
  <c r="G76" i="3"/>
  <c r="F76" i="3"/>
  <c r="E76" i="3"/>
  <c r="D76" i="3"/>
  <c r="H75" i="3"/>
  <c r="G75" i="3"/>
  <c r="F75" i="3"/>
  <c r="E75" i="3"/>
  <c r="D75" i="3"/>
  <c r="H74" i="3"/>
  <c r="G74" i="3"/>
  <c r="F74" i="3"/>
  <c r="E74" i="3"/>
  <c r="D74" i="3"/>
  <c r="H73" i="3"/>
  <c r="G73" i="3"/>
  <c r="F73" i="3"/>
  <c r="E73" i="3"/>
  <c r="D73" i="3"/>
  <c r="H72" i="3"/>
  <c r="G72" i="3"/>
  <c r="F72" i="3"/>
  <c r="E72" i="3"/>
  <c r="D72" i="3"/>
  <c r="H71" i="3"/>
  <c r="G71" i="3"/>
  <c r="F71" i="3"/>
  <c r="E71" i="3"/>
  <c r="D71" i="3"/>
  <c r="H70" i="3"/>
  <c r="G70" i="3"/>
  <c r="F70" i="3"/>
  <c r="E70" i="3"/>
  <c r="D70" i="3"/>
  <c r="H69" i="3"/>
  <c r="G69" i="3"/>
  <c r="F69" i="3"/>
  <c r="E69" i="3"/>
  <c r="D69" i="3"/>
  <c r="H68" i="3"/>
  <c r="G68" i="3"/>
  <c r="F68" i="3"/>
  <c r="E68" i="3"/>
  <c r="D68" i="3"/>
  <c r="H67" i="3"/>
  <c r="G67" i="3"/>
  <c r="F67" i="3"/>
  <c r="E67" i="3"/>
  <c r="D67" i="3"/>
  <c r="H66" i="3"/>
  <c r="G66" i="3"/>
  <c r="F66" i="3"/>
  <c r="E66" i="3"/>
  <c r="D66" i="3"/>
  <c r="H65" i="3"/>
  <c r="G65" i="3"/>
  <c r="F65" i="3"/>
  <c r="E65" i="3"/>
  <c r="D65" i="3"/>
  <c r="H64" i="3"/>
  <c r="G64" i="3"/>
  <c r="F64" i="3"/>
  <c r="E64" i="3"/>
  <c r="D64" i="3"/>
  <c r="H63" i="3"/>
  <c r="G63" i="3"/>
  <c r="F63" i="3"/>
  <c r="E63" i="3"/>
  <c r="D63" i="3"/>
  <c r="H62" i="3"/>
  <c r="G62" i="3"/>
  <c r="F62" i="3"/>
  <c r="E62" i="3"/>
  <c r="D62" i="3"/>
  <c r="H61" i="3"/>
  <c r="G61" i="3"/>
  <c r="F61" i="3"/>
  <c r="E61" i="3"/>
  <c r="D61" i="3"/>
  <c r="H60" i="3"/>
  <c r="G60" i="3"/>
  <c r="F60" i="3"/>
  <c r="E60" i="3"/>
  <c r="D60" i="3"/>
  <c r="H59" i="3"/>
  <c r="G59" i="3"/>
  <c r="F59" i="3"/>
  <c r="E59" i="3"/>
  <c r="D59" i="3"/>
  <c r="H58" i="3"/>
  <c r="G58" i="3"/>
  <c r="F58" i="3"/>
  <c r="E58" i="3"/>
  <c r="D58" i="3"/>
  <c r="H57" i="3"/>
  <c r="G57" i="3"/>
  <c r="F57" i="3"/>
  <c r="E57" i="3"/>
  <c r="D57" i="3"/>
  <c r="H56" i="3"/>
  <c r="G56" i="3"/>
  <c r="F56" i="3"/>
  <c r="E56" i="3"/>
  <c r="D56" i="3"/>
  <c r="H55" i="3"/>
  <c r="G55" i="3"/>
  <c r="F55" i="3"/>
  <c r="E55" i="3"/>
  <c r="D55" i="3"/>
  <c r="H54" i="3"/>
  <c r="G54" i="3"/>
  <c r="F54" i="3"/>
  <c r="E54" i="3"/>
  <c r="D54" i="3"/>
  <c r="H53" i="3"/>
  <c r="G53" i="3"/>
  <c r="F53" i="3"/>
  <c r="E53" i="3"/>
  <c r="D53" i="3"/>
  <c r="H52" i="3"/>
  <c r="G52" i="3"/>
  <c r="F52" i="3"/>
  <c r="E52" i="3"/>
  <c r="D52" i="3"/>
  <c r="H51" i="3"/>
  <c r="G51" i="3"/>
  <c r="F51" i="3"/>
  <c r="E51" i="3"/>
  <c r="D51" i="3"/>
  <c r="H50" i="3"/>
  <c r="G50" i="3"/>
  <c r="F50" i="3"/>
  <c r="E50" i="3"/>
  <c r="D50" i="3"/>
  <c r="H49" i="3"/>
  <c r="G49" i="3"/>
  <c r="F49" i="3"/>
  <c r="E49" i="3"/>
  <c r="D49" i="3"/>
  <c r="H48" i="3"/>
  <c r="G48" i="3"/>
  <c r="F48" i="3"/>
  <c r="E48" i="3"/>
  <c r="D48" i="3"/>
  <c r="H47" i="3"/>
  <c r="G47" i="3"/>
  <c r="F47" i="3"/>
  <c r="E47" i="3"/>
  <c r="D47" i="3"/>
  <c r="H46" i="3"/>
  <c r="G46" i="3"/>
  <c r="F46" i="3"/>
  <c r="E46" i="3"/>
  <c r="D46" i="3"/>
  <c r="H45" i="3"/>
  <c r="G45" i="3"/>
  <c r="F45" i="3"/>
  <c r="E45" i="3"/>
  <c r="D45" i="3"/>
  <c r="H44" i="3"/>
  <c r="G44" i="3"/>
  <c r="F44" i="3"/>
  <c r="E44" i="3"/>
  <c r="D44" i="3"/>
  <c r="H43" i="3"/>
  <c r="G43" i="3"/>
  <c r="F43" i="3"/>
  <c r="E43" i="3"/>
  <c r="D43" i="3"/>
  <c r="H42" i="3"/>
  <c r="G42" i="3"/>
  <c r="F42" i="3"/>
  <c r="E42" i="3"/>
  <c r="D42" i="3"/>
  <c r="H41" i="3"/>
  <c r="G41" i="3"/>
  <c r="F41" i="3"/>
  <c r="E41" i="3"/>
  <c r="D41" i="3"/>
  <c r="H40" i="3"/>
  <c r="G40" i="3"/>
  <c r="F40" i="3"/>
  <c r="E40" i="3"/>
  <c r="D40" i="3"/>
  <c r="H39" i="3"/>
  <c r="G39" i="3"/>
  <c r="F39" i="3"/>
  <c r="E39" i="3"/>
  <c r="D39" i="3"/>
  <c r="H38" i="3"/>
  <c r="G38" i="3"/>
  <c r="F38" i="3"/>
  <c r="E38" i="3"/>
  <c r="D38" i="3"/>
  <c r="H37" i="3"/>
  <c r="G37" i="3"/>
  <c r="F37" i="3"/>
  <c r="E37" i="3"/>
  <c r="D37" i="3"/>
  <c r="H36" i="3"/>
  <c r="G36" i="3"/>
  <c r="F36" i="3"/>
  <c r="E36" i="3"/>
  <c r="D36" i="3"/>
  <c r="H35" i="3"/>
  <c r="G35" i="3"/>
  <c r="F35" i="3"/>
  <c r="E35" i="3"/>
  <c r="D35" i="3"/>
  <c r="H34" i="3"/>
  <c r="G34" i="3"/>
  <c r="F34" i="3"/>
  <c r="E34" i="3"/>
  <c r="D34" i="3"/>
  <c r="H33" i="3"/>
  <c r="G33" i="3"/>
  <c r="F33" i="3"/>
  <c r="E33" i="3"/>
  <c r="D33" i="3"/>
  <c r="H32" i="3"/>
  <c r="G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G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H24" i="3"/>
  <c r="G24" i="3"/>
  <c r="F24" i="3"/>
  <c r="E24" i="3"/>
  <c r="D24" i="3"/>
  <c r="H23" i="3"/>
  <c r="G23" i="3"/>
  <c r="F23" i="3"/>
  <c r="E23" i="3"/>
  <c r="D23" i="3"/>
  <c r="H22" i="3"/>
  <c r="G22" i="3"/>
  <c r="F22" i="3"/>
  <c r="E22" i="3"/>
  <c r="D22" i="3"/>
  <c r="H21" i="3"/>
  <c r="G21" i="3"/>
  <c r="F21" i="3"/>
  <c r="E21" i="3"/>
  <c r="D21" i="3"/>
  <c r="H20" i="3"/>
  <c r="G20" i="3"/>
  <c r="F20" i="3"/>
  <c r="E20" i="3"/>
  <c r="D20" i="3"/>
  <c r="H19" i="3"/>
  <c r="G19" i="3"/>
  <c r="F19" i="3"/>
  <c r="E19" i="3"/>
  <c r="D19" i="3"/>
  <c r="H18" i="3"/>
  <c r="G18" i="3"/>
  <c r="F18" i="3"/>
  <c r="E18" i="3"/>
  <c r="D18" i="3"/>
  <c r="H17" i="3"/>
  <c r="G17" i="3"/>
  <c r="F17" i="3"/>
  <c r="E17" i="3"/>
  <c r="D17" i="3"/>
  <c r="H16" i="3"/>
  <c r="G16" i="3"/>
  <c r="F16" i="3"/>
  <c r="E16" i="3"/>
  <c r="D16" i="3"/>
  <c r="H15" i="3"/>
  <c r="G15" i="3"/>
  <c r="F15" i="3"/>
  <c r="E15" i="3"/>
  <c r="D15" i="3"/>
  <c r="H14" i="3"/>
  <c r="G14" i="3"/>
  <c r="F14" i="3"/>
  <c r="E14" i="3"/>
  <c r="D14" i="3"/>
  <c r="H13" i="3"/>
  <c r="G13" i="3"/>
  <c r="F13" i="3"/>
  <c r="E13" i="3"/>
  <c r="D13" i="3"/>
  <c r="H12" i="3"/>
  <c r="G12" i="3"/>
  <c r="F12" i="3"/>
  <c r="E12" i="3"/>
  <c r="D12" i="3"/>
  <c r="H11" i="3"/>
  <c r="G11" i="3"/>
  <c r="F11" i="3"/>
  <c r="E11" i="3"/>
  <c r="D11" i="3"/>
  <c r="H10" i="3"/>
  <c r="G10" i="3"/>
  <c r="F10" i="3"/>
  <c r="E10" i="3"/>
  <c r="D10" i="3"/>
  <c r="H9" i="3"/>
  <c r="G9" i="3"/>
  <c r="F9" i="3"/>
  <c r="E9" i="3"/>
  <c r="D9" i="3"/>
  <c r="H8" i="3"/>
  <c r="G8" i="3"/>
  <c r="F8" i="3"/>
  <c r="E8" i="3"/>
  <c r="D8" i="3"/>
  <c r="H7" i="3"/>
  <c r="G7" i="3"/>
  <c r="F7" i="3"/>
  <c r="E7" i="3"/>
  <c r="D7" i="3"/>
  <c r="H6" i="3"/>
  <c r="G6" i="3"/>
  <c r="F6" i="3"/>
  <c r="E6" i="3"/>
  <c r="D6" i="3"/>
  <c r="H5" i="3"/>
  <c r="G5" i="3"/>
  <c r="F5" i="3"/>
  <c r="E5" i="3"/>
  <c r="D5" i="3"/>
  <c r="H4" i="3"/>
  <c r="G4" i="3"/>
  <c r="F4" i="3"/>
  <c r="E4" i="3"/>
  <c r="D4" i="3"/>
  <c r="H3" i="3"/>
  <c r="G3" i="3"/>
  <c r="F3" i="3"/>
  <c r="E3" i="3"/>
  <c r="D3" i="3"/>
  <c r="H2" i="3"/>
  <c r="G2" i="3"/>
  <c r="F2" i="3"/>
  <c r="E2" i="3"/>
  <c r="D2" i="3"/>
  <c r="J1405" i="3" l="1"/>
  <c r="J1421" i="3"/>
  <c r="J601" i="3"/>
  <c r="J609" i="3"/>
  <c r="J1429" i="3"/>
  <c r="J1165" i="3"/>
  <c r="J1301" i="3"/>
  <c r="J1396" i="3"/>
  <c r="J1393" i="3"/>
  <c r="J1169" i="3"/>
  <c r="J1289" i="3"/>
  <c r="J24" i="3"/>
  <c r="J902" i="3"/>
  <c r="J934" i="3"/>
  <c r="J1120" i="3"/>
  <c r="J1055" i="3"/>
  <c r="J1063" i="3"/>
  <c r="J1071" i="3"/>
  <c r="J1079" i="3"/>
  <c r="J1087" i="3"/>
  <c r="J1095" i="3"/>
  <c r="J1119" i="3"/>
  <c r="J324" i="3"/>
  <c r="J1028" i="3"/>
  <c r="J1036" i="3"/>
  <c r="J1052" i="3"/>
  <c r="J1156" i="3"/>
  <c r="J25" i="3"/>
  <c r="J497" i="3"/>
  <c r="J692" i="3"/>
  <c r="J889" i="3"/>
  <c r="J1309" i="3"/>
  <c r="J695" i="3"/>
  <c r="J1034" i="3"/>
  <c r="J1060" i="3"/>
  <c r="J1068" i="3"/>
  <c r="J1076" i="3"/>
  <c r="J1084" i="3"/>
  <c r="J1152" i="3"/>
  <c r="J1277" i="3"/>
  <c r="J1417" i="3"/>
  <c r="J1151" i="3"/>
  <c r="J1159" i="3"/>
  <c r="J1191" i="3"/>
  <c r="J1346" i="3"/>
  <c r="J1357" i="3"/>
  <c r="J1370" i="3"/>
  <c r="J1373" i="3"/>
  <c r="J676" i="3"/>
  <c r="J1236" i="3"/>
  <c r="J1263" i="3"/>
  <c r="J1268" i="3"/>
  <c r="J1284" i="3"/>
  <c r="J1300" i="3"/>
  <c r="J1333" i="3"/>
  <c r="J457" i="3"/>
  <c r="J1105" i="3"/>
  <c r="J1140" i="3"/>
  <c r="J1145" i="3"/>
  <c r="J1205" i="3"/>
  <c r="J1209" i="3"/>
  <c r="J1225" i="3"/>
  <c r="J1265" i="3"/>
  <c r="J1297" i="3"/>
  <c r="J1316" i="3"/>
  <c r="J29" i="3"/>
  <c r="J37" i="3"/>
  <c r="J72" i="3"/>
  <c r="J77" i="3"/>
  <c r="J80" i="3"/>
  <c r="J93" i="3"/>
  <c r="J275" i="3"/>
  <c r="J283" i="3"/>
  <c r="J328" i="3"/>
  <c r="J704" i="3"/>
  <c r="J1121" i="3"/>
  <c r="J1137" i="3"/>
  <c r="J1305" i="3"/>
  <c r="J1321" i="3"/>
  <c r="J1337" i="3"/>
  <c r="J1348" i="3"/>
  <c r="J1353" i="3"/>
  <c r="J1361" i="3"/>
  <c r="J1377" i="3"/>
  <c r="J2" i="3"/>
  <c r="J381" i="3"/>
  <c r="J389" i="3"/>
  <c r="J397" i="3"/>
  <c r="J405" i="3"/>
  <c r="J413" i="3"/>
  <c r="J421" i="3"/>
  <c r="J429" i="3"/>
  <c r="J437" i="3"/>
  <c r="J461" i="3"/>
  <c r="J1179" i="3"/>
  <c r="J1249" i="3"/>
  <c r="J31" i="3"/>
  <c r="J63" i="3"/>
  <c r="J90" i="3"/>
  <c r="J349" i="3"/>
  <c r="J707" i="3"/>
  <c r="J898" i="3"/>
  <c r="J914" i="3"/>
  <c r="J930" i="3"/>
  <c r="J946" i="3"/>
  <c r="J962" i="3"/>
  <c r="J994" i="3"/>
  <c r="J1172" i="3"/>
  <c r="J1184" i="3"/>
  <c r="J21" i="3"/>
  <c r="J23" i="3"/>
  <c r="J26" i="3"/>
  <c r="J34" i="3"/>
  <c r="J67" i="3"/>
  <c r="J318" i="3"/>
  <c r="J333" i="3"/>
  <c r="J448" i="3"/>
  <c r="J449" i="3"/>
  <c r="J472" i="3"/>
  <c r="J574" i="3"/>
  <c r="J582" i="3"/>
  <c r="J590" i="3"/>
  <c r="J687" i="3"/>
  <c r="J711" i="3"/>
  <c r="J730" i="3"/>
  <c r="J731" i="3"/>
  <c r="J735" i="3"/>
  <c r="J927" i="3"/>
  <c r="J935" i="3"/>
  <c r="J1030" i="3"/>
  <c r="J1042" i="3"/>
  <c r="J1107" i="3"/>
  <c r="J1229" i="3"/>
  <c r="J1253" i="3"/>
  <c r="J1313" i="3"/>
  <c r="J1332" i="3"/>
  <c r="J1336" i="3"/>
  <c r="J1344" i="3"/>
  <c r="J1368" i="3"/>
  <c r="J1381" i="3"/>
  <c r="J1425" i="3"/>
  <c r="J1428" i="3"/>
  <c r="J719" i="3"/>
  <c r="J906" i="3"/>
  <c r="J908" i="3"/>
  <c r="J924" i="3"/>
  <c r="J1026" i="3"/>
  <c r="J1157" i="3"/>
  <c r="J1160" i="3"/>
  <c r="J1196" i="3"/>
  <c r="J1252" i="3"/>
  <c r="J1254" i="3"/>
  <c r="J1285" i="3"/>
  <c r="J1329" i="3"/>
  <c r="J1364" i="3"/>
  <c r="J1380" i="3"/>
  <c r="J1391" i="3"/>
  <c r="J1397" i="3"/>
  <c r="J317" i="3"/>
  <c r="J9" i="3"/>
  <c r="J13" i="3"/>
  <c r="J17" i="3"/>
  <c r="J60" i="3"/>
  <c r="J68" i="3"/>
  <c r="J303" i="3"/>
  <c r="J309" i="3"/>
  <c r="J319" i="3"/>
  <c r="J374" i="3"/>
  <c r="J501" i="3"/>
  <c r="J509" i="3"/>
  <c r="J517" i="3"/>
  <c r="J525" i="3"/>
  <c r="J533" i="3"/>
  <c r="J541" i="3"/>
  <c r="J549" i="3"/>
  <c r="J688" i="3"/>
  <c r="J743" i="3"/>
  <c r="J753" i="3"/>
  <c r="J761" i="3"/>
  <c r="J769" i="3"/>
  <c r="J777" i="3"/>
  <c r="J785" i="3"/>
  <c r="J793" i="3"/>
  <c r="J801" i="3"/>
  <c r="J809" i="3"/>
  <c r="J817" i="3"/>
  <c r="J1092" i="3"/>
  <c r="J1189" i="3"/>
  <c r="J1228" i="3"/>
  <c r="J41" i="3"/>
  <c r="J45" i="3"/>
  <c r="J65" i="3"/>
  <c r="J297" i="3"/>
  <c r="J301" i="3"/>
  <c r="J365" i="3"/>
  <c r="J442" i="3"/>
  <c r="J482" i="3"/>
  <c r="J621" i="3"/>
  <c r="J632" i="3"/>
  <c r="J648" i="3"/>
  <c r="J664" i="3"/>
  <c r="J702" i="3"/>
  <c r="J748" i="3"/>
  <c r="J751" i="3"/>
  <c r="J882" i="3"/>
  <c r="J978" i="3"/>
  <c r="J1017" i="3"/>
  <c r="J1033" i="3"/>
  <c r="J1197" i="3"/>
  <c r="J1220" i="3"/>
  <c r="J1251" i="3"/>
  <c r="J1324" i="3"/>
  <c r="J1345" i="3"/>
  <c r="J1382" i="3"/>
  <c r="J1385" i="3"/>
  <c r="J1408" i="3"/>
  <c r="J1413" i="3"/>
  <c r="J49" i="3"/>
  <c r="J3" i="3"/>
  <c r="J38" i="3"/>
  <c r="J54" i="3"/>
  <c r="J118" i="3"/>
  <c r="J292" i="3"/>
  <c r="J310" i="3"/>
  <c r="J351" i="3"/>
  <c r="J354" i="3"/>
  <c r="J356" i="3"/>
  <c r="J380" i="3"/>
  <c r="J388" i="3"/>
  <c r="J396" i="3"/>
  <c r="J404" i="3"/>
  <c r="J412" i="3"/>
  <c r="J420" i="3"/>
  <c r="J428" i="3"/>
  <c r="J436" i="3"/>
  <c r="J439" i="3"/>
  <c r="J479" i="3"/>
  <c r="J562" i="3"/>
  <c r="J570" i="3"/>
  <c r="J578" i="3"/>
  <c r="J586" i="3"/>
  <c r="J755" i="3"/>
  <c r="J763" i="3"/>
  <c r="J771" i="3"/>
  <c r="J779" i="3"/>
  <c r="J787" i="3"/>
  <c r="J795" i="3"/>
  <c r="J803" i="3"/>
  <c r="J811" i="3"/>
  <c r="J819" i="3"/>
  <c r="J827" i="3"/>
  <c r="J835" i="3"/>
  <c r="J843" i="3"/>
  <c r="J851" i="3"/>
  <c r="J859" i="3"/>
  <c r="J867" i="3"/>
  <c r="J875" i="3"/>
  <c r="J979" i="3"/>
  <c r="J1010" i="3"/>
  <c r="J1133" i="3"/>
  <c r="J1153" i="3"/>
  <c r="J1183" i="3"/>
  <c r="J1217" i="3"/>
  <c r="J1221" i="3"/>
  <c r="J1241" i="3"/>
  <c r="J1273" i="3"/>
  <c r="J1317" i="3"/>
  <c r="J1356" i="3"/>
  <c r="J1412" i="3"/>
  <c r="J131" i="3"/>
  <c r="J155" i="3"/>
  <c r="J171" i="3"/>
  <c r="J302" i="3"/>
  <c r="J342" i="3"/>
  <c r="J369" i="3"/>
  <c r="J372" i="3"/>
  <c r="J465" i="3"/>
  <c r="J473" i="3"/>
  <c r="J481" i="3"/>
  <c r="J489" i="3"/>
  <c r="J508" i="3"/>
  <c r="J516" i="3"/>
  <c r="J524" i="3"/>
  <c r="J532" i="3"/>
  <c r="J540" i="3"/>
  <c r="J548" i="3"/>
  <c r="J604" i="3"/>
  <c r="J612" i="3"/>
  <c r="J613" i="3"/>
  <c r="J623" i="3"/>
  <c r="J739" i="3"/>
  <c r="J974" i="3"/>
  <c r="J976" i="3"/>
  <c r="J992" i="3"/>
  <c r="J1003" i="3"/>
  <c r="J1135" i="3"/>
  <c r="J1141" i="3"/>
  <c r="J1188" i="3"/>
  <c r="J1218" i="3"/>
  <c r="J1242" i="3"/>
  <c r="J1325" i="3"/>
  <c r="J1369" i="3"/>
  <c r="J1379" i="3"/>
  <c r="J6" i="3"/>
  <c r="J35" i="3"/>
  <c r="J107" i="3"/>
  <c r="J139" i="3"/>
  <c r="J147" i="3"/>
  <c r="J5" i="3"/>
  <c r="J33" i="3"/>
  <c r="J96" i="3"/>
  <c r="J112" i="3"/>
  <c r="J296" i="3"/>
  <c r="J334" i="3"/>
  <c r="J350" i="3"/>
  <c r="J441" i="3"/>
  <c r="J617" i="3"/>
  <c r="J620" i="3"/>
  <c r="J749" i="3"/>
  <c r="J1182" i="3"/>
  <c r="J1208" i="3"/>
  <c r="J1216" i="3"/>
  <c r="J1240" i="3"/>
  <c r="J1312" i="3"/>
  <c r="J1349" i="3"/>
  <c r="J187" i="3"/>
  <c r="J195" i="3"/>
  <c r="J203" i="3"/>
  <c r="J211" i="3"/>
  <c r="J219" i="3"/>
  <c r="J227" i="3"/>
  <c r="J235" i="3"/>
  <c r="J243" i="3"/>
  <c r="J251" i="3"/>
  <c r="J259" i="3"/>
  <c r="J267" i="3"/>
  <c r="J308" i="3"/>
  <c r="J322" i="3"/>
  <c r="J336" i="3"/>
  <c r="J353" i="3"/>
  <c r="J357" i="3"/>
  <c r="J362" i="3"/>
  <c r="J370" i="3"/>
  <c r="J445" i="3"/>
  <c r="J456" i="3"/>
  <c r="J487" i="3"/>
  <c r="J490" i="3"/>
  <c r="J608" i="3"/>
  <c r="J624" i="3"/>
  <c r="J640" i="3"/>
  <c r="J656" i="3"/>
  <c r="J672" i="3"/>
  <c r="J708" i="3"/>
  <c r="J1201" i="3"/>
  <c r="J1233" i="3"/>
  <c r="J1257" i="3"/>
  <c r="J1293" i="3"/>
  <c r="J163" i="3"/>
  <c r="J179" i="3"/>
  <c r="J11" i="3"/>
  <c r="J14" i="3"/>
  <c r="J32" i="3"/>
  <c r="J43" i="3"/>
  <c r="J46" i="3"/>
  <c r="J55" i="3"/>
  <c r="J66" i="3"/>
  <c r="J74" i="3"/>
  <c r="J104" i="3"/>
  <c r="J109" i="3"/>
  <c r="J280" i="3"/>
  <c r="J288" i="3"/>
  <c r="J294" i="3"/>
  <c r="J300" i="3"/>
  <c r="J313" i="3"/>
  <c r="J316" i="3"/>
  <c r="J330" i="3"/>
  <c r="J344" i="3"/>
  <c r="J361" i="3"/>
  <c r="J367" i="3"/>
  <c r="J373" i="3"/>
  <c r="J453" i="3"/>
  <c r="J464" i="3"/>
  <c r="J495" i="3"/>
  <c r="J498" i="3"/>
  <c r="J506" i="3"/>
  <c r="J514" i="3"/>
  <c r="J522" i="3"/>
  <c r="J530" i="3"/>
  <c r="J538" i="3"/>
  <c r="J546" i="3"/>
  <c r="J554" i="3"/>
  <c r="J8" i="3"/>
  <c r="J19" i="3"/>
  <c r="J22" i="3"/>
  <c r="J40" i="3"/>
  <c r="J51" i="3"/>
  <c r="J82" i="3"/>
  <c r="J84" i="3"/>
  <c r="J106" i="3"/>
  <c r="J130" i="3"/>
  <c r="J138" i="3"/>
  <c r="J146" i="3"/>
  <c r="J154" i="3"/>
  <c r="J162" i="3"/>
  <c r="J170" i="3"/>
  <c r="J178" i="3"/>
  <c r="J186" i="3"/>
  <c r="J194" i="3"/>
  <c r="J202" i="3"/>
  <c r="J210" i="3"/>
  <c r="J218" i="3"/>
  <c r="J226" i="3"/>
  <c r="J234" i="3"/>
  <c r="J242" i="3"/>
  <c r="J250" i="3"/>
  <c r="J258" i="3"/>
  <c r="J266" i="3"/>
  <c r="J274" i="3"/>
  <c r="J282" i="3"/>
  <c r="J290" i="3"/>
  <c r="J325" i="3"/>
  <c r="J352" i="3"/>
  <c r="J358" i="3"/>
  <c r="J364" i="3"/>
  <c r="J377" i="3"/>
  <c r="J385" i="3"/>
  <c r="J393" i="3"/>
  <c r="J401" i="3"/>
  <c r="J409" i="3"/>
  <c r="J417" i="3"/>
  <c r="J425" i="3"/>
  <c r="J433" i="3"/>
  <c r="J447" i="3"/>
  <c r="J450" i="3"/>
  <c r="J469" i="3"/>
  <c r="J480" i="3"/>
  <c r="J505" i="3"/>
  <c r="J513" i="3"/>
  <c r="J521" i="3"/>
  <c r="J529" i="3"/>
  <c r="J537" i="3"/>
  <c r="J545" i="3"/>
  <c r="J553" i="3"/>
  <c r="J561" i="3"/>
  <c r="J569" i="3"/>
  <c r="J577" i="3"/>
  <c r="J585" i="3"/>
  <c r="J593" i="3"/>
  <c r="J680" i="3"/>
  <c r="J1147" i="3"/>
  <c r="J1281" i="3"/>
  <c r="J12" i="3"/>
  <c r="J44" i="3"/>
  <c r="J88" i="3"/>
  <c r="J20" i="3"/>
  <c r="J52" i="3"/>
  <c r="J28" i="3"/>
  <c r="J42" i="3"/>
  <c r="J70" i="3"/>
  <c r="J76" i="3"/>
  <c r="J100" i="3"/>
  <c r="J255" i="3"/>
  <c r="J263" i="3"/>
  <c r="J271" i="3"/>
  <c r="J312" i="3"/>
  <c r="J329" i="3"/>
  <c r="J335" i="3"/>
  <c r="J341" i="3"/>
  <c r="J346" i="3"/>
  <c r="J360" i="3"/>
  <c r="J366" i="3"/>
  <c r="J455" i="3"/>
  <c r="J458" i="3"/>
  <c r="J477" i="3"/>
  <c r="J488" i="3"/>
  <c r="J596" i="3"/>
  <c r="J628" i="3"/>
  <c r="J644" i="3"/>
  <c r="J660" i="3"/>
  <c r="J1213" i="3"/>
  <c r="J1237" i="3"/>
  <c r="J1245" i="3"/>
  <c r="J1401" i="3"/>
  <c r="J10" i="3"/>
  <c r="J16" i="3"/>
  <c r="J27" i="3"/>
  <c r="J30" i="3"/>
  <c r="J48" i="3"/>
  <c r="J53" i="3"/>
  <c r="J59" i="3"/>
  <c r="J62" i="3"/>
  <c r="J75" i="3"/>
  <c r="J86" i="3"/>
  <c r="J92" i="3"/>
  <c r="J94" i="3"/>
  <c r="J114" i="3"/>
  <c r="J116" i="3"/>
  <c r="J120" i="3"/>
  <c r="J124" i="3"/>
  <c r="J337" i="3"/>
  <c r="J340" i="3"/>
  <c r="J368" i="3"/>
  <c r="J463" i="3"/>
  <c r="J466" i="3"/>
  <c r="J485" i="3"/>
  <c r="J496" i="3"/>
  <c r="J502" i="3"/>
  <c r="J510" i="3"/>
  <c r="J518" i="3"/>
  <c r="J526" i="3"/>
  <c r="J534" i="3"/>
  <c r="J542" i="3"/>
  <c r="J550" i="3"/>
  <c r="J558" i="3"/>
  <c r="J566" i="3"/>
  <c r="J595" i="3"/>
  <c r="J1127" i="3"/>
  <c r="J1409" i="3"/>
  <c r="J7" i="3"/>
  <c r="J39" i="3"/>
  <c r="J56" i="3"/>
  <c r="J78" i="3"/>
  <c r="J98" i="3"/>
  <c r="J4" i="3"/>
  <c r="J15" i="3"/>
  <c r="J18" i="3"/>
  <c r="J36" i="3"/>
  <c r="J47" i="3"/>
  <c r="J50" i="3"/>
  <c r="J58" i="3"/>
  <c r="J64" i="3"/>
  <c r="J91" i="3"/>
  <c r="J102" i="3"/>
  <c r="J108" i="3"/>
  <c r="J110" i="3"/>
  <c r="J279" i="3"/>
  <c r="J287" i="3"/>
  <c r="J293" i="3"/>
  <c r="J314" i="3"/>
  <c r="J320" i="3"/>
  <c r="J326" i="3"/>
  <c r="J332" i="3"/>
  <c r="J345" i="3"/>
  <c r="J376" i="3"/>
  <c r="J379" i="3"/>
  <c r="J384" i="3"/>
  <c r="J387" i="3"/>
  <c r="J392" i="3"/>
  <c r="J395" i="3"/>
  <c r="J400" i="3"/>
  <c r="J403" i="3"/>
  <c r="J408" i="3"/>
  <c r="J411" i="3"/>
  <c r="J416" i="3"/>
  <c r="J419" i="3"/>
  <c r="J424" i="3"/>
  <c r="J427" i="3"/>
  <c r="J432" i="3"/>
  <c r="J435" i="3"/>
  <c r="J440" i="3"/>
  <c r="J471" i="3"/>
  <c r="J474" i="3"/>
  <c r="J493" i="3"/>
  <c r="J504" i="3"/>
  <c r="J512" i="3"/>
  <c r="J520" i="3"/>
  <c r="J528" i="3"/>
  <c r="J536" i="3"/>
  <c r="J544" i="3"/>
  <c r="J552" i="3"/>
  <c r="J560" i="3"/>
  <c r="J568" i="3"/>
  <c r="J576" i="3"/>
  <c r="J584" i="3"/>
  <c r="J592" i="3"/>
  <c r="J712" i="3"/>
  <c r="J736" i="3"/>
  <c r="J1113" i="3"/>
  <c r="J1177" i="3"/>
  <c r="J1204" i="3"/>
  <c r="J1261" i="3"/>
  <c r="J1269" i="3"/>
  <c r="J1341" i="3"/>
  <c r="J1365" i="3"/>
  <c r="J1389" i="3"/>
  <c r="J825" i="3"/>
  <c r="J833" i="3"/>
  <c r="J841" i="3"/>
  <c r="J849" i="3"/>
  <c r="J857" i="3"/>
  <c r="J865" i="3"/>
  <c r="J868" i="3"/>
  <c r="J874" i="3"/>
  <c r="J876" i="3"/>
  <c r="J895" i="3"/>
  <c r="J942" i="3"/>
  <c r="J944" i="3"/>
  <c r="J947" i="3"/>
  <c r="J985" i="3"/>
  <c r="J996" i="3"/>
  <c r="J1002" i="3"/>
  <c r="J1004" i="3"/>
  <c r="J1023" i="3"/>
  <c r="J1096" i="3"/>
  <c r="J1099" i="3"/>
  <c r="J1118" i="3"/>
  <c r="J1124" i="3"/>
  <c r="J1150" i="3"/>
  <c r="J1174" i="3"/>
  <c r="J1198" i="3"/>
  <c r="J1210" i="3"/>
  <c r="J1219" i="3"/>
  <c r="J1222" i="3"/>
  <c r="J1231" i="3"/>
  <c r="J1314" i="3"/>
  <c r="J1338" i="3"/>
  <c r="J1347" i="3"/>
  <c r="J1350" i="3"/>
  <c r="J1359" i="3"/>
  <c r="J615" i="3"/>
  <c r="J631" i="3"/>
  <c r="J635" i="3"/>
  <c r="J647" i="3"/>
  <c r="J651" i="3"/>
  <c r="J663" i="3"/>
  <c r="J667" i="3"/>
  <c r="J685" i="3"/>
  <c r="J700" i="3"/>
  <c r="J703" i="3"/>
  <c r="J705" i="3"/>
  <c r="J720" i="3"/>
  <c r="J728" i="3"/>
  <c r="J747" i="3"/>
  <c r="J756" i="3"/>
  <c r="J764" i="3"/>
  <c r="J772" i="3"/>
  <c r="J780" i="3"/>
  <c r="J788" i="3"/>
  <c r="J796" i="3"/>
  <c r="J804" i="3"/>
  <c r="J812" i="3"/>
  <c r="J820" i="3"/>
  <c r="J828" i="3"/>
  <c r="J836" i="3"/>
  <c r="J844" i="3"/>
  <c r="J852" i="3"/>
  <c r="J860" i="3"/>
  <c r="J890" i="3"/>
  <c r="J892" i="3"/>
  <c r="J903" i="3"/>
  <c r="J950" i="3"/>
  <c r="J958" i="3"/>
  <c r="J971" i="3"/>
  <c r="J1001" i="3"/>
  <c r="J1018" i="3"/>
  <c r="J1020" i="3"/>
  <c r="J1031" i="3"/>
  <c r="J1046" i="3"/>
  <c r="J1108" i="3"/>
  <c r="J1132" i="3"/>
  <c r="J1136" i="3"/>
  <c r="J1138" i="3"/>
  <c r="J1139" i="3"/>
  <c r="J1148" i="3"/>
  <c r="J1195" i="3"/>
  <c r="J1264" i="3"/>
  <c r="J1266" i="3"/>
  <c r="J1276" i="3"/>
  <c r="J1288" i="3"/>
  <c r="J1290" i="3"/>
  <c r="J1299" i="3"/>
  <c r="J1302" i="3"/>
  <c r="J1311" i="3"/>
  <c r="J1392" i="3"/>
  <c r="J1394" i="3"/>
  <c r="J1404" i="3"/>
  <c r="J1416" i="3"/>
  <c r="J1418" i="3"/>
  <c r="J1427" i="3"/>
  <c r="J625" i="3"/>
  <c r="J641" i="3"/>
  <c r="J657" i="3"/>
  <c r="J679" i="3"/>
  <c r="J682" i="3"/>
  <c r="J683" i="3"/>
  <c r="J691" i="3"/>
  <c r="J922" i="3"/>
  <c r="J990" i="3"/>
  <c r="J1050" i="3"/>
  <c r="J1058" i="3"/>
  <c r="J1066" i="3"/>
  <c r="J1074" i="3"/>
  <c r="J1082" i="3"/>
  <c r="J1090" i="3"/>
  <c r="J1101" i="3"/>
  <c r="J1104" i="3"/>
  <c r="J1106" i="3"/>
  <c r="J1109" i="3"/>
  <c r="J1115" i="3"/>
  <c r="J1129" i="3"/>
  <c r="J1144" i="3"/>
  <c r="J1168" i="3"/>
  <c r="J1170" i="3"/>
  <c r="J1171" i="3"/>
  <c r="J1180" i="3"/>
  <c r="J1206" i="3"/>
  <c r="J1215" i="3"/>
  <c r="J1296" i="3"/>
  <c r="J1298" i="3"/>
  <c r="J1308" i="3"/>
  <c r="J1320" i="3"/>
  <c r="J1322" i="3"/>
  <c r="J1331" i="3"/>
  <c r="J1334" i="3"/>
  <c r="J1343" i="3"/>
  <c r="J1424" i="3"/>
  <c r="J1426" i="3"/>
  <c r="J557" i="3"/>
  <c r="J565" i="3"/>
  <c r="J573" i="3"/>
  <c r="J581" i="3"/>
  <c r="J589" i="3"/>
  <c r="J600" i="3"/>
  <c r="J603" i="3"/>
  <c r="J619" i="3"/>
  <c r="J636" i="3"/>
  <c r="J639" i="3"/>
  <c r="J652" i="3"/>
  <c r="J655" i="3"/>
  <c r="J668" i="3"/>
  <c r="J671" i="3"/>
  <c r="J673" i="3"/>
  <c r="J701" i="3"/>
  <c r="J716" i="3"/>
  <c r="J721" i="3"/>
  <c r="J744" i="3"/>
  <c r="J829" i="3"/>
  <c r="J837" i="3"/>
  <c r="J845" i="3"/>
  <c r="J853" i="3"/>
  <c r="J861" i="3"/>
  <c r="J878" i="3"/>
  <c r="J880" i="3"/>
  <c r="J883" i="3"/>
  <c r="J921" i="3"/>
  <c r="J938" i="3"/>
  <c r="J940" i="3"/>
  <c r="J959" i="3"/>
  <c r="J966" i="3"/>
  <c r="J1006" i="3"/>
  <c r="J1008" i="3"/>
  <c r="J1011" i="3"/>
  <c r="J1049" i="3"/>
  <c r="J1057" i="3"/>
  <c r="J1065" i="3"/>
  <c r="J1073" i="3"/>
  <c r="J1081" i="3"/>
  <c r="J1089" i="3"/>
  <c r="J1100" i="3"/>
  <c r="J1103" i="3"/>
  <c r="J1112" i="3"/>
  <c r="J1117" i="3"/>
  <c r="J1123" i="3"/>
  <c r="J1134" i="3"/>
  <c r="J1149" i="3"/>
  <c r="J1155" i="3"/>
  <c r="J1167" i="3"/>
  <c r="J1173" i="3"/>
  <c r="J1185" i="3"/>
  <c r="J1192" i="3"/>
  <c r="J1248" i="3"/>
  <c r="J1250" i="3"/>
  <c r="J1260" i="3"/>
  <c r="J1272" i="3"/>
  <c r="J1274" i="3"/>
  <c r="J1283" i="3"/>
  <c r="J1286" i="3"/>
  <c r="J1295" i="3"/>
  <c r="J1376" i="3"/>
  <c r="J1378" i="3"/>
  <c r="J1388" i="3"/>
  <c r="J1400" i="3"/>
  <c r="J1402" i="3"/>
  <c r="J1411" i="3"/>
  <c r="J1414" i="3"/>
  <c r="J1423" i="3"/>
  <c r="J605" i="3"/>
  <c r="J622" i="3"/>
  <c r="J627" i="3"/>
  <c r="J638" i="3"/>
  <c r="J643" i="3"/>
  <c r="J654" i="3"/>
  <c r="J659" i="3"/>
  <c r="J670" i="3"/>
  <c r="J696" i="3"/>
  <c r="J715" i="3"/>
  <c r="J724" i="3"/>
  <c r="J732" i="3"/>
  <c r="J752" i="3"/>
  <c r="J760" i="3"/>
  <c r="J768" i="3"/>
  <c r="J776" i="3"/>
  <c r="J784" i="3"/>
  <c r="J792" i="3"/>
  <c r="J800" i="3"/>
  <c r="J808" i="3"/>
  <c r="J816" i="3"/>
  <c r="J824" i="3"/>
  <c r="J832" i="3"/>
  <c r="J840" i="3"/>
  <c r="J848" i="3"/>
  <c r="J856" i="3"/>
  <c r="J864" i="3"/>
  <c r="J886" i="3"/>
  <c r="J894" i="3"/>
  <c r="J907" i="3"/>
  <c r="J954" i="3"/>
  <c r="J956" i="3"/>
  <c r="J967" i="3"/>
  <c r="J982" i="3"/>
  <c r="J1022" i="3"/>
  <c r="J1024" i="3"/>
  <c r="J1035" i="3"/>
  <c r="J1128" i="3"/>
  <c r="J1131" i="3"/>
  <c r="J1161" i="3"/>
  <c r="J1176" i="3"/>
  <c r="J1200" i="3"/>
  <c r="J1202" i="3"/>
  <c r="J1203" i="3"/>
  <c r="J1212" i="3"/>
  <c r="J1224" i="3"/>
  <c r="J1226" i="3"/>
  <c r="J1235" i="3"/>
  <c r="J1238" i="3"/>
  <c r="J1247" i="3"/>
  <c r="J1328" i="3"/>
  <c r="J1330" i="3"/>
  <c r="J1340" i="3"/>
  <c r="J1352" i="3"/>
  <c r="J1354" i="3"/>
  <c r="J1363" i="3"/>
  <c r="J1366" i="3"/>
  <c r="J1375" i="3"/>
  <c r="J675" i="3"/>
  <c r="J684" i="3"/>
  <c r="J689" i="3"/>
  <c r="J698" i="3"/>
  <c r="J699" i="3"/>
  <c r="J723" i="3"/>
  <c r="J726" i="3"/>
  <c r="J727" i="3"/>
  <c r="J754" i="3"/>
  <c r="J762" i="3"/>
  <c r="J770" i="3"/>
  <c r="J778" i="3"/>
  <c r="J786" i="3"/>
  <c r="J794" i="3"/>
  <c r="J802" i="3"/>
  <c r="J810" i="3"/>
  <c r="J818" i="3"/>
  <c r="J826" i="3"/>
  <c r="J834" i="3"/>
  <c r="J842" i="3"/>
  <c r="J850" i="3"/>
  <c r="J858" i="3"/>
  <c r="J870" i="3"/>
  <c r="J910" i="3"/>
  <c r="J912" i="3"/>
  <c r="J915" i="3"/>
  <c r="J953" i="3"/>
  <c r="J970" i="3"/>
  <c r="J972" i="3"/>
  <c r="J991" i="3"/>
  <c r="J998" i="3"/>
  <c r="J1038" i="3"/>
  <c r="J1040" i="3"/>
  <c r="J1043" i="3"/>
  <c r="J1097" i="3"/>
  <c r="J1142" i="3"/>
  <c r="J1164" i="3"/>
  <c r="J1166" i="3"/>
  <c r="J1175" i="3"/>
  <c r="J1181" i="3"/>
  <c r="J1187" i="3"/>
  <c r="J1199" i="3"/>
  <c r="J1280" i="3"/>
  <c r="J1282" i="3"/>
  <c r="J1292" i="3"/>
  <c r="J1304" i="3"/>
  <c r="J1306" i="3"/>
  <c r="J1315" i="3"/>
  <c r="J1318" i="3"/>
  <c r="J1327" i="3"/>
  <c r="J1410" i="3"/>
  <c r="J1420" i="3"/>
  <c r="J1422" i="3"/>
  <c r="J556" i="3"/>
  <c r="J564" i="3"/>
  <c r="J572" i="3"/>
  <c r="J580" i="3"/>
  <c r="J588" i="3"/>
  <c r="J599" i="3"/>
  <c r="J607" i="3"/>
  <c r="J616" i="3"/>
  <c r="J637" i="3"/>
  <c r="J653" i="3"/>
  <c r="J669" i="3"/>
  <c r="J686" i="3"/>
  <c r="J717" i="3"/>
  <c r="J740" i="3"/>
  <c r="J871" i="3"/>
  <c r="J918" i="3"/>
  <c r="J926" i="3"/>
  <c r="J939" i="3"/>
  <c r="J986" i="3"/>
  <c r="J988" i="3"/>
  <c r="J999" i="3"/>
  <c r="J1014" i="3"/>
  <c r="J1054" i="3"/>
  <c r="J1056" i="3"/>
  <c r="J1062" i="3"/>
  <c r="J1064" i="3"/>
  <c r="J1070" i="3"/>
  <c r="J1072" i="3"/>
  <c r="J1078" i="3"/>
  <c r="J1080" i="3"/>
  <c r="J1086" i="3"/>
  <c r="J1088" i="3"/>
  <c r="J1110" i="3"/>
  <c r="J1125" i="3"/>
  <c r="J1163" i="3"/>
  <c r="J1193" i="3"/>
  <c r="J1232" i="3"/>
  <c r="J1234" i="3"/>
  <c r="J1244" i="3"/>
  <c r="J1256" i="3"/>
  <c r="J1258" i="3"/>
  <c r="J1267" i="3"/>
  <c r="J1270" i="3"/>
  <c r="J1279" i="3"/>
  <c r="J1360" i="3"/>
  <c r="J1362" i="3"/>
  <c r="J1372" i="3"/>
  <c r="J1384" i="3"/>
  <c r="J1386" i="3"/>
  <c r="J1395" i="3"/>
  <c r="J1398" i="3"/>
  <c r="J1407" i="3"/>
  <c r="J61" i="3"/>
  <c r="J81" i="3"/>
  <c r="J97" i="3"/>
  <c r="J113" i="3"/>
  <c r="J128" i="3"/>
  <c r="J136" i="3"/>
  <c r="J144" i="3"/>
  <c r="J152" i="3"/>
  <c r="J160" i="3"/>
  <c r="J168" i="3"/>
  <c r="J176" i="3"/>
  <c r="J184" i="3"/>
  <c r="J192" i="3"/>
  <c r="J200" i="3"/>
  <c r="J208" i="3"/>
  <c r="J216" i="3"/>
  <c r="J224" i="3"/>
  <c r="J232" i="3"/>
  <c r="J240" i="3"/>
  <c r="J248" i="3"/>
  <c r="J256" i="3"/>
  <c r="J264" i="3"/>
  <c r="J272" i="3"/>
  <c r="J305" i="3"/>
  <c r="J57" i="3"/>
  <c r="J71" i="3"/>
  <c r="J87" i="3"/>
  <c r="J103" i="3"/>
  <c r="J119" i="3"/>
  <c r="J122" i="3"/>
  <c r="J125" i="3"/>
  <c r="J133" i="3"/>
  <c r="J141" i="3"/>
  <c r="J149" i="3"/>
  <c r="J157" i="3"/>
  <c r="J165" i="3"/>
  <c r="J173" i="3"/>
  <c r="J181" i="3"/>
  <c r="J189" i="3"/>
  <c r="J197" i="3"/>
  <c r="J205" i="3"/>
  <c r="J213" i="3"/>
  <c r="J221" i="3"/>
  <c r="J229" i="3"/>
  <c r="J237" i="3"/>
  <c r="J245" i="3"/>
  <c r="J253" i="3"/>
  <c r="J261" i="3"/>
  <c r="J269" i="3"/>
  <c r="J277" i="3"/>
  <c r="J285" i="3"/>
  <c r="J348" i="3"/>
  <c r="J83" i="3"/>
  <c r="J99" i="3"/>
  <c r="J127" i="3"/>
  <c r="J135" i="3"/>
  <c r="J143" i="3"/>
  <c r="J151" i="3"/>
  <c r="J159" i="3"/>
  <c r="J167" i="3"/>
  <c r="J175" i="3"/>
  <c r="J183" i="3"/>
  <c r="J191" i="3"/>
  <c r="J199" i="3"/>
  <c r="J207" i="3"/>
  <c r="J215" i="3"/>
  <c r="J223" i="3"/>
  <c r="J231" i="3"/>
  <c r="J239" i="3"/>
  <c r="J247" i="3"/>
  <c r="J304" i="3"/>
  <c r="J73" i="3"/>
  <c r="J89" i="3"/>
  <c r="J105" i="3"/>
  <c r="J121" i="3"/>
  <c r="J132" i="3"/>
  <c r="J140" i="3"/>
  <c r="J148" i="3"/>
  <c r="J156" i="3"/>
  <c r="J164" i="3"/>
  <c r="J172" i="3"/>
  <c r="J180" i="3"/>
  <c r="J188" i="3"/>
  <c r="J196" i="3"/>
  <c r="J204" i="3"/>
  <c r="J212" i="3"/>
  <c r="J220" i="3"/>
  <c r="J228" i="3"/>
  <c r="J236" i="3"/>
  <c r="J244" i="3"/>
  <c r="J252" i="3"/>
  <c r="J260" i="3"/>
  <c r="J268" i="3"/>
  <c r="J276" i="3"/>
  <c r="J284" i="3"/>
  <c r="J298" i="3"/>
  <c r="J321" i="3"/>
  <c r="J115" i="3"/>
  <c r="J79" i="3"/>
  <c r="J95" i="3"/>
  <c r="J111" i="3"/>
  <c r="J129" i="3"/>
  <c r="J137" i="3"/>
  <c r="J145" i="3"/>
  <c r="J153" i="3"/>
  <c r="J161" i="3"/>
  <c r="J169" i="3"/>
  <c r="J177" i="3"/>
  <c r="J185" i="3"/>
  <c r="J193" i="3"/>
  <c r="J201" i="3"/>
  <c r="J209" i="3"/>
  <c r="J217" i="3"/>
  <c r="J225" i="3"/>
  <c r="J233" i="3"/>
  <c r="J241" i="3"/>
  <c r="J249" i="3"/>
  <c r="J257" i="3"/>
  <c r="J265" i="3"/>
  <c r="J273" i="3"/>
  <c r="J281" i="3"/>
  <c r="J289" i="3"/>
  <c r="J306" i="3"/>
  <c r="J338" i="3"/>
  <c r="J69" i="3"/>
  <c r="J85" i="3"/>
  <c r="J101" i="3"/>
  <c r="J117" i="3"/>
  <c r="J123" i="3"/>
  <c r="J126" i="3"/>
  <c r="J134" i="3"/>
  <c r="J142" i="3"/>
  <c r="J150" i="3"/>
  <c r="J158" i="3"/>
  <c r="J166" i="3"/>
  <c r="J174" i="3"/>
  <c r="J182" i="3"/>
  <c r="J190" i="3"/>
  <c r="J198" i="3"/>
  <c r="J206" i="3"/>
  <c r="J214" i="3"/>
  <c r="J222" i="3"/>
  <c r="J230" i="3"/>
  <c r="J238" i="3"/>
  <c r="J246" i="3"/>
  <c r="J254" i="3"/>
  <c r="J262" i="3"/>
  <c r="J270" i="3"/>
  <c r="J278" i="3"/>
  <c r="J286" i="3"/>
  <c r="J311" i="3"/>
  <c r="J343" i="3"/>
  <c r="J375" i="3"/>
  <c r="J391" i="3"/>
  <c r="J407" i="3"/>
  <c r="J423" i="3"/>
  <c r="J307" i="3"/>
  <c r="J339" i="3"/>
  <c r="J371" i="3"/>
  <c r="J378" i="3"/>
  <c r="J394" i="3"/>
  <c r="J410" i="3"/>
  <c r="J426" i="3"/>
  <c r="J444" i="3"/>
  <c r="J459" i="3"/>
  <c r="J462" i="3"/>
  <c r="J476" i="3"/>
  <c r="J491" i="3"/>
  <c r="J494" i="3"/>
  <c r="J299" i="3"/>
  <c r="J331" i="3"/>
  <c r="J363" i="3"/>
  <c r="J390" i="3"/>
  <c r="J406" i="3"/>
  <c r="J422" i="3"/>
  <c r="J438" i="3"/>
  <c r="J452" i="3"/>
  <c r="J467" i="3"/>
  <c r="J470" i="3"/>
  <c r="J484" i="3"/>
  <c r="J499" i="3"/>
  <c r="J507" i="3"/>
  <c r="J515" i="3"/>
  <c r="J523" i="3"/>
  <c r="J531" i="3"/>
  <c r="J539" i="3"/>
  <c r="J547" i="3"/>
  <c r="J555" i="3"/>
  <c r="J563" i="3"/>
  <c r="J571" i="3"/>
  <c r="J579" i="3"/>
  <c r="J587" i="3"/>
  <c r="J611" i="3"/>
  <c r="J295" i="3"/>
  <c r="J327" i="3"/>
  <c r="J359" i="3"/>
  <c r="J383" i="3"/>
  <c r="J399" i="3"/>
  <c r="J415" i="3"/>
  <c r="J431" i="3"/>
  <c r="J291" i="3"/>
  <c r="J323" i="3"/>
  <c r="J355" i="3"/>
  <c r="J386" i="3"/>
  <c r="J402" i="3"/>
  <c r="J418" i="3"/>
  <c r="J434" i="3"/>
  <c r="J443" i="3"/>
  <c r="J446" i="3"/>
  <c r="J460" i="3"/>
  <c r="J475" i="3"/>
  <c r="J478" i="3"/>
  <c r="J492" i="3"/>
  <c r="J597" i="3"/>
  <c r="J315" i="3"/>
  <c r="J347" i="3"/>
  <c r="J382" i="3"/>
  <c r="J398" i="3"/>
  <c r="J414" i="3"/>
  <c r="J430" i="3"/>
  <c r="J451" i="3"/>
  <c r="J454" i="3"/>
  <c r="J468" i="3"/>
  <c r="J483" i="3"/>
  <c r="J486" i="3"/>
  <c r="J500" i="3"/>
  <c r="J503" i="3"/>
  <c r="J511" i="3"/>
  <c r="J519" i="3"/>
  <c r="J527" i="3"/>
  <c r="J535" i="3"/>
  <c r="J543" i="3"/>
  <c r="J551" i="3"/>
  <c r="J559" i="3"/>
  <c r="J567" i="3"/>
  <c r="J575" i="3"/>
  <c r="J583" i="3"/>
  <c r="J591" i="3"/>
  <c r="J602" i="3"/>
  <c r="J598" i="3"/>
  <c r="J626" i="3"/>
  <c r="J629" i="3"/>
  <c r="J642" i="3"/>
  <c r="J645" i="3"/>
  <c r="J658" i="3"/>
  <c r="J661" i="3"/>
  <c r="J674" i="3"/>
  <c r="J677" i="3"/>
  <c r="J690" i="3"/>
  <c r="J693" i="3"/>
  <c r="J706" i="3"/>
  <c r="J709" i="3"/>
  <c r="J718" i="3"/>
  <c r="J741" i="3"/>
  <c r="J750" i="3"/>
  <c r="J594" i="3"/>
  <c r="J729" i="3"/>
  <c r="J738" i="3"/>
  <c r="J758" i="3"/>
  <c r="J766" i="3"/>
  <c r="J774" i="3"/>
  <c r="J782" i="3"/>
  <c r="J790" i="3"/>
  <c r="J798" i="3"/>
  <c r="J806" i="3"/>
  <c r="J814" i="3"/>
  <c r="J822" i="3"/>
  <c r="J830" i="3"/>
  <c r="J838" i="3"/>
  <c r="J846" i="3"/>
  <c r="J854" i="3"/>
  <c r="J862" i="3"/>
  <c r="J618" i="3"/>
  <c r="J714" i="3"/>
  <c r="J737" i="3"/>
  <c r="J746" i="3"/>
  <c r="J757" i="3"/>
  <c r="J765" i="3"/>
  <c r="J773" i="3"/>
  <c r="J781" i="3"/>
  <c r="J789" i="3"/>
  <c r="J797" i="3"/>
  <c r="J805" i="3"/>
  <c r="J813" i="3"/>
  <c r="J821" i="3"/>
  <c r="J614" i="3"/>
  <c r="J634" i="3"/>
  <c r="J650" i="3"/>
  <c r="J666" i="3"/>
  <c r="J725" i="3"/>
  <c r="J734" i="3"/>
  <c r="J610" i="3"/>
  <c r="J713" i="3"/>
  <c r="J722" i="3"/>
  <c r="J745" i="3"/>
  <c r="J759" i="3"/>
  <c r="J767" i="3"/>
  <c r="J775" i="3"/>
  <c r="J783" i="3"/>
  <c r="J791" i="3"/>
  <c r="J799" i="3"/>
  <c r="J807" i="3"/>
  <c r="J815" i="3"/>
  <c r="J823" i="3"/>
  <c r="J831" i="3"/>
  <c r="J839" i="3"/>
  <c r="J847" i="3"/>
  <c r="J855" i="3"/>
  <c r="J863" i="3"/>
  <c r="J606" i="3"/>
  <c r="J630" i="3"/>
  <c r="J633" i="3"/>
  <c r="J646" i="3"/>
  <c r="J649" i="3"/>
  <c r="J662" i="3"/>
  <c r="J665" i="3"/>
  <c r="J678" i="3"/>
  <c r="J681" i="3"/>
  <c r="J694" i="3"/>
  <c r="J697" i="3"/>
  <c r="J710" i="3"/>
  <c r="J733" i="3"/>
  <c r="J742" i="3"/>
  <c r="J866" i="3"/>
  <c r="J877" i="3"/>
  <c r="J909" i="3"/>
  <c r="J941" i="3"/>
  <c r="J973" i="3"/>
  <c r="J1005" i="3"/>
  <c r="J1037" i="3"/>
  <c r="J897" i="3"/>
  <c r="J900" i="3"/>
  <c r="J929" i="3"/>
  <c r="J932" i="3"/>
  <c r="J961" i="3"/>
  <c r="J964" i="3"/>
  <c r="J993" i="3"/>
  <c r="J1025" i="3"/>
  <c r="J1111" i="3"/>
  <c r="J1143" i="3"/>
  <c r="J885" i="3"/>
  <c r="J888" i="3"/>
  <c r="J891" i="3"/>
  <c r="J917" i="3"/>
  <c r="J920" i="3"/>
  <c r="J923" i="3"/>
  <c r="J949" i="3"/>
  <c r="J952" i="3"/>
  <c r="J955" i="3"/>
  <c r="J981" i="3"/>
  <c r="J984" i="3"/>
  <c r="J987" i="3"/>
  <c r="J1013" i="3"/>
  <c r="J1016" i="3"/>
  <c r="J1019" i="3"/>
  <c r="J1045" i="3"/>
  <c r="J1048" i="3"/>
  <c r="J1051" i="3"/>
  <c r="J1059" i="3"/>
  <c r="J1067" i="3"/>
  <c r="J1075" i="3"/>
  <c r="J1083" i="3"/>
  <c r="J1091" i="3"/>
  <c r="J873" i="3"/>
  <c r="J879" i="3"/>
  <c r="J905" i="3"/>
  <c r="J911" i="3"/>
  <c r="J937" i="3"/>
  <c r="J943" i="3"/>
  <c r="J969" i="3"/>
  <c r="J975" i="3"/>
  <c r="J1007" i="3"/>
  <c r="J1039" i="3"/>
  <c r="J1116" i="3"/>
  <c r="J893" i="3"/>
  <c r="J896" i="3"/>
  <c r="J899" i="3"/>
  <c r="J925" i="3"/>
  <c r="J928" i="3"/>
  <c r="J931" i="3"/>
  <c r="J957" i="3"/>
  <c r="J960" i="3"/>
  <c r="J963" i="3"/>
  <c r="J989" i="3"/>
  <c r="J995" i="3"/>
  <c r="J1021" i="3"/>
  <c r="J1027" i="3"/>
  <c r="J1053" i="3"/>
  <c r="J1061" i="3"/>
  <c r="J1069" i="3"/>
  <c r="J1077" i="3"/>
  <c r="J1085" i="3"/>
  <c r="J1093" i="3"/>
  <c r="J881" i="3"/>
  <c r="J884" i="3"/>
  <c r="J887" i="3"/>
  <c r="J913" i="3"/>
  <c r="J916" i="3"/>
  <c r="J919" i="3"/>
  <c r="J945" i="3"/>
  <c r="J948" i="3"/>
  <c r="J951" i="3"/>
  <c r="J977" i="3"/>
  <c r="J980" i="3"/>
  <c r="J983" i="3"/>
  <c r="J1009" i="3"/>
  <c r="J1012" i="3"/>
  <c r="J1015" i="3"/>
  <c r="J1041" i="3"/>
  <c r="J1044" i="3"/>
  <c r="J1047" i="3"/>
  <c r="J869" i="3"/>
  <c r="J872" i="3"/>
  <c r="J901" i="3"/>
  <c r="J904" i="3"/>
  <c r="J933" i="3"/>
  <c r="J936" i="3"/>
  <c r="J965" i="3"/>
  <c r="J968" i="3"/>
  <c r="J997" i="3"/>
  <c r="J1000" i="3"/>
  <c r="J1029" i="3"/>
  <c r="J1032" i="3"/>
  <c r="J1102" i="3"/>
  <c r="J1098" i="3"/>
  <c r="J1130" i="3"/>
  <c r="J1162" i="3"/>
  <c r="J1194" i="3"/>
  <c r="J1094" i="3"/>
  <c r="J1126" i="3"/>
  <c r="J1158" i="3"/>
  <c r="J1190" i="3"/>
  <c r="J1211" i="3"/>
  <c r="J1214" i="3"/>
  <c r="J1227" i="3"/>
  <c r="J1230" i="3"/>
  <c r="J1243" i="3"/>
  <c r="J1246" i="3"/>
  <c r="J1259" i="3"/>
  <c r="J1262" i="3"/>
  <c r="J1275" i="3"/>
  <c r="J1278" i="3"/>
  <c r="J1291" i="3"/>
  <c r="J1294" i="3"/>
  <c r="J1307" i="3"/>
  <c r="J1310" i="3"/>
  <c r="J1323" i="3"/>
  <c r="J1326" i="3"/>
  <c r="J1339" i="3"/>
  <c r="J1342" i="3"/>
  <c r="J1355" i="3"/>
  <c r="J1358" i="3"/>
  <c r="J1371" i="3"/>
  <c r="J1374" i="3"/>
  <c r="J1387" i="3"/>
  <c r="J1390" i="3"/>
  <c r="J1403" i="3"/>
  <c r="J1406" i="3"/>
  <c r="J1419" i="3"/>
  <c r="J1122" i="3"/>
  <c r="J1154" i="3"/>
  <c r="J1186" i="3"/>
  <c r="J1207" i="3"/>
  <c r="J1223" i="3"/>
  <c r="J1239" i="3"/>
  <c r="J1255" i="3"/>
  <c r="J1271" i="3"/>
  <c r="J1287" i="3"/>
  <c r="J1303" i="3"/>
  <c r="J1319" i="3"/>
  <c r="J1335" i="3"/>
  <c r="J1351" i="3"/>
  <c r="J1367" i="3"/>
  <c r="J1383" i="3"/>
  <c r="J1399" i="3"/>
  <c r="J1415" i="3"/>
  <c r="J1114" i="3"/>
  <c r="J1146" i="3"/>
  <c r="J1178" i="3"/>
</calcChain>
</file>

<file path=xl/sharedStrings.xml><?xml version="1.0" encoding="utf-8"?>
<sst xmlns="http://schemas.openxmlformats.org/spreadsheetml/2006/main" count="11161" uniqueCount="783">
  <si>
    <t>blt_numero</t>
  </si>
  <si>
    <t>blt_ano</t>
  </si>
  <si>
    <t>blt_data_lev</t>
  </si>
  <si>
    <t>Grupo</t>
  </si>
  <si>
    <t>Produto</t>
  </si>
  <si>
    <t>Unidade</t>
  </si>
  <si>
    <t>Comum</t>
  </si>
  <si>
    <t>Mínimo</t>
  </si>
  <si>
    <t>Máximo</t>
  </si>
  <si>
    <t>Média</t>
  </si>
  <si>
    <t>Mediana</t>
  </si>
  <si>
    <t>GRUPO A - Verduras (Folhosas, Flores e Hastes)</t>
  </si>
  <si>
    <t>Acelga</t>
  </si>
  <si>
    <t>12 unidades</t>
  </si>
  <si>
    <t>Agrião</t>
  </si>
  <si>
    <t>Alface Americana</t>
  </si>
  <si>
    <t>Alface crespa</t>
  </si>
  <si>
    <t>Alface lisa</t>
  </si>
  <si>
    <t>Almeirão</t>
  </si>
  <si>
    <t>Brócolos ninja/japonês</t>
  </si>
  <si>
    <t>Brócolos ramoso</t>
  </si>
  <si>
    <t>Couve-Manteiga</t>
  </si>
  <si>
    <t>Couve</t>
  </si>
  <si>
    <t>Escarola</t>
  </si>
  <si>
    <t>Espinafre</t>
  </si>
  <si>
    <t>Rabanete</t>
  </si>
  <si>
    <t>12 maços</t>
  </si>
  <si>
    <t>Repolho roxo</t>
  </si>
  <si>
    <t>Repolho Verde</t>
  </si>
  <si>
    <t>Rúcula</t>
  </si>
  <si>
    <t>GRUPO B - Hortaliças Condimentares (Temperos)</t>
  </si>
  <si>
    <t>Cebolinha</t>
  </si>
  <si>
    <t>Maço 0,5 kg</t>
  </si>
  <si>
    <t>3.67</t>
  </si>
  <si>
    <t>Coentro</t>
  </si>
  <si>
    <t>Maço 2 kg</t>
  </si>
  <si>
    <t>Salsinha</t>
  </si>
  <si>
    <t>22.5</t>
  </si>
  <si>
    <t>GRUPO C - Hortaliças Legumes (Leguminosas (Vagens), Frutos, Raízes Tuberosas, Tubérculos e Bulbos)</t>
  </si>
  <si>
    <t>Abobrinha Italiana</t>
  </si>
  <si>
    <t>17 kg</t>
  </si>
  <si>
    <t>57.5</t>
  </si>
  <si>
    <t>Batata-doce</t>
  </si>
  <si>
    <t>18 kg</t>
  </si>
  <si>
    <t>Berinjela comum</t>
  </si>
  <si>
    <t>10 kg</t>
  </si>
  <si>
    <t>44.17</t>
  </si>
  <si>
    <t>42.5</t>
  </si>
  <si>
    <t>Berinjela japonesa</t>
  </si>
  <si>
    <t>Beterraba</t>
  </si>
  <si>
    <t>20 kg</t>
  </si>
  <si>
    <t>52.67</t>
  </si>
  <si>
    <t>Cenoura</t>
  </si>
  <si>
    <t>Chuchu</t>
  </si>
  <si>
    <t>Jiló</t>
  </si>
  <si>
    <t>56.67</t>
  </si>
  <si>
    <t>Mandioca</t>
  </si>
  <si>
    <t>Pepino comum</t>
  </si>
  <si>
    <t>Pepino japonês</t>
  </si>
  <si>
    <t>Pimentão verde</t>
  </si>
  <si>
    <t>Quiabo</t>
  </si>
  <si>
    <t>12 kg</t>
  </si>
  <si>
    <t>68.33</t>
  </si>
  <si>
    <t>Tomate Débora</t>
  </si>
  <si>
    <t>Vagem macarrão</t>
  </si>
  <si>
    <t>GRUPO D - Frutas</t>
  </si>
  <si>
    <t>Caqui Fuyu</t>
  </si>
  <si>
    <t>Caqui Guimbo</t>
  </si>
  <si>
    <t>Caqui Rama Forte</t>
  </si>
  <si>
    <t>Goiaba</t>
  </si>
  <si>
    <t>Mexerica Polkan</t>
  </si>
  <si>
    <t>22 kg</t>
  </si>
  <si>
    <t>21.5</t>
  </si>
  <si>
    <t>Couve-flor</t>
  </si>
  <si>
    <t>3.5</t>
  </si>
  <si>
    <t>4.13</t>
  </si>
  <si>
    <t>95.71</t>
  </si>
  <si>
    <t>Batata</t>
  </si>
  <si>
    <t>52.5</t>
  </si>
  <si>
    <t>71.43</t>
  </si>
  <si>
    <t>62.5</t>
  </si>
  <si>
    <t>39.38</t>
  </si>
  <si>
    <t>102.86</t>
  </si>
  <si>
    <t>64.67</t>
  </si>
  <si>
    <t>67.5</t>
  </si>
  <si>
    <t>28.33</t>
  </si>
  <si>
    <t>37.5</t>
  </si>
  <si>
    <t>4.33</t>
  </si>
  <si>
    <t>20.67</t>
  </si>
  <si>
    <t>55.83</t>
  </si>
  <si>
    <t>45.83</t>
  </si>
  <si>
    <t>47.5</t>
  </si>
  <si>
    <t>53.75</t>
  </si>
  <si>
    <t>73.33</t>
  </si>
  <si>
    <t>68.75</t>
  </si>
  <si>
    <t>84.17</t>
  </si>
  <si>
    <t>30.33</t>
  </si>
  <si>
    <t>4.5</t>
  </si>
  <si>
    <t>43.33</t>
  </si>
  <si>
    <t>47.86</t>
  </si>
  <si>
    <t>38.57</t>
  </si>
  <si>
    <t>58.75</t>
  </si>
  <si>
    <t>66.67</t>
  </si>
  <si>
    <t>70.83</t>
  </si>
  <si>
    <t>39.17</t>
  </si>
  <si>
    <t>107.5</t>
  </si>
  <si>
    <t>34.25</t>
  </si>
  <si>
    <t>32.5</t>
  </si>
  <si>
    <t>31.67</t>
  </si>
  <si>
    <t>4.17</t>
  </si>
  <si>
    <t>23.33</t>
  </si>
  <si>
    <t>50.71</t>
  </si>
  <si>
    <t>49.29</t>
  </si>
  <si>
    <t>37.86</t>
  </si>
  <si>
    <t>103.33</t>
  </si>
  <si>
    <t>49.17</t>
  </si>
  <si>
    <t>36.43</t>
  </si>
  <si>
    <t>78.57</t>
  </si>
  <si>
    <t>21.6</t>
  </si>
  <si>
    <t>24.75</t>
  </si>
  <si>
    <t>20.25</t>
  </si>
  <si>
    <t>69.33</t>
  </si>
  <si>
    <t>20.5</t>
  </si>
  <si>
    <t>36.75</t>
  </si>
  <si>
    <t>4.25</t>
  </si>
  <si>
    <t>21.4</t>
  </si>
  <si>
    <t>56.88</t>
  </si>
  <si>
    <t>46.67</t>
  </si>
  <si>
    <t>65.56</t>
  </si>
  <si>
    <t>59.38</t>
  </si>
  <si>
    <t>68.57</t>
  </si>
  <si>
    <t>61.67</t>
  </si>
  <si>
    <t>72.14</t>
  </si>
  <si>
    <t>73.13</t>
  </si>
  <si>
    <t>77.5</t>
  </si>
  <si>
    <t>4.38</t>
  </si>
  <si>
    <t>26.67</t>
  </si>
  <si>
    <t>48.75</t>
  </si>
  <si>
    <t>51.67</t>
  </si>
  <si>
    <t>38.75</t>
  </si>
  <si>
    <t>117.5</t>
  </si>
  <si>
    <t>61.5</t>
  </si>
  <si>
    <t>51.75</t>
  </si>
  <si>
    <t>38.6</t>
  </si>
  <si>
    <t>35.75</t>
  </si>
  <si>
    <t>35.5</t>
  </si>
  <si>
    <t>93.6</t>
  </si>
  <si>
    <t>33.25</t>
  </si>
  <si>
    <t>61.2</t>
  </si>
  <si>
    <t>4.63</t>
  </si>
  <si>
    <t>4.75</t>
  </si>
  <si>
    <t>26.25</t>
  </si>
  <si>
    <t>27.6</t>
  </si>
  <si>
    <t>Aboborá Cabotiá</t>
  </si>
  <si>
    <t>30 kg</t>
  </si>
  <si>
    <t>78.75</t>
  </si>
  <si>
    <t>97.5</t>
  </si>
  <si>
    <t>89.67</t>
  </si>
  <si>
    <t>76.67</t>
  </si>
  <si>
    <t>48.33</t>
  </si>
  <si>
    <t>117.14</t>
  </si>
  <si>
    <t>54.67</t>
  </si>
  <si>
    <t>30.5</t>
  </si>
  <si>
    <t>66.33</t>
  </si>
  <si>
    <t>4.83</t>
  </si>
  <si>
    <t>113.75</t>
  </si>
  <si>
    <t>112.5</t>
  </si>
  <si>
    <t>122.5</t>
  </si>
  <si>
    <t>82.5</t>
  </si>
  <si>
    <t>106.25</t>
  </si>
  <si>
    <t>137.5</t>
  </si>
  <si>
    <t>136.67</t>
  </si>
  <si>
    <t>62.67</t>
  </si>
  <si>
    <t>49.5</t>
  </si>
  <si>
    <t>46.5</t>
  </si>
  <si>
    <t>41.75</t>
  </si>
  <si>
    <t>38.5</t>
  </si>
  <si>
    <t>45.67</t>
  </si>
  <si>
    <t>64.5</t>
  </si>
  <si>
    <t>28.5</t>
  </si>
  <si>
    <t>35.67</t>
  </si>
  <si>
    <t>67.33</t>
  </si>
  <si>
    <t>20.83</t>
  </si>
  <si>
    <t>102.5</t>
  </si>
  <si>
    <t>96.67</t>
  </si>
  <si>
    <t>42.33</t>
  </si>
  <si>
    <t>81.8</t>
  </si>
  <si>
    <t>62.33</t>
  </si>
  <si>
    <t>115.83</t>
  </si>
  <si>
    <t>86.88</t>
  </si>
  <si>
    <t>117.86</t>
  </si>
  <si>
    <t>81.25</t>
  </si>
  <si>
    <t>82.14</t>
  </si>
  <si>
    <t>221.67</t>
  </si>
  <si>
    <t>144.29</t>
  </si>
  <si>
    <t>101.33</t>
  </si>
  <si>
    <t>93.33</t>
  </si>
  <si>
    <t>59.67</t>
  </si>
  <si>
    <t>118.33</t>
  </si>
  <si>
    <t>69.17</t>
  </si>
  <si>
    <t>72.5</t>
  </si>
  <si>
    <t>116.67</t>
  </si>
  <si>
    <t>56.33</t>
  </si>
  <si>
    <t>101.67</t>
  </si>
  <si>
    <t>172.5</t>
  </si>
  <si>
    <t>49.33</t>
  </si>
  <si>
    <t>78.67</t>
  </si>
  <si>
    <t>32.75</t>
  </si>
  <si>
    <t>33.67</t>
  </si>
  <si>
    <t>31.5</t>
  </si>
  <si>
    <t>54.33</t>
  </si>
  <si>
    <t>5.38</t>
  </si>
  <si>
    <t>5.5</t>
  </si>
  <si>
    <t>33.75</t>
  </si>
  <si>
    <t>113.33</t>
  </si>
  <si>
    <t>68.6</t>
  </si>
  <si>
    <t>91.25</t>
  </si>
  <si>
    <t>99.5</t>
  </si>
  <si>
    <t>81.5</t>
  </si>
  <si>
    <t>59.33</t>
  </si>
  <si>
    <t>27.67</t>
  </si>
  <si>
    <t>33.33</t>
  </si>
  <si>
    <t>62.78</t>
  </si>
  <si>
    <t>44.38</t>
  </si>
  <si>
    <t>125.71</t>
  </si>
  <si>
    <t>61.25</t>
  </si>
  <si>
    <t>98.57</t>
  </si>
  <si>
    <t>93.13</t>
  </si>
  <si>
    <t>74.29</t>
  </si>
  <si>
    <t>92.14</t>
  </si>
  <si>
    <t>91.67</t>
  </si>
  <si>
    <t>99.67</t>
  </si>
  <si>
    <t>70.33</t>
  </si>
  <si>
    <t>43.75</t>
  </si>
  <si>
    <t>132.5</t>
  </si>
  <si>
    <t>56.25</t>
  </si>
  <si>
    <t>25.25</t>
  </si>
  <si>
    <t>25.67</t>
  </si>
  <si>
    <t>60.5</t>
  </si>
  <si>
    <t>87.5</t>
  </si>
  <si>
    <t>127.5</t>
  </si>
  <si>
    <t>63.33</t>
  </si>
  <si>
    <t>53.33</t>
  </si>
  <si>
    <t>128.75</t>
  </si>
  <si>
    <t>86.67</t>
  </si>
  <si>
    <t>111.67</t>
  </si>
  <si>
    <t>58.5</t>
  </si>
  <si>
    <t>44.5</t>
  </si>
  <si>
    <t>75.5</t>
  </si>
  <si>
    <t>55.6</t>
  </si>
  <si>
    <t>5.25</t>
  </si>
  <si>
    <t>123.33</t>
  </si>
  <si>
    <t>85.33</t>
  </si>
  <si>
    <t>5.33</t>
  </si>
  <si>
    <t>51.25</t>
  </si>
  <si>
    <t>116.25</t>
  </si>
  <si>
    <t>193.75</t>
  </si>
  <si>
    <t>27.5</t>
  </si>
  <si>
    <t>58.33</t>
  </si>
  <si>
    <t>98.33</t>
  </si>
  <si>
    <t>108.33</t>
  </si>
  <si>
    <t>120.83</t>
  </si>
  <si>
    <t>78.33</t>
  </si>
  <si>
    <t>106.67</t>
  </si>
  <si>
    <t>223.33</t>
  </si>
  <si>
    <t>66.25</t>
  </si>
  <si>
    <t>176.67</t>
  </si>
  <si>
    <t>68.5</t>
  </si>
  <si>
    <t>60.83</t>
  </si>
  <si>
    <t>143.33</t>
  </si>
  <si>
    <t>83.33</t>
  </si>
  <si>
    <t>24.5</t>
  </si>
  <si>
    <t>71.5</t>
  </si>
  <si>
    <t>17.25</t>
  </si>
  <si>
    <t>71.25</t>
  </si>
  <si>
    <t>51.5</t>
  </si>
  <si>
    <t>25.5</t>
  </si>
  <si>
    <t>66.5</t>
  </si>
  <si>
    <t>13.5</t>
  </si>
  <si>
    <t>71.67</t>
  </si>
  <si>
    <t>74.4</t>
  </si>
  <si>
    <t>22.8</t>
  </si>
  <si>
    <t>25.2</t>
  </si>
  <si>
    <t>62.4</t>
  </si>
  <si>
    <t>43.4</t>
  </si>
  <si>
    <t>12.4</t>
  </si>
  <si>
    <t>63.75</t>
  </si>
  <si>
    <t>133.33</t>
  </si>
  <si>
    <t>52.8</t>
  </si>
  <si>
    <t>35.8</t>
  </si>
  <si>
    <t>20.8</t>
  </si>
  <si>
    <t>21.8</t>
  </si>
  <si>
    <t>55.2</t>
  </si>
  <si>
    <t>41.6</t>
  </si>
  <si>
    <t>50.4</t>
  </si>
  <si>
    <t>4.8</t>
  </si>
  <si>
    <t>11.2</t>
  </si>
  <si>
    <t>143.75</t>
  </si>
  <si>
    <t>11.33</t>
  </si>
  <si>
    <t>21.67</t>
  </si>
  <si>
    <t>59.4</t>
  </si>
  <si>
    <t>118.75</t>
  </si>
  <si>
    <t>55.8</t>
  </si>
  <si>
    <t>53.25</t>
  </si>
  <si>
    <t>38.8</t>
  </si>
  <si>
    <t>49.2</t>
  </si>
  <si>
    <t>157.5</t>
  </si>
  <si>
    <t>39.25</t>
  </si>
  <si>
    <t>5.13</t>
  </si>
  <si>
    <t>18.75</t>
  </si>
  <si>
    <t>17.5</t>
  </si>
  <si>
    <t>93.75</t>
  </si>
  <si>
    <t>92.5</t>
  </si>
  <si>
    <t>147.5</t>
  </si>
  <si>
    <t>34.5</t>
  </si>
  <si>
    <t>23.75</t>
  </si>
  <si>
    <t>69.6</t>
  </si>
  <si>
    <t>20.4</t>
  </si>
  <si>
    <t>33.6</t>
  </si>
  <si>
    <t>32.2</t>
  </si>
  <si>
    <t>51.8</t>
  </si>
  <si>
    <t>46.6</t>
  </si>
  <si>
    <t>61.17</t>
  </si>
  <si>
    <t>18.33</t>
  </si>
  <si>
    <t>41.4</t>
  </si>
  <si>
    <t>44.2</t>
  </si>
  <si>
    <t>42.2</t>
  </si>
  <si>
    <t>42.4</t>
  </si>
  <si>
    <t>42.75</t>
  </si>
  <si>
    <t>41.67</t>
  </si>
  <si>
    <t>38.4</t>
  </si>
  <si>
    <t>23.4</t>
  </si>
  <si>
    <t>67.2</t>
  </si>
  <si>
    <t>65.5</t>
  </si>
  <si>
    <t>31.6</t>
  </si>
  <si>
    <t>10.4</t>
  </si>
  <si>
    <t>64.17</t>
  </si>
  <si>
    <t>50.83</t>
  </si>
  <si>
    <t>121.67</t>
  </si>
  <si>
    <t>39.6</t>
  </si>
  <si>
    <t>30.25</t>
  </si>
  <si>
    <t>25.6</t>
  </si>
  <si>
    <t>19.5</t>
  </si>
  <si>
    <t>4.67</t>
  </si>
  <si>
    <t>11.75</t>
  </si>
  <si>
    <t>21.25</t>
  </si>
  <si>
    <t>126.25</t>
  </si>
  <si>
    <t>43.67</t>
  </si>
  <si>
    <t>12.75</t>
  </si>
  <si>
    <t>41.25</t>
  </si>
  <si>
    <t>151.25</t>
  </si>
  <si>
    <t>73.75</t>
  </si>
  <si>
    <t>34.75</t>
  </si>
  <si>
    <t>28.75</t>
  </si>
  <si>
    <t>81.67</t>
  </si>
  <si>
    <t>88.75</t>
  </si>
  <si>
    <t>162.5</t>
  </si>
  <si>
    <t>R$ 48,00</t>
  </si>
  <si>
    <t>R$ 60,00</t>
  </si>
  <si>
    <t>R$ 54,00</t>
  </si>
  <si>
    <t>R$ 72,00</t>
  </si>
  <si>
    <t>R$ 84,00</t>
  </si>
  <si>
    <t>R$ 30,00</t>
  </si>
  <si>
    <t>R$ 42,00</t>
  </si>
  <si>
    <t>R$ 34,50</t>
  </si>
  <si>
    <t>R$ 33,00</t>
  </si>
  <si>
    <t>R$ 24,00</t>
  </si>
  <si>
    <t>R$ 18,00</t>
  </si>
  <si>
    <t>R$ 22,50</t>
  </si>
  <si>
    <t>R$ 64,00</t>
  </si>
  <si>
    <t>R$ 70,00</t>
  </si>
  <si>
    <t>R$ 71,50</t>
  </si>
  <si>
    <t>R$ 21,50</t>
  </si>
  <si>
    <t>R$ 22,00</t>
  </si>
  <si>
    <t>R$ 63,33</t>
  </si>
  <si>
    <t>R$ 63,00</t>
  </si>
  <si>
    <t>R$ 25,50</t>
  </si>
  <si>
    <t>R$ 51,00</t>
  </si>
  <si>
    <t>R$ 5,00</t>
  </si>
  <si>
    <t>R$ 15,00</t>
  </si>
  <si>
    <t>R$ 12,00</t>
  </si>
  <si>
    <t>R$ 14,25</t>
  </si>
  <si>
    <t>R$ 20,00</t>
  </si>
  <si>
    <t>R$ 26,25</t>
  </si>
  <si>
    <t>R$ 27,50</t>
  </si>
  <si>
    <t>R$ 75,00</t>
  </si>
  <si>
    <t>R$ 80,00</t>
  </si>
  <si>
    <t>R$ 77,50</t>
  </si>
  <si>
    <t>R$ 35,00</t>
  </si>
  <si>
    <t>R$ 33,75</t>
  </si>
  <si>
    <t>R$ 45,00</t>
  </si>
  <si>
    <t>R$ 62,50</t>
  </si>
  <si>
    <t>R$ 51,67</t>
  </si>
  <si>
    <t>R$ 50,00</t>
  </si>
  <si>
    <t>R$ 65,00</t>
  </si>
  <si>
    <t>R$ 56,25</t>
  </si>
  <si>
    <t>R$ 55,00</t>
  </si>
  <si>
    <t>R$ 40,00</t>
  </si>
  <si>
    <t>R$ 48,75</t>
  </si>
  <si>
    <t>R$ 57,50</t>
  </si>
  <si>
    <t>R$ 52,50</t>
  </si>
  <si>
    <t>R$ 120,00</t>
  </si>
  <si>
    <t>R$ 103,33</t>
  </si>
  <si>
    <t>R$ 110,00</t>
  </si>
  <si>
    <t>R$ 47,50</t>
  </si>
  <si>
    <t>R$ 90,00</t>
  </si>
  <si>
    <t>R$ 73,75</t>
  </si>
  <si>
    <t>R$ 46,25</t>
  </si>
  <si>
    <t>R$ 150,00</t>
  </si>
  <si>
    <t>R$ 180,00</t>
  </si>
  <si>
    <t>R$ 163,33</t>
  </si>
  <si>
    <t>R$ 160,00</t>
  </si>
  <si>
    <t>R$ 95,00</t>
  </si>
  <si>
    <t>R$ 81,25</t>
  </si>
  <si>
    <t>R$ 123,33</t>
  </si>
  <si>
    <t>R$ 100,00</t>
  </si>
  <si>
    <t>R$ 66,00</t>
  </si>
  <si>
    <t>R$ 78,00</t>
  </si>
  <si>
    <t>R$ 69,00</t>
  </si>
  <si>
    <t>R$ 25,00</t>
  </si>
  <si>
    <t>R$ 17,50</t>
  </si>
  <si>
    <t>R$ 61,00</t>
  </si>
  <si>
    <t>R$ 53,00</t>
  </si>
  <si>
    <t>R$ 58,00</t>
  </si>
  <si>
    <t>R$ 113,33</t>
  </si>
  <si>
    <t>R$ 200,00</t>
  </si>
  <si>
    <t>R$ 178,00</t>
  </si>
  <si>
    <t>R$ 83,33</t>
  </si>
  <si>
    <t>R$ 52,00</t>
  </si>
  <si>
    <t>R$ 68,00</t>
  </si>
  <si>
    <t>R$ 36,00</t>
  </si>
  <si>
    <t>R$ 27,25</t>
  </si>
  <si>
    <t>R$ 26,33</t>
  </si>
  <si>
    <t>R$ 56,00</t>
  </si>
  <si>
    <t>R$ 67,50</t>
  </si>
  <si>
    <t>R$ 24,25</t>
  </si>
  <si>
    <t>R$ 24,50</t>
  </si>
  <si>
    <t>R$ 44,00</t>
  </si>
  <si>
    <t>R$ 28,50</t>
  </si>
  <si>
    <t>R$ 49,50</t>
  </si>
  <si>
    <t>R$ 42,50</t>
  </si>
  <si>
    <t>R$ 53,33</t>
  </si>
  <si>
    <t>R$ 52,67</t>
  </si>
  <si>
    <t>R$ 74,00</t>
  </si>
  <si>
    <t>R$ 78,33</t>
  </si>
  <si>
    <t>R$ 58,60</t>
  </si>
  <si>
    <t>R$ 105,00</t>
  </si>
  <si>
    <t>R$ 59,00</t>
  </si>
  <si>
    <t>R$ 94,00</t>
  </si>
  <si>
    <t>R$ 43,75</t>
  </si>
  <si>
    <t>R$ 49,00</t>
  </si>
  <si>
    <t>R$ 130,00</t>
  </si>
  <si>
    <t>R$ 142,00</t>
  </si>
  <si>
    <t>R$ 79,00</t>
  </si>
  <si>
    <t>R$ 39,00</t>
  </si>
  <si>
    <t>R$ 31,50</t>
  </si>
  <si>
    <t>R$ 61,50</t>
  </si>
  <si>
    <t>R$ 58,50</t>
  </si>
  <si>
    <t>R$ 57,00</t>
  </si>
  <si>
    <t>R$ 23,00</t>
  </si>
  <si>
    <t>R$ 4,00</t>
  </si>
  <si>
    <t>R$ 4,75</t>
  </si>
  <si>
    <t>R$ 17,00</t>
  </si>
  <si>
    <t>R$ 16,50</t>
  </si>
  <si>
    <t>R$ 44,17</t>
  </si>
  <si>
    <t>R$ 45,71</t>
  </si>
  <si>
    <t>R$ 58,75</t>
  </si>
  <si>
    <t>R$ 33,33</t>
  </si>
  <si>
    <t>R$ 92,00</t>
  </si>
  <si>
    <t>R$ 43,00</t>
  </si>
  <si>
    <t>R$ 46,43</t>
  </si>
  <si>
    <t>R$ 50,71</t>
  </si>
  <si>
    <t>R$ 96,00</t>
  </si>
  <si>
    <t>R$ 67,00</t>
  </si>
  <si>
    <t>R$ 62,00</t>
  </si>
  <si>
    <t>R$ 30,20</t>
  </si>
  <si>
    <t>R$ 30,25</t>
  </si>
  <si>
    <t>R$ 21,20</t>
  </si>
  <si>
    <t>R$ 57,60</t>
  </si>
  <si>
    <t>R$ 37,20</t>
  </si>
  <si>
    <t>R$ 51,60</t>
  </si>
  <si>
    <t>R$ 4,80</t>
  </si>
  <si>
    <t>R$ 16,00</t>
  </si>
  <si>
    <t>R$ 71,67</t>
  </si>
  <si>
    <t>R$ 85,00</t>
  </si>
  <si>
    <t>R$ 46,00</t>
  </si>
  <si>
    <t>R$ 46,50</t>
  </si>
  <si>
    <t>R$ 28,33</t>
  </si>
  <si>
    <t>R$ 71,33</t>
  </si>
  <si>
    <t>R$ 20,50</t>
  </si>
  <si>
    <t>R$ 76,00</t>
  </si>
  <si>
    <t>R$ 58,67</t>
  </si>
  <si>
    <t>R$ 15,75</t>
  </si>
  <si>
    <t>R$ 60,83</t>
  </si>
  <si>
    <t>R$ 48,33</t>
  </si>
  <si>
    <t>R$ 50,83</t>
  </si>
  <si>
    <t>R$ 43,33</t>
  </si>
  <si>
    <t>R$ 82,50</t>
  </si>
  <si>
    <t>R$ 51,25</t>
  </si>
  <si>
    <t>R$ 140,00</t>
  </si>
  <si>
    <t>R$ 116,67</t>
  </si>
  <si>
    <t>R$ 138,00</t>
  </si>
  <si>
    <t>R$ 81,00</t>
  </si>
  <si>
    <t>R$ 46,80</t>
  </si>
  <si>
    <t>R$ 69,60</t>
  </si>
  <si>
    <t>R$ 82,00</t>
  </si>
  <si>
    <t>R$ 29,00</t>
  </si>
  <si>
    <t>R$ 68,50</t>
  </si>
  <si>
    <t>R$ 71,00</t>
  </si>
  <si>
    <t>R$ 35,60</t>
  </si>
  <si>
    <t>R$ 55,20</t>
  </si>
  <si>
    <t>R$ 19,20</t>
  </si>
  <si>
    <t>R$ 61,67</t>
  </si>
  <si>
    <t>R$ 83,75</t>
  </si>
  <si>
    <t>R$ 106,25</t>
  </si>
  <si>
    <t>R$ 166,67</t>
  </si>
  <si>
    <t>Abóbora Cabotiá</t>
  </si>
  <si>
    <t>R$ 87,00</t>
  </si>
  <si>
    <t>R$ 45,60</t>
  </si>
  <si>
    <t>R$ 31,40</t>
  </si>
  <si>
    <t>R$ 31,75</t>
  </si>
  <si>
    <t>R$ 67,20</t>
  </si>
  <si>
    <t>R$ 26,40</t>
  </si>
  <si>
    <t>R$ 62,40</t>
  </si>
  <si>
    <t>R$ 60,50</t>
  </si>
  <si>
    <t>R$ 28,00</t>
  </si>
  <si>
    <t>R$ 97,50</t>
  </si>
  <si>
    <t>R$ 72,50</t>
  </si>
  <si>
    <t>R$ 66,67</t>
  </si>
  <si>
    <t>R$ 36,25</t>
  </si>
  <si>
    <t>R$ 88,75</t>
  </si>
  <si>
    <t>R$ 91,50</t>
  </si>
  <si>
    <t>R$ 49,20</t>
  </si>
  <si>
    <t>R$ 31,60</t>
  </si>
  <si>
    <t>R$ 27,60</t>
  </si>
  <si>
    <t>R$ 86,40</t>
  </si>
  <si>
    <t>R$ 24,40</t>
  </si>
  <si>
    <t>R$ 95,50</t>
  </si>
  <si>
    <t>R$ 56,75</t>
  </si>
  <si>
    <t>R$ 41,60</t>
  </si>
  <si>
    <t>R$ 55,50</t>
  </si>
  <si>
    <t>R$ 101,67</t>
  </si>
  <si>
    <t>-</t>
  </si>
  <si>
    <t>R$ 88,00</t>
  </si>
  <si>
    <t>R$ 46,75</t>
  </si>
  <si>
    <t>R$ 43,50</t>
  </si>
  <si>
    <t>R$ 30,50</t>
  </si>
  <si>
    <t>R$ 27,00</t>
  </si>
  <si>
    <t>R$ 25,75</t>
  </si>
  <si>
    <t>R$ 67,67</t>
  </si>
  <si>
    <t>R$ 28,75</t>
  </si>
  <si>
    <t>R$ 53,75</t>
  </si>
  <si>
    <t>R$ 96,25</t>
  </si>
  <si>
    <t>R$ 76,25</t>
  </si>
  <si>
    <t>R$ 48,25</t>
  </si>
  <si>
    <t>R$ 64,50</t>
  </si>
  <si>
    <t>R$ 93,00</t>
  </si>
  <si>
    <t>R$ 76,50</t>
  </si>
  <si>
    <t>R$ 73,50</t>
  </si>
  <si>
    <t>R$ 30,75</t>
  </si>
  <si>
    <t>R$ 86,25</t>
  </si>
  <si>
    <t>R$ 87,50</t>
  </si>
  <si>
    <t>R$ 115,00</t>
  </si>
  <si>
    <t>R$ 31,00</t>
  </si>
  <si>
    <t>R$ 144,00</t>
  </si>
  <si>
    <t>R$ 104,00</t>
  </si>
  <si>
    <t>R$ 108,00</t>
  </si>
  <si>
    <t>R$ 98,00</t>
  </si>
  <si>
    <t>R$ 102,00</t>
  </si>
  <si>
    <t>R$ 32,33</t>
  </si>
  <si>
    <t>R$ 73,33</t>
  </si>
  <si>
    <t>R$ 37,50</t>
  </si>
  <si>
    <t>R$ 107,50</t>
  </si>
  <si>
    <t>R$ 250,00</t>
  </si>
  <si>
    <t>R$ 62,33</t>
  </si>
  <si>
    <t>R$ 44,50</t>
  </si>
  <si>
    <t>R$ 81,67</t>
  </si>
  <si>
    <t>R$ 38,75</t>
  </si>
  <si>
    <t>R$ 78,75</t>
  </si>
  <si>
    <t>R$ 99,67</t>
  </si>
  <si>
    <t>R$ 95,33</t>
  </si>
  <si>
    <t>R$ 32,67</t>
  </si>
  <si>
    <t>R$ 32,00</t>
  </si>
  <si>
    <t>R$ 111,00</t>
  </si>
  <si>
    <t>R$ 86,00</t>
  </si>
  <si>
    <t>R$ 84,67</t>
  </si>
  <si>
    <t>R$ 60,33</t>
  </si>
  <si>
    <t>R$ 36,67</t>
  </si>
  <si>
    <t>R$ 63,75</t>
  </si>
  <si>
    <t>R$ 89,00</t>
  </si>
  <si>
    <t>R$ 122,50</t>
  </si>
  <si>
    <t>R$ 125,00</t>
  </si>
  <si>
    <t>R$ 56,67</t>
  </si>
  <si>
    <t>R$ 77,00</t>
  </si>
  <si>
    <t>R$ 106,00</t>
  </si>
  <si>
    <t>R$ 99,00</t>
  </si>
  <si>
    <t>R$ 66,33</t>
  </si>
  <si>
    <t>R$ 5,50</t>
  </si>
  <si>
    <t>R$ 5,17</t>
  </si>
  <si>
    <t>R$ 92,50</t>
  </si>
  <si>
    <t>R$ 68,33</t>
  </si>
  <si>
    <t>R$ 97,00</t>
  </si>
  <si>
    <t>R$ 114,00</t>
  </si>
  <si>
    <t>R$ 38,00</t>
  </si>
  <si>
    <t>R$ 42,67</t>
  </si>
  <si>
    <t>R$ 146,67</t>
  </si>
  <si>
    <t>R$ 156,67</t>
  </si>
  <si>
    <t>R$ 50,25</t>
  </si>
  <si>
    <t>R$ 168,00</t>
  </si>
  <si>
    <t>R$ 93,50</t>
  </si>
  <si>
    <t>R$ 106,67</t>
  </si>
  <si>
    <t>R$ 53,50</t>
  </si>
  <si>
    <t>R$ 6,00</t>
  </si>
  <si>
    <t>R$ 5,25</t>
  </si>
  <si>
    <t>R$ 86,67</t>
  </si>
  <si>
    <t>R$ 93,75</t>
  </si>
  <si>
    <t>R$ 135,00</t>
  </si>
  <si>
    <t>R$ 152,50</t>
  </si>
  <si>
    <t>R$ 60,67</t>
  </si>
  <si>
    <t>R$ 5,33</t>
  </si>
  <si>
    <t>R$ 41,67</t>
  </si>
  <si>
    <t>R$ 170,00</t>
  </si>
  <si>
    <t>R$ 126,67</t>
  </si>
  <si>
    <t>R$ 67,33</t>
  </si>
  <si>
    <t>R$ 29,67</t>
  </si>
  <si>
    <t>R$ 104,67</t>
  </si>
  <si>
    <t>R$ 73,00</t>
  </si>
  <si>
    <t>R$ 58,33</t>
  </si>
  <si>
    <t>R$ 52,33</t>
  </si>
  <si>
    <t>R$ 46,67</t>
  </si>
  <si>
    <t>R$ 143,33</t>
  </si>
  <si>
    <t>R$ 190,00</t>
  </si>
  <si>
    <t>Numero do boletim</t>
  </si>
  <si>
    <t>Ano do boletim</t>
  </si>
  <si>
    <t>Unidade de medida</t>
  </si>
  <si>
    <t>cot_id</t>
  </si>
  <si>
    <t>blt_id</t>
  </si>
  <si>
    <t>pap_id</t>
  </si>
  <si>
    <t>cot_prc_comum</t>
  </si>
  <si>
    <t>cot_prc_min</t>
  </si>
  <si>
    <t>cot_prc_max</t>
  </si>
  <si>
    <t>cot_prc_med</t>
  </si>
  <si>
    <t>cot_prc_mediana</t>
  </si>
  <si>
    <t>grp_id</t>
  </si>
  <si>
    <t>grp_nome</t>
  </si>
  <si>
    <t>grp_desc</t>
  </si>
  <si>
    <t>A</t>
  </si>
  <si>
    <t>Verduras (folhosas, flores e hastes)</t>
  </si>
  <si>
    <t>INSERT INTO GRUPO_ALIMENTAR (grp_id, grp_nome, grp_desc) VALUES (1, 'A', 'Verduras (folhosas, flores e hastes)');</t>
  </si>
  <si>
    <t>B</t>
  </si>
  <si>
    <t>Hortaliças condimentares (temperos)</t>
  </si>
  <si>
    <t>INSERT INTO GRUPO_ALIMENTAR (grp_id, grp_nome, grp_desc) VALUES (2, 'B', 'Hortaliças condimentares (temperos)');</t>
  </si>
  <si>
    <t>C</t>
  </si>
  <si>
    <t>Hortaliças legumes (leguminosas (vagens), frutos, raízes tuberosas, tuberculos, bulbos)</t>
  </si>
  <si>
    <t>INSERT INTO GRUPO_ALIMENTAR (grp_id, grp_nome, grp_desc) VALUES (3, 'C', 'Hortaliças legumes (leguminosas (vagens), frutos, raízes tuberosas, tuberculos, bulbos)');</t>
  </si>
  <si>
    <t>D</t>
  </si>
  <si>
    <t>Frutas</t>
  </si>
  <si>
    <t>INSERT INTO GRUPO_ALIMENTAR (grp_id, grp_nome, grp_desc) VALUES (4, 'D', 'Frutas');</t>
  </si>
  <si>
    <t>cat_id</t>
  </si>
  <si>
    <t>cat_nome</t>
  </si>
  <si>
    <t>Folhosas</t>
  </si>
  <si>
    <t>INSERT INTO CATEGORIA (grp_id, cat_nome) VALUES (1, 'Folhosas');</t>
  </si>
  <si>
    <t>Flores</t>
  </si>
  <si>
    <t>INSERT INTO CATEGORIA (grp_id, cat_nome) VALUES (1, 'Flores');</t>
  </si>
  <si>
    <t>Hastes</t>
  </si>
  <si>
    <t>INSERT INTO CATEGORIA (grp_id, cat_nome) VALUES (1, 'Hastes');</t>
  </si>
  <si>
    <t>Temperos</t>
  </si>
  <si>
    <t>INSERT INTO CATEGORIA (grp_id, cat_nome) VALUES (2, 'Temperos');</t>
  </si>
  <si>
    <t>Leguminosas (vagens)</t>
  </si>
  <si>
    <t>INSERT INTO CATEGORIA (grp_id, cat_nome) VALUES (3, 'Leguminosas (vagens)');</t>
  </si>
  <si>
    <t>Frutos</t>
  </si>
  <si>
    <t>INSERT INTO CATEGORIA (grp_id, cat_nome) VALUES (3, 'Frutos');</t>
  </si>
  <si>
    <t>Raízes Tuberosas</t>
  </si>
  <si>
    <t>INSERT INTO CATEGORIA (grp_id, cat_nome) VALUES (3, 'Raízes Tuberosas');</t>
  </si>
  <si>
    <t>Tubérculos</t>
  </si>
  <si>
    <t>INSERT INTO CATEGORIA (grp_id, cat_nome) VALUES (3, 'Tubérculos');</t>
  </si>
  <si>
    <t>Bulbos</t>
  </si>
  <si>
    <t>INSERT INTO CATEGORIA (grp_id, cat_nome) VALUES (3, 'Bulbos');</t>
  </si>
  <si>
    <t>INSERT INTO CATEGORIA (grp_id, cat_nome) VALUES (4, 'Frutas');</t>
  </si>
  <si>
    <t>prd_id</t>
  </si>
  <si>
    <t>prd_nome</t>
  </si>
  <si>
    <t>prd_var</t>
  </si>
  <si>
    <t>prd_atv</t>
  </si>
  <si>
    <t>INSERT INTO PRODUTO (cat_id, prd_nome, prd_var, prd_atv) VALUES (1, 'Acelga', '', 1);</t>
  </si>
  <si>
    <t>INSERT INTO PRODUTO (cat_id, prd_nome, prd_var, prd_atv) VALUES (1, 'Agrião', '', 1);</t>
  </si>
  <si>
    <t>Alface</t>
  </si>
  <si>
    <t>Americana</t>
  </si>
  <si>
    <t>INSERT INTO PRODUTO (cat_id, prd_nome, prd_var, prd_atv) VALUES (1, 'Alface', 'Americana', 1);</t>
  </si>
  <si>
    <t>Crespa</t>
  </si>
  <si>
    <t>INSERT INTO PRODUTO (cat_id, prd_nome, prd_var, prd_atv) VALUES (1, 'Alface', 'Crespa', 1);</t>
  </si>
  <si>
    <t>Lisa</t>
  </si>
  <si>
    <t>INSERT INTO PRODUTO (cat_id, prd_nome, prd_var, prd_atv) VALUES (1, 'Alface', 'Lisa', 1);</t>
  </si>
  <si>
    <t>INSERT INTO PRODUTO (cat_id, prd_nome, prd_var, prd_atv) VALUES (1, 'Almeirão', '', 1);</t>
  </si>
  <si>
    <t>Brócolis</t>
  </si>
  <si>
    <t>Ninja/Japonês</t>
  </si>
  <si>
    <t>INSERT INTO PRODUTO (cat_id, prd_nome, prd_var, prd_atv) VALUES (2, 'Brócolis', 'Ninja/Japonês', 1);</t>
  </si>
  <si>
    <t>Ramoso</t>
  </si>
  <si>
    <t>INSERT INTO PRODUTO (cat_id, prd_nome, prd_var, prd_atv) VALUES (2, 'Brócolis', 'Ramoso', 1);</t>
  </si>
  <si>
    <t>Manteiga</t>
  </si>
  <si>
    <t>INSERT INTO PRODUTO (cat_id, prd_nome, prd_var, prd_atv) VALUES (1, 'Couve', 'Manteiga', 1);</t>
  </si>
  <si>
    <t>Couve-Flor</t>
  </si>
  <si>
    <t>INSERT INTO PRODUTO (cat_id, prd_nome, prd_var, prd_atv) VALUES (2, 'Couve', '', 1);</t>
  </si>
  <si>
    <t>INSERT INTO PRODUTO (cat_id, prd_nome, prd_var, prd_atv) VALUES (1, 'Escarola', '', 1);</t>
  </si>
  <si>
    <t>INSERT INTO PRODUTO (cat_id, prd_nome, prd_var, prd_atv) VALUES (1, 'Espinafre', '', 1);</t>
  </si>
  <si>
    <t>INSERT INTO PRODUTO (cat_id, prd_nome, prd_var, prd_atv) VALUES (7, 'Rabanete', '', 1);</t>
  </si>
  <si>
    <t>Repolho</t>
  </si>
  <si>
    <t>Roxo</t>
  </si>
  <si>
    <t>INSERT INTO PRODUTO (cat_id, prd_nome, prd_var, prd_atv) VALUES (1, 'Repolho', 'Roxo', 1);</t>
  </si>
  <si>
    <t>Verde</t>
  </si>
  <si>
    <t>INSERT INTO PRODUTO (cat_id, prd_nome, prd_var, prd_atv) VALUES (1, 'Repolho', 'Verde', 1);</t>
  </si>
  <si>
    <t>INSERT INTO PRODUTO (cat_id, prd_nome, prd_var, prd_atv) VALUES (1, 'Rúcula', '', 1);</t>
  </si>
  <si>
    <t>INSERT INTO PRODUTO (cat_id, prd_nome, prd_var, prd_atv) VALUES (4, 'Cebolinha', '', 1);</t>
  </si>
  <si>
    <t>INSERT INTO PRODUTO (cat_id, prd_nome, prd_var, prd_atv) VALUES (4, 'Coentro', '', 1);</t>
  </si>
  <si>
    <t>INSERT INTO PRODUTO (cat_id, prd_nome, prd_var, prd_atv) VALUES (4, 'Salsinha', '', 1);</t>
  </si>
  <si>
    <t>Abóbora</t>
  </si>
  <si>
    <t>Cabotiá</t>
  </si>
  <si>
    <t>INSERT INTO PRODUTO (cat_id, prd_nome, prd_var, prd_atv) VALUES (6, 'Abóbora', 'Cabotiá', 1);</t>
  </si>
  <si>
    <t>Abobrinha</t>
  </si>
  <si>
    <t>Italiana</t>
  </si>
  <si>
    <t>INSERT INTO PRODUTO (cat_id, prd_nome, prd_var, prd_atv) VALUES (6, 'Abobrinha', 'Italiana', 1);</t>
  </si>
  <si>
    <t>INSERT INTO PRODUTO (cat_id, prd_nome, prd_var, prd_atv) VALUES (7, 'Batata-doce', '', 1);</t>
  </si>
  <si>
    <t>Berinjela</t>
  </si>
  <si>
    <t>INSERT INTO PRODUTO (cat_id, prd_nome, prd_var, prd_atv) VALUES (6, 'Berinjela', 'Comum', 1);</t>
  </si>
  <si>
    <t>Japonesa</t>
  </si>
  <si>
    <t>INSERT INTO PRODUTO (cat_id, prd_nome, prd_var, prd_atv) VALUES (6, 'Berinjela', 'Japonesa', 1);</t>
  </si>
  <si>
    <t>INSERT INTO PRODUTO (cat_id, prd_nome, prd_var, prd_atv) VALUES (7, 'Beterraba', '', 1);</t>
  </si>
  <si>
    <t>INSERT INTO PRODUTO (cat_id, prd_nome, prd_var, prd_atv) VALUES (7, 'Cenoura', '', 1);</t>
  </si>
  <si>
    <t>INSERT INTO PRODUTO (cat_id, prd_nome, prd_var, prd_atv) VALUES (6, 'Chuchu', '', 1);</t>
  </si>
  <si>
    <t>INSERT INTO PRODUTO (cat_id, prd_nome, prd_var, prd_atv) VALUES (6, 'Jiló', '', 1);</t>
  </si>
  <si>
    <t>INSERT INTO PRODUTO (cat_id, prd_nome, prd_var, prd_atv) VALUES (7, 'Mandioca', '', 1);</t>
  </si>
  <si>
    <t>Pepino</t>
  </si>
  <si>
    <t>INSERT INTO PRODUTO (cat_id, prd_nome, prd_var, prd_atv) VALUES (6, 'Pepino', 'Comum', 1);</t>
  </si>
  <si>
    <t>Japonês</t>
  </si>
  <si>
    <t>INSERT INTO PRODUTO (cat_id, prd_nome, prd_var, prd_atv) VALUES (6, 'Pepino', 'Japonês', 1);</t>
  </si>
  <si>
    <t>Pimentão</t>
  </si>
  <si>
    <t>INSERT INTO PRODUTO (cat_id, prd_nome, prd_var, prd_atv) VALUES (6, 'Pimentão', 'Verde', 1);</t>
  </si>
  <si>
    <t>INSERT INTO PRODUTO (cat_id, prd_nome, prd_var, prd_atv) VALUES (6, 'Quiabo', '', 1);</t>
  </si>
  <si>
    <t>Tomate</t>
  </si>
  <si>
    <t>Débora</t>
  </si>
  <si>
    <t>INSERT INTO PRODUTO (cat_id, prd_nome, prd_var, prd_atv) VALUES (6, 'Tomate', 'Débora', 1);</t>
  </si>
  <si>
    <t>Vagem</t>
  </si>
  <si>
    <t>Macarrão</t>
  </si>
  <si>
    <t>INSERT INTO PRODUTO (cat_id, prd_nome, prd_var, prd_atv) VALUES (5, 'Vagem', 'Macarrão', 1);</t>
  </si>
  <si>
    <t>Caqui</t>
  </si>
  <si>
    <t>Fuyu</t>
  </si>
  <si>
    <t>INSERT INTO PRODUTO (cat_id, prd_nome, prd_var, prd_atv) VALUES (10, 'Caqui', 'Fuyu', 1);</t>
  </si>
  <si>
    <t>Guiombo</t>
  </si>
  <si>
    <t>INSERT INTO PRODUTO (cat_id, prd_nome, prd_var, prd_atv) VALUES (10, 'Caqui', 'Guiombo', 1);</t>
  </si>
  <si>
    <t>Rama Forte</t>
  </si>
  <si>
    <t>INSERT INTO PRODUTO (cat_id, prd_nome, prd_var, prd_atv) VALUES (10, 'Caqui', 'Rama Forte', 1);</t>
  </si>
  <si>
    <t>INSERT INTO PRODUTO (cat_id, prd_nome, prd_var, prd_atv) VALUES (10, 'Goiaba', '', 1);</t>
  </si>
  <si>
    <t>Mexerica</t>
  </si>
  <si>
    <t>Ponkan</t>
  </si>
  <si>
    <t>INSERT INTO PRODUTO (cat_id, prd_nome, prd_var, prd_atv) VALUES (10, 'Mexerica', 'Ponkan', 1);</t>
  </si>
  <si>
    <t>umd_id</t>
  </si>
  <si>
    <t>umd_nome</t>
  </si>
  <si>
    <t>umd_sigla</t>
  </si>
  <si>
    <t>Quilograma</t>
  </si>
  <si>
    <t>kg</t>
  </si>
  <si>
    <t>INSERT INTO UNIDADE_MEDIDA (umd_nome, umd_sigla) VALUES ('Quilograma', 'kg');</t>
  </si>
  <si>
    <t>Grama</t>
  </si>
  <si>
    <t>g</t>
  </si>
  <si>
    <t>INSERT INTO UNIDADE_MEDIDA (umd_nome, umd_sigla) VALUES ('Grama', 'g');</t>
  </si>
  <si>
    <t>un</t>
  </si>
  <si>
    <t>INSERT INTO UNIDADE_MEDIDA (umd_nome, umd_sigla) VALUES ('Unidade', 'un');</t>
  </si>
  <si>
    <t>Mililitro</t>
  </si>
  <si>
    <t>ml</t>
  </si>
  <si>
    <t>INSERT INTO UNIDADE_MEDIDA (umd_nome, umd_sigla) VALUES ('Mililitro', 'ml');</t>
  </si>
  <si>
    <t>Litro</t>
  </si>
  <si>
    <t>L</t>
  </si>
  <si>
    <t>INSERT INTO UNIDADE_MEDIDA (umd_nome, umd_sigla) VALUES ('Litro', 'L');</t>
  </si>
  <si>
    <t>tap_id</t>
  </si>
  <si>
    <t>tap_nome</t>
  </si>
  <si>
    <t>caixa</t>
  </si>
  <si>
    <t>maço</t>
  </si>
  <si>
    <t>dúzia</t>
  </si>
  <si>
    <t>saco</t>
  </si>
  <si>
    <t>blt_data_cad</t>
  </si>
  <si>
    <t>pap_qtd</t>
  </si>
  <si>
    <t>pap_atv</t>
  </si>
  <si>
    <t>CouveManteiga</t>
  </si>
  <si>
    <t>Couveflor</t>
  </si>
  <si>
    <t>Batatadoce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</si>
</sst>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"/>
    <numFmt numFmtId="165" formatCode="&quot;R$ &quot;#,##0.00"/>
    <numFmt numFmtId="166" formatCode="[$R$-416]\ #,##0.00;[Red]\-[$R$-416]\ #,##0.00"/>
  </numFmts>
  <fonts count="4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C3E50"/>
        <bgColor rgb="FF333399"/>
      </patternFill>
    </fill>
    <fill>
      <patternFill patternType="solid">
        <fgColor rgb="FFECF0F1"/>
        <bgColor rgb="FFFFFFFF"/>
      </patternFill>
    </fill>
    <fill>
      <patternFill patternType="solid">
        <fgColor rgb="FFFFFFFF"/>
        <bgColor rgb="FFECF0F1"/>
      </patternFill>
    </fill>
  </fills>
  <borders count="2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 applyProtection="1"/>
    <xf numFmtId="0" fontId="1" fillId="2" borderId="1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/>
    <xf numFmtId="0" fontId="0" fillId="3" borderId="1" xfId="0" applyFont="1" applyFill="1" applyBorder="1" applyAlignment="1" applyProtection="1">
      <alignment horizontal="left" wrapText="1"/>
    </xf>
    <xf numFmtId="0" fontId="0" fillId="3" borderId="1" xfId="0" applyFont="1" applyFill="1" applyBorder="1" applyAlignment="1" applyProtection="1">
      <alignment horizontal="left"/>
    </xf>
    <xf numFmtId="0" fontId="0" fillId="3" borderId="1" xfId="0" applyFill="1" applyBorder="1" applyAlignment="1" applyProtection="1">
      <alignment horizontal="right"/>
    </xf>
    <xf numFmtId="165" fontId="0" fillId="3" borderId="1" xfId="0" applyNumberFormat="1" applyFill="1" applyBorder="1" applyAlignment="1" applyProtection="1">
      <alignment horizontal="right"/>
    </xf>
    <xf numFmtId="0" fontId="0" fillId="4" borderId="1" xfId="0" applyFont="1" applyFill="1" applyBorder="1" applyAlignment="1" applyProtection="1">
      <alignment horizontal="left" wrapText="1"/>
    </xf>
    <xf numFmtId="0" fontId="0" fillId="4" borderId="1" xfId="0" applyFont="1" applyFill="1" applyBorder="1" applyAlignment="1" applyProtection="1">
      <alignment horizontal="left"/>
    </xf>
    <xf numFmtId="0" fontId="0" fillId="4" borderId="1" xfId="0" applyFill="1" applyBorder="1" applyAlignment="1" applyProtection="1">
      <alignment horizontal="right"/>
    </xf>
    <xf numFmtId="165" fontId="0" fillId="4" borderId="1" xfId="0" applyNumberFormat="1" applyFill="1" applyBorder="1" applyAlignment="1" applyProtection="1">
      <alignment horizontal="right"/>
    </xf>
    <xf numFmtId="0" fontId="2" fillId="0" borderId="0" xfId="0" applyFont="1" applyAlignment="1" applyProtection="1">
      <alignment wrapText="1"/>
    </xf>
    <xf numFmtId="0" fontId="0" fillId="0" borderId="0" xfId="0" applyFont="1" applyAlignment="1" applyProtection="1">
      <alignment wrapText="1"/>
    </xf>
    <xf numFmtId="166" fontId="0" fillId="0" borderId="0" xfId="0" applyNumberFormat="1" applyFont="1" applyAlignment="1" applyProtection="1">
      <alignment wrapText="1"/>
    </xf>
    <xf numFmtId="0" fontId="2" fillId="0" borderId="0" xfId="0" applyFont="1" applyAlignment="1">
      <alignment wrapText="1"/>
    </xf>
    <xf numFmtId="0" fontId="0" fillId="0" borderId="0" xfId="0" applyFont="1" applyAlignment="1">
      <alignment wrapText="1"/>
    </xf>
    <xf numFmtId="166" fontId="0" fillId="0" borderId="0" xfId="0" applyNumberFormat="1" applyFont="1" applyAlignment="1">
      <alignment wrapText="1"/>
    </xf>
    <xf numFmtId="0" fontId="0" fillId="0" borderId="0" xfId="0" applyFont="1" applyAlignment="1" applyProtection="1"/>
    <xf numFmtId="165" fontId="0" fillId="0" borderId="0" xfId="0" applyNumberFormat="1" applyAlignment="1" applyProtection="1"/>
    <xf numFmtId="0" fontId="3" fillId="0" borderId="0" xfId="0" applyFont="1" applyAlignment="1" applyProtection="1"/>
    <xf numFmtId="0" fontId="0" fillId="3" borderId="0" xfId="0" applyFont="1" applyFill="1" applyBorder="1" applyAlignment="1" applyProtection="1">
      <alignment horizontal="left" wrapText="1"/>
    </xf>
    <xf numFmtId="0" fontId="0" fillId="3" borderId="0" xfId="0" applyFont="1" applyFill="1" applyBorder="1" applyAlignment="1" applyProtection="1">
      <alignment horizontal="left"/>
    </xf>
    <xf numFmtId="0" fontId="0" fillId="3" borderId="0" xfId="0" applyFill="1" applyBorder="1" applyAlignment="1" applyProtection="1">
      <alignment horizontal="right"/>
    </xf>
    <xf numFmtId="165" fontId="0" fillId="3" borderId="0" xfId="0" applyNumberFormat="1" applyFill="1" applyBorder="1" applyAlignment="1" applyProtection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ECF0F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29"/>
  <sheetViews>
    <sheetView zoomScaleNormal="100" workbookViewId="0">
      <pane ySplit="1" topLeftCell="A1450" activePane="bottomLeft" state="frozen"/>
      <selection pane="bottomLeft" activeCell="E1471" sqref="E1471"/>
    </sheetView>
  </sheetViews>
  <sheetFormatPr defaultColWidth="32.44140625" defaultRowHeight="14.4" x14ac:dyDescent="0.3"/>
  <cols>
    <col min="1" max="1" width="8" style="1" customWidth="1"/>
    <col min="2" max="2" width="7.88671875" style="1" customWidth="1"/>
    <col min="3" max="3" width="10.33203125" style="1" customWidth="1"/>
    <col min="4" max="4" width="31.88671875" style="1" customWidth="1"/>
    <col min="5" max="5" width="19.88671875" style="1" customWidth="1"/>
    <col min="6" max="6" width="10.77734375" style="1" customWidth="1"/>
    <col min="7" max="9" width="9" style="1" customWidth="1"/>
    <col min="10" max="10" width="9.33203125" style="1" customWidth="1"/>
    <col min="11" max="11" width="9" style="1" customWidth="1"/>
  </cols>
  <sheetData>
    <row r="1" spans="1:1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28.8" x14ac:dyDescent="0.3">
      <c r="A2" s="1">
        <v>37</v>
      </c>
      <c r="B2" s="1">
        <v>2023</v>
      </c>
      <c r="C2" s="3">
        <v>44931</v>
      </c>
      <c r="D2" s="4" t="s">
        <v>11</v>
      </c>
      <c r="E2" s="5" t="s">
        <v>12</v>
      </c>
      <c r="F2" s="5" t="s">
        <v>13</v>
      </c>
      <c r="G2" s="6"/>
      <c r="H2" s="7">
        <v>32</v>
      </c>
      <c r="I2" s="7">
        <v>32</v>
      </c>
      <c r="J2" s="7">
        <v>32</v>
      </c>
      <c r="K2" s="7">
        <v>32</v>
      </c>
    </row>
    <row r="3" spans="1:11" ht="28.8" x14ac:dyDescent="0.3">
      <c r="A3" s="1">
        <v>37</v>
      </c>
      <c r="B3" s="1">
        <v>2023</v>
      </c>
      <c r="C3" s="3">
        <v>44931</v>
      </c>
      <c r="D3" s="8" t="s">
        <v>11</v>
      </c>
      <c r="E3" s="9" t="s">
        <v>14</v>
      </c>
      <c r="F3" s="9" t="s">
        <v>13</v>
      </c>
      <c r="G3" s="10"/>
      <c r="H3" s="11">
        <v>60</v>
      </c>
      <c r="I3" s="11">
        <v>60</v>
      </c>
      <c r="J3" s="11">
        <v>60</v>
      </c>
      <c r="K3" s="11">
        <v>60</v>
      </c>
    </row>
    <row r="4" spans="1:11" ht="28.8" x14ac:dyDescent="0.3">
      <c r="A4" s="1">
        <v>37</v>
      </c>
      <c r="B4" s="1">
        <v>2023</v>
      </c>
      <c r="C4" s="3">
        <v>44931</v>
      </c>
      <c r="D4" s="4" t="s">
        <v>11</v>
      </c>
      <c r="E4" s="5" t="s">
        <v>15</v>
      </c>
      <c r="F4" s="5" t="s">
        <v>13</v>
      </c>
      <c r="G4" s="6"/>
      <c r="H4" s="7">
        <v>24</v>
      </c>
      <c r="I4" s="7">
        <v>36</v>
      </c>
      <c r="J4" s="7">
        <v>30</v>
      </c>
      <c r="K4" s="7">
        <v>30</v>
      </c>
    </row>
    <row r="5" spans="1:11" ht="28.8" x14ac:dyDescent="0.3">
      <c r="A5" s="1">
        <v>37</v>
      </c>
      <c r="B5" s="1">
        <v>2023</v>
      </c>
      <c r="C5" s="3">
        <v>44931</v>
      </c>
      <c r="D5" s="8" t="s">
        <v>11</v>
      </c>
      <c r="E5" s="9" t="s">
        <v>16</v>
      </c>
      <c r="F5" s="9" t="s">
        <v>13</v>
      </c>
      <c r="G5" s="10"/>
      <c r="H5" s="11">
        <v>18</v>
      </c>
      <c r="I5" s="11">
        <v>30</v>
      </c>
      <c r="J5" s="11">
        <v>24</v>
      </c>
      <c r="K5" s="11">
        <v>24</v>
      </c>
    </row>
    <row r="6" spans="1:11" ht="28.8" x14ac:dyDescent="0.3">
      <c r="A6" s="1">
        <v>37</v>
      </c>
      <c r="B6" s="1">
        <v>2023</v>
      </c>
      <c r="C6" s="3">
        <v>44931</v>
      </c>
      <c r="D6" s="4" t="s">
        <v>11</v>
      </c>
      <c r="E6" s="5" t="s">
        <v>17</v>
      </c>
      <c r="F6" s="5" t="s">
        <v>13</v>
      </c>
      <c r="G6" s="6"/>
      <c r="H6" s="7">
        <v>18</v>
      </c>
      <c r="I6" s="7">
        <v>30</v>
      </c>
      <c r="J6" s="7">
        <v>24</v>
      </c>
      <c r="K6" s="7">
        <v>24</v>
      </c>
    </row>
    <row r="7" spans="1:11" ht="28.8" x14ac:dyDescent="0.3">
      <c r="A7" s="1">
        <v>37</v>
      </c>
      <c r="B7" s="1">
        <v>2023</v>
      </c>
      <c r="C7" s="3">
        <v>44931</v>
      </c>
      <c r="D7" s="8" t="s">
        <v>11</v>
      </c>
      <c r="E7" s="9" t="s">
        <v>18</v>
      </c>
      <c r="F7" s="9" t="s">
        <v>13</v>
      </c>
      <c r="G7" s="10"/>
      <c r="H7" s="11">
        <v>48</v>
      </c>
      <c r="I7" s="11">
        <v>48</v>
      </c>
      <c r="J7" s="11">
        <v>48</v>
      </c>
      <c r="K7" s="11">
        <v>48</v>
      </c>
    </row>
    <row r="8" spans="1:11" ht="28.8" x14ac:dyDescent="0.3">
      <c r="A8" s="1">
        <v>37</v>
      </c>
      <c r="B8" s="1">
        <v>2023</v>
      </c>
      <c r="C8" s="3">
        <v>44931</v>
      </c>
      <c r="D8" s="4" t="s">
        <v>11</v>
      </c>
      <c r="E8" s="5" t="s">
        <v>19</v>
      </c>
      <c r="F8" s="5" t="s">
        <v>13</v>
      </c>
      <c r="G8" s="6"/>
      <c r="H8" s="7">
        <v>60</v>
      </c>
      <c r="I8" s="7">
        <v>60</v>
      </c>
      <c r="J8" s="7">
        <v>60</v>
      </c>
      <c r="K8" s="7">
        <v>60</v>
      </c>
    </row>
    <row r="9" spans="1:11" ht="28.8" x14ac:dyDescent="0.3">
      <c r="A9" s="1">
        <v>37</v>
      </c>
      <c r="B9" s="1">
        <v>2023</v>
      </c>
      <c r="C9" s="3">
        <v>44931</v>
      </c>
      <c r="D9" s="8" t="s">
        <v>11</v>
      </c>
      <c r="E9" s="9" t="s">
        <v>20</v>
      </c>
      <c r="F9" s="9" t="s">
        <v>13</v>
      </c>
      <c r="G9" s="11">
        <v>48</v>
      </c>
      <c r="H9" s="11">
        <v>48</v>
      </c>
      <c r="I9" s="11">
        <v>60</v>
      </c>
      <c r="J9" s="11">
        <v>52</v>
      </c>
      <c r="K9" s="11">
        <v>48</v>
      </c>
    </row>
    <row r="10" spans="1:11" ht="28.8" x14ac:dyDescent="0.3">
      <c r="A10" s="1">
        <v>37</v>
      </c>
      <c r="B10" s="1">
        <v>2023</v>
      </c>
      <c r="C10" s="3">
        <v>44931</v>
      </c>
      <c r="D10" s="4" t="s">
        <v>11</v>
      </c>
      <c r="E10" s="5" t="s">
        <v>21</v>
      </c>
      <c r="F10" s="5" t="s">
        <v>13</v>
      </c>
      <c r="G10" s="7">
        <v>15</v>
      </c>
      <c r="H10" s="7">
        <v>15</v>
      </c>
      <c r="I10" s="7">
        <v>24</v>
      </c>
      <c r="J10" s="7">
        <v>18</v>
      </c>
      <c r="K10" s="7">
        <v>15</v>
      </c>
    </row>
    <row r="11" spans="1:11" ht="28.8" x14ac:dyDescent="0.3">
      <c r="A11" s="1">
        <v>37</v>
      </c>
      <c r="B11" s="1">
        <v>2023</v>
      </c>
      <c r="C11" s="3">
        <v>44931</v>
      </c>
      <c r="D11" s="8" t="s">
        <v>11</v>
      </c>
      <c r="E11" s="9" t="s">
        <v>22</v>
      </c>
      <c r="F11" s="9"/>
      <c r="G11" s="10"/>
      <c r="H11" s="11">
        <v>60</v>
      </c>
      <c r="I11" s="11">
        <v>60</v>
      </c>
      <c r="J11" s="11">
        <v>60</v>
      </c>
      <c r="K11" s="11">
        <v>60</v>
      </c>
    </row>
    <row r="12" spans="1:11" ht="28.8" x14ac:dyDescent="0.3">
      <c r="A12" s="1">
        <v>37</v>
      </c>
      <c r="B12" s="1">
        <v>2023</v>
      </c>
      <c r="C12" s="3">
        <v>44931</v>
      </c>
      <c r="D12" s="4" t="s">
        <v>11</v>
      </c>
      <c r="E12" s="5" t="s">
        <v>23</v>
      </c>
      <c r="F12" s="5" t="s">
        <v>13</v>
      </c>
      <c r="G12" s="6"/>
      <c r="H12" s="7">
        <v>18</v>
      </c>
      <c r="I12" s="7">
        <v>30</v>
      </c>
      <c r="J12" s="7">
        <v>24</v>
      </c>
      <c r="K12" s="7">
        <v>24</v>
      </c>
    </row>
    <row r="13" spans="1:11" ht="28.8" x14ac:dyDescent="0.3">
      <c r="A13" s="1">
        <v>37</v>
      </c>
      <c r="B13" s="1">
        <v>2023</v>
      </c>
      <c r="C13" s="3">
        <v>44931</v>
      </c>
      <c r="D13" s="8" t="s">
        <v>11</v>
      </c>
      <c r="E13" s="9" t="s">
        <v>24</v>
      </c>
      <c r="F13" s="9" t="s">
        <v>13</v>
      </c>
      <c r="G13" s="10"/>
      <c r="H13" s="11">
        <v>42</v>
      </c>
      <c r="I13" s="11">
        <v>54</v>
      </c>
      <c r="J13" s="11">
        <v>48</v>
      </c>
      <c r="K13" s="11">
        <v>48</v>
      </c>
    </row>
    <row r="14" spans="1:11" ht="28.8" x14ac:dyDescent="0.3">
      <c r="A14" s="1">
        <v>37</v>
      </c>
      <c r="B14" s="1">
        <v>2023</v>
      </c>
      <c r="C14" s="3">
        <v>44931</v>
      </c>
      <c r="D14" s="4" t="s">
        <v>11</v>
      </c>
      <c r="E14" s="5" t="s">
        <v>25</v>
      </c>
      <c r="F14" s="5" t="s">
        <v>26</v>
      </c>
      <c r="G14" s="6"/>
      <c r="H14" s="7">
        <v>36</v>
      </c>
      <c r="I14" s="7">
        <v>48</v>
      </c>
      <c r="J14" s="7">
        <v>42</v>
      </c>
      <c r="K14" s="7">
        <v>42</v>
      </c>
    </row>
    <row r="15" spans="1:11" ht="28.8" x14ac:dyDescent="0.3">
      <c r="A15" s="1">
        <v>37</v>
      </c>
      <c r="B15" s="1">
        <v>2023</v>
      </c>
      <c r="C15" s="3">
        <v>44931</v>
      </c>
      <c r="D15" s="8" t="s">
        <v>11</v>
      </c>
      <c r="E15" s="9" t="s">
        <v>27</v>
      </c>
      <c r="F15" s="9" t="s">
        <v>13</v>
      </c>
      <c r="G15" s="10"/>
      <c r="H15" s="11">
        <v>60</v>
      </c>
      <c r="I15" s="11">
        <v>60</v>
      </c>
      <c r="J15" s="11">
        <v>60</v>
      </c>
      <c r="K15" s="11">
        <v>60</v>
      </c>
    </row>
    <row r="16" spans="1:11" ht="28.8" x14ac:dyDescent="0.3">
      <c r="A16" s="1">
        <v>37</v>
      </c>
      <c r="B16" s="1">
        <v>2023</v>
      </c>
      <c r="C16" s="3">
        <v>44931</v>
      </c>
      <c r="D16" s="4" t="s">
        <v>11</v>
      </c>
      <c r="E16" s="5" t="s">
        <v>28</v>
      </c>
      <c r="F16" s="5" t="s">
        <v>13</v>
      </c>
      <c r="G16" s="6"/>
      <c r="H16" s="7">
        <v>24</v>
      </c>
      <c r="I16" s="7">
        <v>36</v>
      </c>
      <c r="J16" s="7">
        <v>30</v>
      </c>
      <c r="K16" s="7">
        <v>30</v>
      </c>
    </row>
    <row r="17" spans="1:11" ht="28.8" x14ac:dyDescent="0.3">
      <c r="A17" s="1">
        <v>37</v>
      </c>
      <c r="B17" s="1">
        <v>2023</v>
      </c>
      <c r="C17" s="3">
        <v>44931</v>
      </c>
      <c r="D17" s="8" t="s">
        <v>11</v>
      </c>
      <c r="E17" s="9" t="s">
        <v>29</v>
      </c>
      <c r="F17" s="9" t="s">
        <v>13</v>
      </c>
      <c r="G17" s="11">
        <v>42</v>
      </c>
      <c r="H17" s="11">
        <v>36</v>
      </c>
      <c r="I17" s="11">
        <v>42</v>
      </c>
      <c r="J17" s="11">
        <v>40</v>
      </c>
      <c r="K17" s="11">
        <v>42</v>
      </c>
    </row>
    <row r="18" spans="1:11" ht="28.8" x14ac:dyDescent="0.3">
      <c r="A18" s="1">
        <v>37</v>
      </c>
      <c r="B18" s="1">
        <v>2023</v>
      </c>
      <c r="C18" s="3">
        <v>44931</v>
      </c>
      <c r="D18" s="4" t="s">
        <v>30</v>
      </c>
      <c r="E18" s="5" t="s">
        <v>31</v>
      </c>
      <c r="F18" s="5" t="s">
        <v>32</v>
      </c>
      <c r="G18" s="7">
        <v>4</v>
      </c>
      <c r="H18" s="7">
        <v>3</v>
      </c>
      <c r="I18" s="7">
        <v>4</v>
      </c>
      <c r="J18" s="7" t="s">
        <v>33</v>
      </c>
      <c r="K18" s="7">
        <v>4</v>
      </c>
    </row>
    <row r="19" spans="1:11" ht="28.8" x14ac:dyDescent="0.3">
      <c r="A19" s="1">
        <v>37</v>
      </c>
      <c r="B19" s="1">
        <v>2023</v>
      </c>
      <c r="C19" s="3">
        <v>44931</v>
      </c>
      <c r="D19" s="8" t="s">
        <v>30</v>
      </c>
      <c r="E19" s="9" t="s">
        <v>34</v>
      </c>
      <c r="F19" s="9" t="s">
        <v>35</v>
      </c>
      <c r="G19" s="11">
        <v>25</v>
      </c>
      <c r="H19" s="11">
        <v>25</v>
      </c>
      <c r="I19" s="11">
        <v>25</v>
      </c>
      <c r="J19" s="11">
        <v>25</v>
      </c>
      <c r="K19" s="11">
        <v>25</v>
      </c>
    </row>
    <row r="20" spans="1:11" ht="28.8" x14ac:dyDescent="0.3">
      <c r="A20" s="1">
        <v>37</v>
      </c>
      <c r="B20" s="1">
        <v>2023</v>
      </c>
      <c r="C20" s="3">
        <v>44931</v>
      </c>
      <c r="D20" s="4" t="s">
        <v>30</v>
      </c>
      <c r="E20" s="5" t="s">
        <v>36</v>
      </c>
      <c r="F20" s="5" t="s">
        <v>35</v>
      </c>
      <c r="G20" s="7">
        <v>25</v>
      </c>
      <c r="H20" s="7">
        <v>20</v>
      </c>
      <c r="I20" s="7">
        <v>25</v>
      </c>
      <c r="J20" s="7" t="s">
        <v>37</v>
      </c>
      <c r="K20" s="7" t="s">
        <v>37</v>
      </c>
    </row>
    <row r="21" spans="1:11" ht="43.2" x14ac:dyDescent="0.3">
      <c r="A21" s="1">
        <v>37</v>
      </c>
      <c r="B21" s="1">
        <v>2023</v>
      </c>
      <c r="C21" s="3">
        <v>44931</v>
      </c>
      <c r="D21" s="8" t="s">
        <v>38</v>
      </c>
      <c r="E21" s="9" t="s">
        <v>39</v>
      </c>
      <c r="F21" s="9" t="s">
        <v>40</v>
      </c>
      <c r="G21" s="11">
        <v>60</v>
      </c>
      <c r="H21" s="11">
        <v>50</v>
      </c>
      <c r="I21" s="11">
        <v>60</v>
      </c>
      <c r="J21" s="11" t="s">
        <v>41</v>
      </c>
      <c r="K21" s="11">
        <v>60</v>
      </c>
    </row>
    <row r="22" spans="1:11" ht="43.2" x14ac:dyDescent="0.3">
      <c r="A22" s="1">
        <v>37</v>
      </c>
      <c r="B22" s="1">
        <v>2023</v>
      </c>
      <c r="C22" s="3">
        <v>44931</v>
      </c>
      <c r="D22" s="4" t="s">
        <v>38</v>
      </c>
      <c r="E22" s="5" t="s">
        <v>42</v>
      </c>
      <c r="F22" s="5" t="s">
        <v>43</v>
      </c>
      <c r="G22" s="7">
        <v>50</v>
      </c>
      <c r="H22" s="7">
        <v>50</v>
      </c>
      <c r="I22" s="7">
        <v>65</v>
      </c>
      <c r="J22" s="7">
        <v>55</v>
      </c>
      <c r="K22" s="7">
        <v>50</v>
      </c>
    </row>
    <row r="23" spans="1:11" ht="43.2" x14ac:dyDescent="0.3">
      <c r="A23" s="1">
        <v>37</v>
      </c>
      <c r="B23" s="1">
        <v>2023</v>
      </c>
      <c r="C23" s="3">
        <v>44931</v>
      </c>
      <c r="D23" s="8" t="s">
        <v>38</v>
      </c>
      <c r="E23" s="9" t="s">
        <v>44</v>
      </c>
      <c r="F23" s="9" t="s">
        <v>45</v>
      </c>
      <c r="G23" s="11">
        <v>40</v>
      </c>
      <c r="H23" s="11">
        <v>40</v>
      </c>
      <c r="I23" s="11">
        <v>50</v>
      </c>
      <c r="J23" s="11" t="s">
        <v>46</v>
      </c>
      <c r="K23" s="11" t="s">
        <v>47</v>
      </c>
    </row>
    <row r="24" spans="1:11" ht="43.2" x14ac:dyDescent="0.3">
      <c r="A24" s="1">
        <v>37</v>
      </c>
      <c r="B24" s="1">
        <v>2023</v>
      </c>
      <c r="C24" s="3">
        <v>44931</v>
      </c>
      <c r="D24" s="4" t="s">
        <v>38</v>
      </c>
      <c r="E24" s="5" t="s">
        <v>48</v>
      </c>
      <c r="F24" s="5" t="s">
        <v>45</v>
      </c>
      <c r="G24" s="6"/>
      <c r="H24" s="6"/>
      <c r="I24" s="6"/>
      <c r="J24" s="6"/>
      <c r="K24" s="6"/>
    </row>
    <row r="25" spans="1:11" ht="43.2" x14ac:dyDescent="0.3">
      <c r="A25" s="1">
        <v>37</v>
      </c>
      <c r="B25" s="1">
        <v>2023</v>
      </c>
      <c r="C25" s="3">
        <v>44931</v>
      </c>
      <c r="D25" s="8" t="s">
        <v>38</v>
      </c>
      <c r="E25" s="9" t="s">
        <v>49</v>
      </c>
      <c r="F25" s="9" t="s">
        <v>50</v>
      </c>
      <c r="G25" s="10"/>
      <c r="H25" s="11">
        <v>48</v>
      </c>
      <c r="I25" s="11">
        <v>60</v>
      </c>
      <c r="J25" s="11" t="s">
        <v>51</v>
      </c>
      <c r="K25" s="11">
        <v>50</v>
      </c>
    </row>
    <row r="26" spans="1:11" ht="43.2" x14ac:dyDescent="0.3">
      <c r="A26" s="1">
        <v>37</v>
      </c>
      <c r="B26" s="1">
        <v>2023</v>
      </c>
      <c r="C26" s="3">
        <v>44931</v>
      </c>
      <c r="D26" s="4" t="s">
        <v>38</v>
      </c>
      <c r="E26" s="5" t="s">
        <v>52</v>
      </c>
      <c r="F26" s="5" t="s">
        <v>43</v>
      </c>
      <c r="G26" s="7">
        <v>55</v>
      </c>
      <c r="H26" s="7">
        <v>50</v>
      </c>
      <c r="I26" s="7">
        <v>60</v>
      </c>
      <c r="J26" s="7">
        <v>55</v>
      </c>
      <c r="K26" s="7">
        <v>55</v>
      </c>
    </row>
    <row r="27" spans="1:11" ht="43.2" x14ac:dyDescent="0.3">
      <c r="A27" s="1">
        <v>37</v>
      </c>
      <c r="B27" s="1">
        <v>2023</v>
      </c>
      <c r="C27" s="3">
        <v>44931</v>
      </c>
      <c r="D27" s="8" t="s">
        <v>38</v>
      </c>
      <c r="E27" s="9" t="s">
        <v>53</v>
      </c>
      <c r="F27" s="9" t="s">
        <v>43</v>
      </c>
      <c r="G27" s="11">
        <v>40</v>
      </c>
      <c r="H27" s="11">
        <v>30</v>
      </c>
      <c r="I27" s="11">
        <v>50</v>
      </c>
      <c r="J27" s="11">
        <v>40</v>
      </c>
      <c r="K27" s="11">
        <v>40</v>
      </c>
    </row>
    <row r="28" spans="1:11" ht="43.2" x14ac:dyDescent="0.3">
      <c r="A28" s="1">
        <v>37</v>
      </c>
      <c r="B28" s="1">
        <v>2023</v>
      </c>
      <c r="C28" s="3">
        <v>44931</v>
      </c>
      <c r="D28" s="4" t="s">
        <v>38</v>
      </c>
      <c r="E28" s="5" t="s">
        <v>54</v>
      </c>
      <c r="F28" s="5" t="s">
        <v>40</v>
      </c>
      <c r="G28" s="7">
        <v>50</v>
      </c>
      <c r="H28" s="7">
        <v>50</v>
      </c>
      <c r="I28" s="7">
        <v>70</v>
      </c>
      <c r="J28" s="7" t="s">
        <v>55</v>
      </c>
      <c r="K28" s="7">
        <v>50</v>
      </c>
    </row>
    <row r="29" spans="1:11" ht="43.2" x14ac:dyDescent="0.3">
      <c r="A29" s="1">
        <v>37</v>
      </c>
      <c r="B29" s="1">
        <v>2023</v>
      </c>
      <c r="C29" s="3">
        <v>44931</v>
      </c>
      <c r="D29" s="8" t="s">
        <v>38</v>
      </c>
      <c r="E29" s="9" t="s">
        <v>56</v>
      </c>
      <c r="F29" s="9" t="s">
        <v>43</v>
      </c>
      <c r="G29" s="10"/>
      <c r="H29" s="10"/>
      <c r="I29" s="10"/>
      <c r="J29" s="10"/>
      <c r="K29" s="10"/>
    </row>
    <row r="30" spans="1:11" ht="43.2" x14ac:dyDescent="0.3">
      <c r="A30" s="1">
        <v>37</v>
      </c>
      <c r="B30" s="1">
        <v>2023</v>
      </c>
      <c r="C30" s="3">
        <v>44931</v>
      </c>
      <c r="D30" s="4" t="s">
        <v>38</v>
      </c>
      <c r="E30" s="5" t="s">
        <v>57</v>
      </c>
      <c r="F30" s="5" t="s">
        <v>40</v>
      </c>
      <c r="G30" s="7">
        <v>50</v>
      </c>
      <c r="H30" s="7">
        <v>40</v>
      </c>
      <c r="I30" s="7">
        <v>60</v>
      </c>
      <c r="J30" s="7">
        <v>50</v>
      </c>
      <c r="K30" s="7">
        <v>50</v>
      </c>
    </row>
    <row r="31" spans="1:11" ht="43.2" x14ac:dyDescent="0.3">
      <c r="A31" s="1">
        <v>37</v>
      </c>
      <c r="B31" s="1">
        <v>2023</v>
      </c>
      <c r="C31" s="3">
        <v>44931</v>
      </c>
      <c r="D31" s="8" t="s">
        <v>38</v>
      </c>
      <c r="E31" s="9" t="s">
        <v>58</v>
      </c>
      <c r="F31" s="9" t="s">
        <v>40</v>
      </c>
      <c r="G31" s="11">
        <v>50</v>
      </c>
      <c r="H31" s="11">
        <v>50</v>
      </c>
      <c r="I31" s="11">
        <v>60</v>
      </c>
      <c r="J31" s="11">
        <v>55</v>
      </c>
      <c r="K31" s="11">
        <v>55</v>
      </c>
    </row>
    <row r="32" spans="1:11" ht="43.2" x14ac:dyDescent="0.3">
      <c r="A32" s="1">
        <v>37</v>
      </c>
      <c r="B32" s="1">
        <v>2023</v>
      </c>
      <c r="C32" s="3">
        <v>44931</v>
      </c>
      <c r="D32" s="4" t="s">
        <v>38</v>
      </c>
      <c r="E32" s="5" t="s">
        <v>59</v>
      </c>
      <c r="F32" s="5" t="s">
        <v>45</v>
      </c>
      <c r="G32" s="6"/>
      <c r="H32" s="7">
        <v>30</v>
      </c>
      <c r="I32" s="7">
        <v>50</v>
      </c>
      <c r="J32" s="7">
        <v>40</v>
      </c>
      <c r="K32" s="7">
        <v>40</v>
      </c>
    </row>
    <row r="33" spans="1:11" ht="43.2" x14ac:dyDescent="0.3">
      <c r="A33" s="1">
        <v>37</v>
      </c>
      <c r="B33" s="1">
        <v>2023</v>
      </c>
      <c r="C33" s="3">
        <v>44931</v>
      </c>
      <c r="D33" s="8" t="s">
        <v>38</v>
      </c>
      <c r="E33" s="9" t="s">
        <v>60</v>
      </c>
      <c r="F33" s="9" t="s">
        <v>61</v>
      </c>
      <c r="G33" s="11">
        <v>70</v>
      </c>
      <c r="H33" s="11">
        <v>60</v>
      </c>
      <c r="I33" s="11">
        <v>80</v>
      </c>
      <c r="J33" s="11" t="s">
        <v>62</v>
      </c>
      <c r="K33" s="11">
        <v>70</v>
      </c>
    </row>
    <row r="34" spans="1:11" ht="43.2" x14ac:dyDescent="0.3">
      <c r="A34" s="1">
        <v>37</v>
      </c>
      <c r="B34" s="1">
        <v>2023</v>
      </c>
      <c r="C34" s="3">
        <v>44931</v>
      </c>
      <c r="D34" s="4" t="s">
        <v>38</v>
      </c>
      <c r="E34" s="5" t="s">
        <v>63</v>
      </c>
      <c r="F34" s="5" t="s">
        <v>40</v>
      </c>
      <c r="G34" s="7">
        <v>100</v>
      </c>
      <c r="H34" s="7">
        <v>90</v>
      </c>
      <c r="I34" s="7">
        <v>110</v>
      </c>
      <c r="J34" s="7">
        <v>100</v>
      </c>
      <c r="K34" s="7">
        <v>100</v>
      </c>
    </row>
    <row r="35" spans="1:11" ht="43.2" x14ac:dyDescent="0.3">
      <c r="A35" s="1">
        <v>37</v>
      </c>
      <c r="B35" s="1">
        <v>2023</v>
      </c>
      <c r="C35" s="3">
        <v>44931</v>
      </c>
      <c r="D35" s="8" t="s">
        <v>38</v>
      </c>
      <c r="E35" s="9" t="s">
        <v>64</v>
      </c>
      <c r="F35" s="9" t="s">
        <v>40</v>
      </c>
      <c r="G35" s="11">
        <v>80</v>
      </c>
      <c r="H35" s="11">
        <v>70</v>
      </c>
      <c r="I35" s="11">
        <v>100</v>
      </c>
      <c r="J35" s="11">
        <v>83</v>
      </c>
      <c r="K35" s="11">
        <v>80</v>
      </c>
    </row>
    <row r="36" spans="1:11" x14ac:dyDescent="0.3">
      <c r="A36" s="1">
        <v>37</v>
      </c>
      <c r="B36" s="1">
        <v>2023</v>
      </c>
      <c r="C36" s="3">
        <v>44931</v>
      </c>
      <c r="D36" s="4" t="s">
        <v>65</v>
      </c>
      <c r="E36" s="5" t="s">
        <v>66</v>
      </c>
      <c r="F36" s="5" t="s">
        <v>40</v>
      </c>
      <c r="G36" s="6"/>
      <c r="H36" s="6"/>
      <c r="I36" s="6"/>
      <c r="J36" s="6"/>
      <c r="K36" s="6"/>
    </row>
    <row r="37" spans="1:11" x14ac:dyDescent="0.3">
      <c r="A37" s="1">
        <v>37</v>
      </c>
      <c r="B37" s="1">
        <v>2023</v>
      </c>
      <c r="C37" s="3">
        <v>44931</v>
      </c>
      <c r="D37" s="8" t="s">
        <v>65</v>
      </c>
      <c r="E37" s="9" t="s">
        <v>67</v>
      </c>
      <c r="F37" s="9" t="s">
        <v>40</v>
      </c>
      <c r="G37" s="10"/>
      <c r="H37" s="10"/>
      <c r="I37" s="10"/>
      <c r="J37" s="10"/>
      <c r="K37" s="10"/>
    </row>
    <row r="38" spans="1:11" x14ac:dyDescent="0.3">
      <c r="A38" s="1">
        <v>37</v>
      </c>
      <c r="B38" s="1">
        <v>2023</v>
      </c>
      <c r="C38" s="3">
        <v>44931</v>
      </c>
      <c r="D38" s="4" t="s">
        <v>65</v>
      </c>
      <c r="E38" s="5" t="s">
        <v>68</v>
      </c>
      <c r="F38" s="5" t="s">
        <v>40</v>
      </c>
      <c r="G38" s="6"/>
      <c r="H38" s="6"/>
      <c r="I38" s="6"/>
      <c r="J38" s="6"/>
      <c r="K38" s="6"/>
    </row>
    <row r="39" spans="1:11" x14ac:dyDescent="0.3">
      <c r="A39" s="1">
        <v>37</v>
      </c>
      <c r="B39" s="1">
        <v>2023</v>
      </c>
      <c r="C39" s="3">
        <v>44931</v>
      </c>
      <c r="D39" s="8" t="s">
        <v>65</v>
      </c>
      <c r="E39" s="9" t="s">
        <v>69</v>
      </c>
      <c r="F39" s="9" t="s">
        <v>45</v>
      </c>
      <c r="G39" s="10"/>
      <c r="H39" s="10"/>
      <c r="I39" s="10"/>
      <c r="J39" s="10"/>
      <c r="K39" s="10"/>
    </row>
    <row r="40" spans="1:11" x14ac:dyDescent="0.3">
      <c r="A40" s="1">
        <v>37</v>
      </c>
      <c r="B40" s="1">
        <v>2023</v>
      </c>
      <c r="C40" s="3">
        <v>44931</v>
      </c>
      <c r="D40" s="4" t="s">
        <v>65</v>
      </c>
      <c r="E40" s="5" t="s">
        <v>70</v>
      </c>
      <c r="F40" s="5" t="s">
        <v>71</v>
      </c>
      <c r="G40" s="6"/>
      <c r="H40" s="6"/>
      <c r="I40" s="6"/>
      <c r="J40" s="6"/>
      <c r="K40" s="6"/>
    </row>
    <row r="41" spans="1:11" ht="28.8" x14ac:dyDescent="0.3">
      <c r="A41" s="1">
        <v>38</v>
      </c>
      <c r="B41" s="1">
        <v>2023</v>
      </c>
      <c r="C41" s="3">
        <v>44938</v>
      </c>
      <c r="D41" s="4" t="s">
        <v>11</v>
      </c>
      <c r="E41" s="5" t="s">
        <v>12</v>
      </c>
      <c r="F41" s="5" t="s">
        <v>13</v>
      </c>
      <c r="G41" s="7">
        <v>42</v>
      </c>
      <c r="H41" s="7">
        <v>42</v>
      </c>
      <c r="I41" s="7">
        <v>42</v>
      </c>
      <c r="J41" s="7">
        <v>42</v>
      </c>
      <c r="K41" s="7">
        <v>42</v>
      </c>
    </row>
    <row r="42" spans="1:11" ht="28.8" x14ac:dyDescent="0.3">
      <c r="A42" s="1">
        <v>38</v>
      </c>
      <c r="B42" s="1">
        <v>2023</v>
      </c>
      <c r="C42" s="3">
        <v>44938</v>
      </c>
      <c r="D42" s="8" t="s">
        <v>11</v>
      </c>
      <c r="E42" s="9" t="s">
        <v>14</v>
      </c>
      <c r="F42" s="9" t="s">
        <v>13</v>
      </c>
      <c r="G42" s="11">
        <v>60</v>
      </c>
      <c r="H42" s="11">
        <v>60</v>
      </c>
      <c r="I42" s="11">
        <v>60</v>
      </c>
      <c r="J42" s="11">
        <v>60</v>
      </c>
      <c r="K42" s="11">
        <v>60</v>
      </c>
    </row>
    <row r="43" spans="1:11" ht="28.8" x14ac:dyDescent="0.3">
      <c r="A43" s="1">
        <v>38</v>
      </c>
      <c r="B43" s="1">
        <v>2023</v>
      </c>
      <c r="C43" s="3">
        <v>44938</v>
      </c>
      <c r="D43" s="4" t="s">
        <v>11</v>
      </c>
      <c r="E43" s="5" t="s">
        <v>15</v>
      </c>
      <c r="F43" s="5" t="s">
        <v>13</v>
      </c>
      <c r="G43" s="7">
        <v>30</v>
      </c>
      <c r="H43" s="7">
        <v>30</v>
      </c>
      <c r="I43" s="7">
        <v>36</v>
      </c>
      <c r="J43" s="7">
        <v>32</v>
      </c>
      <c r="K43" s="7">
        <v>30</v>
      </c>
    </row>
    <row r="44" spans="1:11" ht="28.8" x14ac:dyDescent="0.3">
      <c r="A44" s="1">
        <v>38</v>
      </c>
      <c r="B44" s="1">
        <v>2023</v>
      </c>
      <c r="C44" s="3">
        <v>44938</v>
      </c>
      <c r="D44" s="8" t="s">
        <v>11</v>
      </c>
      <c r="E44" s="9" t="s">
        <v>16</v>
      </c>
      <c r="F44" s="9" t="s">
        <v>13</v>
      </c>
      <c r="G44" s="11">
        <v>24</v>
      </c>
      <c r="H44" s="11">
        <v>18</v>
      </c>
      <c r="I44" s="11">
        <v>24</v>
      </c>
      <c r="J44" s="11" t="s">
        <v>72</v>
      </c>
      <c r="K44" s="11">
        <v>22</v>
      </c>
    </row>
    <row r="45" spans="1:11" ht="28.8" x14ac:dyDescent="0.3">
      <c r="A45" s="1">
        <v>38</v>
      </c>
      <c r="B45" s="1">
        <v>2023</v>
      </c>
      <c r="C45" s="3">
        <v>44938</v>
      </c>
      <c r="D45" s="4" t="s">
        <v>11</v>
      </c>
      <c r="E45" s="5" t="s">
        <v>17</v>
      </c>
      <c r="F45" s="5" t="s">
        <v>13</v>
      </c>
      <c r="G45" s="6"/>
      <c r="H45" s="7">
        <v>15</v>
      </c>
      <c r="I45" s="7">
        <v>24</v>
      </c>
      <c r="J45" s="7">
        <v>19</v>
      </c>
      <c r="K45" s="7">
        <v>18</v>
      </c>
    </row>
    <row r="46" spans="1:11" ht="28.8" x14ac:dyDescent="0.3">
      <c r="A46" s="1">
        <v>38</v>
      </c>
      <c r="B46" s="1">
        <v>2023</v>
      </c>
      <c r="C46" s="3">
        <v>44938</v>
      </c>
      <c r="D46" s="8" t="s">
        <v>11</v>
      </c>
      <c r="E46" s="9" t="s">
        <v>18</v>
      </c>
      <c r="F46" s="9" t="s">
        <v>13</v>
      </c>
      <c r="G46" s="10"/>
      <c r="H46" s="11">
        <v>42</v>
      </c>
      <c r="I46" s="11">
        <v>48</v>
      </c>
      <c r="J46" s="11">
        <v>45</v>
      </c>
      <c r="K46" s="11">
        <v>45</v>
      </c>
    </row>
    <row r="47" spans="1:11" ht="28.8" x14ac:dyDescent="0.3">
      <c r="A47" s="1">
        <v>38</v>
      </c>
      <c r="B47" s="1">
        <v>2023</v>
      </c>
      <c r="C47" s="3">
        <v>44938</v>
      </c>
      <c r="D47" s="4" t="s">
        <v>11</v>
      </c>
      <c r="E47" s="5" t="s">
        <v>19</v>
      </c>
      <c r="F47" s="5" t="s">
        <v>13</v>
      </c>
      <c r="G47" s="6"/>
      <c r="H47" s="7">
        <v>66</v>
      </c>
      <c r="I47" s="7">
        <v>72</v>
      </c>
      <c r="J47" s="7">
        <v>69</v>
      </c>
      <c r="K47" s="7">
        <v>69</v>
      </c>
    </row>
    <row r="48" spans="1:11" ht="28.8" x14ac:dyDescent="0.3">
      <c r="A48" s="1">
        <v>38</v>
      </c>
      <c r="B48" s="1">
        <v>2023</v>
      </c>
      <c r="C48" s="3">
        <v>44938</v>
      </c>
      <c r="D48" s="8" t="s">
        <v>11</v>
      </c>
      <c r="E48" s="9" t="s">
        <v>20</v>
      </c>
      <c r="F48" s="9" t="s">
        <v>13</v>
      </c>
      <c r="G48" s="10"/>
      <c r="H48" s="11">
        <v>48</v>
      </c>
      <c r="I48" s="11">
        <v>72</v>
      </c>
      <c r="J48" s="11">
        <v>60</v>
      </c>
      <c r="K48" s="11">
        <v>60</v>
      </c>
    </row>
    <row r="49" spans="1:11" ht="28.8" x14ac:dyDescent="0.3">
      <c r="A49" s="1">
        <v>38</v>
      </c>
      <c r="B49" s="1">
        <v>2023</v>
      </c>
      <c r="C49" s="3">
        <v>44938</v>
      </c>
      <c r="D49" s="4" t="s">
        <v>11</v>
      </c>
      <c r="E49" s="5" t="s">
        <v>22</v>
      </c>
      <c r="F49" s="5"/>
      <c r="G49" s="6"/>
      <c r="H49" s="7">
        <v>15</v>
      </c>
      <c r="I49" s="7">
        <v>24</v>
      </c>
      <c r="J49" s="7">
        <v>19</v>
      </c>
      <c r="K49" s="7">
        <v>18</v>
      </c>
    </row>
    <row r="50" spans="1:11" ht="28.8" x14ac:dyDescent="0.3">
      <c r="A50" s="1">
        <v>38</v>
      </c>
      <c r="B50" s="1">
        <v>2023</v>
      </c>
      <c r="C50" s="3">
        <v>44938</v>
      </c>
      <c r="D50" s="8" t="s">
        <v>11</v>
      </c>
      <c r="E50" s="9" t="s">
        <v>73</v>
      </c>
      <c r="F50" s="9" t="s">
        <v>13</v>
      </c>
      <c r="G50" s="11">
        <v>60</v>
      </c>
      <c r="H50" s="11">
        <v>60</v>
      </c>
      <c r="I50" s="11">
        <v>66</v>
      </c>
      <c r="J50" s="11">
        <v>62</v>
      </c>
      <c r="K50" s="11">
        <v>60</v>
      </c>
    </row>
    <row r="51" spans="1:11" ht="28.8" x14ac:dyDescent="0.3">
      <c r="A51" s="1">
        <v>38</v>
      </c>
      <c r="B51" s="1">
        <v>2023</v>
      </c>
      <c r="C51" s="3">
        <v>44938</v>
      </c>
      <c r="D51" s="4" t="s">
        <v>11</v>
      </c>
      <c r="E51" s="5" t="s">
        <v>23</v>
      </c>
      <c r="F51" s="5" t="s">
        <v>13</v>
      </c>
      <c r="G51" s="6"/>
      <c r="H51" s="7">
        <v>15</v>
      </c>
      <c r="I51" s="7">
        <v>24</v>
      </c>
      <c r="J51" s="7">
        <v>19</v>
      </c>
      <c r="K51" s="7">
        <v>18</v>
      </c>
    </row>
    <row r="52" spans="1:11" ht="28.8" x14ac:dyDescent="0.3">
      <c r="A52" s="1">
        <v>38</v>
      </c>
      <c r="B52" s="1">
        <v>2023</v>
      </c>
      <c r="C52" s="3">
        <v>44938</v>
      </c>
      <c r="D52" s="8" t="s">
        <v>11</v>
      </c>
      <c r="E52" s="9" t="s">
        <v>24</v>
      </c>
      <c r="F52" s="9" t="s">
        <v>13</v>
      </c>
      <c r="G52" s="10"/>
      <c r="H52" s="11">
        <v>54</v>
      </c>
      <c r="I52" s="11">
        <v>60</v>
      </c>
      <c r="J52" s="11">
        <v>57</v>
      </c>
      <c r="K52" s="11">
        <v>57</v>
      </c>
    </row>
    <row r="53" spans="1:11" ht="28.8" x14ac:dyDescent="0.3">
      <c r="A53" s="1">
        <v>38</v>
      </c>
      <c r="B53" s="1">
        <v>2023</v>
      </c>
      <c r="C53" s="3">
        <v>44938</v>
      </c>
      <c r="D53" s="4" t="s">
        <v>11</v>
      </c>
      <c r="E53" s="5" t="s">
        <v>25</v>
      </c>
      <c r="F53" s="5" t="s">
        <v>26</v>
      </c>
      <c r="G53" s="6"/>
      <c r="H53" s="7">
        <v>54</v>
      </c>
      <c r="I53" s="7">
        <v>60</v>
      </c>
      <c r="J53" s="7">
        <v>57</v>
      </c>
      <c r="K53" s="7">
        <v>57</v>
      </c>
    </row>
    <row r="54" spans="1:11" ht="28.8" x14ac:dyDescent="0.3">
      <c r="A54" s="1">
        <v>38</v>
      </c>
      <c r="B54" s="1">
        <v>2023</v>
      </c>
      <c r="C54" s="3">
        <v>44938</v>
      </c>
      <c r="D54" s="8" t="s">
        <v>11</v>
      </c>
      <c r="E54" s="9" t="s">
        <v>27</v>
      </c>
      <c r="F54" s="9" t="s">
        <v>13</v>
      </c>
      <c r="G54" s="10"/>
      <c r="H54" s="11">
        <v>30</v>
      </c>
      <c r="I54" s="11">
        <v>60</v>
      </c>
      <c r="J54" s="11">
        <v>42</v>
      </c>
      <c r="K54" s="11">
        <v>36</v>
      </c>
    </row>
    <row r="55" spans="1:11" ht="28.8" x14ac:dyDescent="0.3">
      <c r="A55" s="1">
        <v>38</v>
      </c>
      <c r="B55" s="1">
        <v>2023</v>
      </c>
      <c r="C55" s="3">
        <v>44938</v>
      </c>
      <c r="D55" s="4" t="s">
        <v>11</v>
      </c>
      <c r="E55" s="5" t="s">
        <v>28</v>
      </c>
      <c r="F55" s="5" t="s">
        <v>13</v>
      </c>
      <c r="G55" s="6"/>
      <c r="H55" s="7">
        <v>20</v>
      </c>
      <c r="I55" s="7">
        <v>36</v>
      </c>
      <c r="J55" s="7">
        <v>27</v>
      </c>
      <c r="K55" s="7">
        <v>25</v>
      </c>
    </row>
    <row r="56" spans="1:11" ht="28.8" x14ac:dyDescent="0.3">
      <c r="A56" s="1">
        <v>38</v>
      </c>
      <c r="B56" s="1">
        <v>2023</v>
      </c>
      <c r="C56" s="3">
        <v>44938</v>
      </c>
      <c r="D56" s="8" t="s">
        <v>11</v>
      </c>
      <c r="E56" s="9" t="s">
        <v>29</v>
      </c>
      <c r="F56" s="9" t="s">
        <v>13</v>
      </c>
      <c r="G56" s="11">
        <v>42</v>
      </c>
      <c r="H56" s="11">
        <v>36</v>
      </c>
      <c r="I56" s="11">
        <v>42</v>
      </c>
      <c r="J56" s="11">
        <v>40</v>
      </c>
      <c r="K56" s="11">
        <v>42</v>
      </c>
    </row>
    <row r="57" spans="1:11" ht="28.8" x14ac:dyDescent="0.3">
      <c r="A57" s="1">
        <v>38</v>
      </c>
      <c r="B57" s="1">
        <v>2023</v>
      </c>
      <c r="C57" s="3">
        <v>44938</v>
      </c>
      <c r="D57" s="4" t="s">
        <v>30</v>
      </c>
      <c r="E57" s="5" t="s">
        <v>31</v>
      </c>
      <c r="F57" s="5" t="s">
        <v>32</v>
      </c>
      <c r="G57" s="7">
        <v>4</v>
      </c>
      <c r="H57" s="7" t="s">
        <v>74</v>
      </c>
      <c r="I57" s="7">
        <v>5</v>
      </c>
      <c r="J57" s="7" t="s">
        <v>75</v>
      </c>
      <c r="K57" s="7">
        <v>4</v>
      </c>
    </row>
    <row r="58" spans="1:11" ht="28.8" x14ac:dyDescent="0.3">
      <c r="A58" s="1">
        <v>38</v>
      </c>
      <c r="B58" s="1">
        <v>2023</v>
      </c>
      <c r="C58" s="3">
        <v>44938</v>
      </c>
      <c r="D58" s="8" t="s">
        <v>30</v>
      </c>
      <c r="E58" s="9" t="s">
        <v>34</v>
      </c>
      <c r="F58" s="9" t="s">
        <v>35</v>
      </c>
      <c r="G58" s="11">
        <v>20</v>
      </c>
      <c r="H58" s="11">
        <v>20</v>
      </c>
      <c r="I58" s="11">
        <v>25</v>
      </c>
      <c r="J58" s="11">
        <v>21</v>
      </c>
      <c r="K58" s="11">
        <v>20</v>
      </c>
    </row>
    <row r="59" spans="1:11" ht="28.8" x14ac:dyDescent="0.3">
      <c r="A59" s="1">
        <v>38</v>
      </c>
      <c r="B59" s="1">
        <v>2023</v>
      </c>
      <c r="C59" s="3">
        <v>44938</v>
      </c>
      <c r="D59" s="4" t="s">
        <v>30</v>
      </c>
      <c r="E59" s="5" t="s">
        <v>36</v>
      </c>
      <c r="F59" s="5" t="s">
        <v>35</v>
      </c>
      <c r="G59" s="7">
        <v>20</v>
      </c>
      <c r="H59" s="7">
        <v>20</v>
      </c>
      <c r="I59" s="7">
        <v>25</v>
      </c>
      <c r="J59" s="7" t="s">
        <v>37</v>
      </c>
      <c r="K59" s="7" t="s">
        <v>37</v>
      </c>
    </row>
    <row r="60" spans="1:11" ht="43.2" x14ac:dyDescent="0.3">
      <c r="A60" s="1">
        <v>38</v>
      </c>
      <c r="B60" s="1">
        <v>2023</v>
      </c>
      <c r="C60" s="3">
        <v>44938</v>
      </c>
      <c r="D60" s="8" t="s">
        <v>38</v>
      </c>
      <c r="E60" s="9" t="s">
        <v>39</v>
      </c>
      <c r="F60" s="9" t="s">
        <v>40</v>
      </c>
      <c r="G60" s="11">
        <v>100</v>
      </c>
      <c r="H60" s="11">
        <v>80</v>
      </c>
      <c r="I60" s="11">
        <v>100</v>
      </c>
      <c r="J60" s="11" t="s">
        <v>76</v>
      </c>
      <c r="K60" s="11">
        <v>100</v>
      </c>
    </row>
    <row r="61" spans="1:11" ht="43.2" x14ac:dyDescent="0.3">
      <c r="A61" s="1">
        <v>38</v>
      </c>
      <c r="B61" s="1">
        <v>2023</v>
      </c>
      <c r="C61" s="3">
        <v>44938</v>
      </c>
      <c r="D61" s="4" t="s">
        <v>38</v>
      </c>
      <c r="E61" s="5" t="s">
        <v>77</v>
      </c>
      <c r="F61" s="5"/>
      <c r="G61" s="6"/>
      <c r="H61" s="7">
        <v>40</v>
      </c>
      <c r="I61" s="7">
        <v>65</v>
      </c>
      <c r="J61" s="7" t="s">
        <v>78</v>
      </c>
      <c r="K61" s="7" t="s">
        <v>78</v>
      </c>
    </row>
    <row r="62" spans="1:11" ht="43.2" x14ac:dyDescent="0.3">
      <c r="A62" s="1">
        <v>38</v>
      </c>
      <c r="B62" s="1">
        <v>2023</v>
      </c>
      <c r="C62" s="3">
        <v>44938</v>
      </c>
      <c r="D62" s="8" t="s">
        <v>38</v>
      </c>
      <c r="E62" s="9" t="s">
        <v>44</v>
      </c>
      <c r="F62" s="9" t="s">
        <v>45</v>
      </c>
      <c r="G62" s="11">
        <v>50</v>
      </c>
      <c r="H62" s="11">
        <v>45</v>
      </c>
      <c r="I62" s="11">
        <v>55</v>
      </c>
      <c r="J62" s="11">
        <v>50</v>
      </c>
      <c r="K62" s="11">
        <v>50</v>
      </c>
    </row>
    <row r="63" spans="1:11" ht="43.2" x14ac:dyDescent="0.3">
      <c r="A63" s="1">
        <v>38</v>
      </c>
      <c r="B63" s="1">
        <v>2023</v>
      </c>
      <c r="C63" s="3">
        <v>44938</v>
      </c>
      <c r="D63" s="4" t="s">
        <v>38</v>
      </c>
      <c r="E63" s="5" t="s">
        <v>48</v>
      </c>
      <c r="F63" s="5" t="s">
        <v>45</v>
      </c>
      <c r="G63" s="6"/>
      <c r="H63" s="6"/>
      <c r="I63" s="6"/>
      <c r="J63" s="6"/>
      <c r="K63" s="6"/>
    </row>
    <row r="64" spans="1:11" ht="43.2" x14ac:dyDescent="0.3">
      <c r="A64" s="1">
        <v>38</v>
      </c>
      <c r="B64" s="1">
        <v>2023</v>
      </c>
      <c r="C64" s="3">
        <v>44938</v>
      </c>
      <c r="D64" s="8" t="s">
        <v>38</v>
      </c>
      <c r="E64" s="9" t="s">
        <v>49</v>
      </c>
      <c r="F64" s="9" t="s">
        <v>50</v>
      </c>
      <c r="G64" s="11">
        <v>50</v>
      </c>
      <c r="H64" s="11">
        <v>50</v>
      </c>
      <c r="I64" s="11">
        <v>60</v>
      </c>
      <c r="J64" s="11">
        <v>55</v>
      </c>
      <c r="K64" s="11">
        <v>55</v>
      </c>
    </row>
    <row r="65" spans="1:11" ht="43.2" x14ac:dyDescent="0.3">
      <c r="A65" s="1">
        <v>38</v>
      </c>
      <c r="B65" s="1">
        <v>2023</v>
      </c>
      <c r="C65" s="3">
        <v>44938</v>
      </c>
      <c r="D65" s="4" t="s">
        <v>38</v>
      </c>
      <c r="E65" s="5" t="s">
        <v>52</v>
      </c>
      <c r="F65" s="5" t="s">
        <v>43</v>
      </c>
      <c r="G65" s="7">
        <v>50</v>
      </c>
      <c r="H65" s="7">
        <v>40</v>
      </c>
      <c r="I65" s="7">
        <v>75</v>
      </c>
      <c r="J65" s="7" t="s">
        <v>55</v>
      </c>
      <c r="K65" s="7" t="s">
        <v>78</v>
      </c>
    </row>
    <row r="66" spans="1:11" ht="43.2" x14ac:dyDescent="0.3">
      <c r="A66" s="1">
        <v>38</v>
      </c>
      <c r="B66" s="1">
        <v>2023</v>
      </c>
      <c r="C66" s="3">
        <v>44938</v>
      </c>
      <c r="D66" s="8" t="s">
        <v>38</v>
      </c>
      <c r="E66" s="9" t="s">
        <v>53</v>
      </c>
      <c r="F66" s="9" t="s">
        <v>43</v>
      </c>
      <c r="G66" s="11">
        <v>70</v>
      </c>
      <c r="H66" s="11">
        <v>50</v>
      </c>
      <c r="I66" s="11">
        <v>90</v>
      </c>
      <c r="J66" s="11" t="s">
        <v>79</v>
      </c>
      <c r="K66" s="11">
        <v>70</v>
      </c>
    </row>
    <row r="67" spans="1:11" ht="43.2" x14ac:dyDescent="0.3">
      <c r="A67" s="1">
        <v>38</v>
      </c>
      <c r="B67" s="1">
        <v>2023</v>
      </c>
      <c r="C67" s="3">
        <v>44938</v>
      </c>
      <c r="D67" s="4" t="s">
        <v>38</v>
      </c>
      <c r="E67" s="5" t="s">
        <v>54</v>
      </c>
      <c r="F67" s="5" t="s">
        <v>40</v>
      </c>
      <c r="G67" s="6"/>
      <c r="H67" s="7">
        <v>60</v>
      </c>
      <c r="I67" s="7">
        <v>65</v>
      </c>
      <c r="J67" s="7" t="s">
        <v>80</v>
      </c>
      <c r="K67" s="7" t="s">
        <v>80</v>
      </c>
    </row>
    <row r="68" spans="1:11" ht="43.2" x14ac:dyDescent="0.3">
      <c r="A68" s="1">
        <v>38</v>
      </c>
      <c r="B68" s="1">
        <v>2023</v>
      </c>
      <c r="C68" s="3">
        <v>44938</v>
      </c>
      <c r="D68" s="8" t="s">
        <v>38</v>
      </c>
      <c r="E68" s="9" t="s">
        <v>56</v>
      </c>
      <c r="F68" s="9" t="s">
        <v>43</v>
      </c>
      <c r="G68" s="10"/>
      <c r="H68" s="11">
        <v>60</v>
      </c>
      <c r="I68" s="11">
        <v>65</v>
      </c>
      <c r="J68" s="11" t="s">
        <v>80</v>
      </c>
      <c r="K68" s="11" t="s">
        <v>80</v>
      </c>
    </row>
    <row r="69" spans="1:11" ht="43.2" x14ac:dyDescent="0.3">
      <c r="A69" s="1">
        <v>38</v>
      </c>
      <c r="B69" s="1">
        <v>2023</v>
      </c>
      <c r="C69" s="3">
        <v>44938</v>
      </c>
      <c r="D69" s="4" t="s">
        <v>38</v>
      </c>
      <c r="E69" s="5" t="s">
        <v>57</v>
      </c>
      <c r="F69" s="5" t="s">
        <v>40</v>
      </c>
      <c r="G69" s="7">
        <v>60</v>
      </c>
      <c r="H69" s="7">
        <v>50</v>
      </c>
      <c r="I69" s="7">
        <v>60</v>
      </c>
      <c r="J69" s="7" t="s">
        <v>41</v>
      </c>
      <c r="K69" s="7">
        <v>60</v>
      </c>
    </row>
    <row r="70" spans="1:11" ht="43.2" x14ac:dyDescent="0.3">
      <c r="A70" s="1">
        <v>38</v>
      </c>
      <c r="B70" s="1">
        <v>2023</v>
      </c>
      <c r="C70" s="3">
        <v>44938</v>
      </c>
      <c r="D70" s="8" t="s">
        <v>38</v>
      </c>
      <c r="E70" s="9" t="s">
        <v>58</v>
      </c>
      <c r="F70" s="9" t="s">
        <v>40</v>
      </c>
      <c r="G70" s="11">
        <v>70</v>
      </c>
      <c r="H70" s="11">
        <v>70</v>
      </c>
      <c r="I70" s="11">
        <v>80</v>
      </c>
      <c r="J70" s="11">
        <v>73</v>
      </c>
      <c r="K70" s="11">
        <v>70</v>
      </c>
    </row>
    <row r="71" spans="1:11" ht="43.2" x14ac:dyDescent="0.3">
      <c r="A71" s="1">
        <v>38</v>
      </c>
      <c r="B71" s="1">
        <v>2023</v>
      </c>
      <c r="C71" s="3">
        <v>44938</v>
      </c>
      <c r="D71" s="4" t="s">
        <v>38</v>
      </c>
      <c r="E71" s="5" t="s">
        <v>59</v>
      </c>
      <c r="F71" s="5" t="s">
        <v>45</v>
      </c>
      <c r="G71" s="7">
        <v>40</v>
      </c>
      <c r="H71" s="7">
        <v>30</v>
      </c>
      <c r="I71" s="7">
        <v>50</v>
      </c>
      <c r="J71" s="7" t="s">
        <v>81</v>
      </c>
      <c r="K71" s="7">
        <v>40</v>
      </c>
    </row>
    <row r="72" spans="1:11" ht="43.2" x14ac:dyDescent="0.3">
      <c r="A72" s="1">
        <v>38</v>
      </c>
      <c r="B72" s="1">
        <v>2023</v>
      </c>
      <c r="C72" s="3">
        <v>44938</v>
      </c>
      <c r="D72" s="8" t="s">
        <v>38</v>
      </c>
      <c r="E72" s="9" t="s">
        <v>60</v>
      </c>
      <c r="F72" s="9" t="s">
        <v>61</v>
      </c>
      <c r="G72" s="11">
        <v>70</v>
      </c>
      <c r="H72" s="11">
        <v>70</v>
      </c>
      <c r="I72" s="11">
        <v>130</v>
      </c>
      <c r="J72" s="11" t="s">
        <v>82</v>
      </c>
      <c r="K72" s="11">
        <v>110</v>
      </c>
    </row>
    <row r="73" spans="1:11" ht="43.2" x14ac:dyDescent="0.3">
      <c r="A73" s="1">
        <v>38</v>
      </c>
      <c r="B73" s="1">
        <v>2023</v>
      </c>
      <c r="C73" s="3">
        <v>44938</v>
      </c>
      <c r="D73" s="4" t="s">
        <v>38</v>
      </c>
      <c r="E73" s="5" t="s">
        <v>63</v>
      </c>
      <c r="F73" s="5" t="s">
        <v>40</v>
      </c>
      <c r="G73" s="7">
        <v>90</v>
      </c>
      <c r="H73" s="7">
        <v>80</v>
      </c>
      <c r="I73" s="7">
        <v>100</v>
      </c>
      <c r="J73" s="7">
        <v>92</v>
      </c>
      <c r="K73" s="7">
        <v>90</v>
      </c>
    </row>
    <row r="74" spans="1:11" ht="43.2" x14ac:dyDescent="0.3">
      <c r="A74" s="1">
        <v>38</v>
      </c>
      <c r="B74" s="1">
        <v>2023</v>
      </c>
      <c r="C74" s="3">
        <v>44938</v>
      </c>
      <c r="D74" s="8" t="s">
        <v>38</v>
      </c>
      <c r="E74" s="9" t="s">
        <v>64</v>
      </c>
      <c r="F74" s="9" t="s">
        <v>40</v>
      </c>
      <c r="G74" s="11">
        <v>100</v>
      </c>
      <c r="H74" s="11">
        <v>100</v>
      </c>
      <c r="I74" s="11">
        <v>130</v>
      </c>
      <c r="J74" s="11">
        <v>108</v>
      </c>
      <c r="K74" s="11">
        <v>100</v>
      </c>
    </row>
    <row r="75" spans="1:11" x14ac:dyDescent="0.3">
      <c r="A75" s="1">
        <v>38</v>
      </c>
      <c r="B75" s="1">
        <v>2023</v>
      </c>
      <c r="C75" s="3">
        <v>44938</v>
      </c>
      <c r="D75" s="4" t="s">
        <v>65</v>
      </c>
      <c r="E75" s="5" t="s">
        <v>66</v>
      </c>
      <c r="F75" s="5" t="s">
        <v>40</v>
      </c>
      <c r="G75" s="6"/>
      <c r="H75" s="6"/>
      <c r="I75" s="6"/>
      <c r="J75" s="6"/>
      <c r="K75" s="6"/>
    </row>
    <row r="76" spans="1:11" x14ac:dyDescent="0.3">
      <c r="A76" s="1">
        <v>38</v>
      </c>
      <c r="B76" s="1">
        <v>2023</v>
      </c>
      <c r="C76" s="3">
        <v>44938</v>
      </c>
      <c r="D76" s="8" t="s">
        <v>65</v>
      </c>
      <c r="E76" s="9" t="s">
        <v>67</v>
      </c>
      <c r="F76" s="9" t="s">
        <v>40</v>
      </c>
      <c r="G76" s="10"/>
      <c r="H76" s="10"/>
      <c r="I76" s="10"/>
      <c r="J76" s="10"/>
      <c r="K76" s="10"/>
    </row>
    <row r="77" spans="1:11" x14ac:dyDescent="0.3">
      <c r="A77" s="1">
        <v>38</v>
      </c>
      <c r="B77" s="1">
        <v>2023</v>
      </c>
      <c r="C77" s="3">
        <v>44938</v>
      </c>
      <c r="D77" s="4" t="s">
        <v>65</v>
      </c>
      <c r="E77" s="5" t="s">
        <v>68</v>
      </c>
      <c r="F77" s="5" t="s">
        <v>40</v>
      </c>
      <c r="G77" s="6"/>
      <c r="H77" s="6"/>
      <c r="I77" s="6"/>
      <c r="J77" s="6"/>
      <c r="K77" s="6"/>
    </row>
    <row r="78" spans="1:11" x14ac:dyDescent="0.3">
      <c r="A78" s="1">
        <v>38</v>
      </c>
      <c r="B78" s="1">
        <v>2023</v>
      </c>
      <c r="C78" s="3">
        <v>44938</v>
      </c>
      <c r="D78" s="8" t="s">
        <v>65</v>
      </c>
      <c r="E78" s="9" t="s">
        <v>69</v>
      </c>
      <c r="F78" s="9" t="s">
        <v>45</v>
      </c>
      <c r="G78" s="10"/>
      <c r="H78" s="11">
        <v>28</v>
      </c>
      <c r="I78" s="11">
        <v>28</v>
      </c>
      <c r="J78" s="11">
        <v>28</v>
      </c>
      <c r="K78" s="11">
        <v>28</v>
      </c>
    </row>
    <row r="79" spans="1:11" x14ac:dyDescent="0.3">
      <c r="A79" s="1">
        <v>38</v>
      </c>
      <c r="B79" s="1">
        <v>2023</v>
      </c>
      <c r="C79" s="3">
        <v>44938</v>
      </c>
      <c r="D79" s="4" t="s">
        <v>65</v>
      </c>
      <c r="E79" s="5" t="s">
        <v>70</v>
      </c>
      <c r="F79" s="5" t="s">
        <v>71</v>
      </c>
      <c r="G79" s="6"/>
      <c r="H79" s="6"/>
      <c r="I79" s="6"/>
      <c r="J79" s="6"/>
      <c r="K79" s="6"/>
    </row>
    <row r="80" spans="1:11" ht="28.8" x14ac:dyDescent="0.3">
      <c r="A80" s="1">
        <v>39</v>
      </c>
      <c r="B80" s="1">
        <v>2023</v>
      </c>
      <c r="C80" s="3">
        <v>44945</v>
      </c>
      <c r="D80" s="4" t="s">
        <v>11</v>
      </c>
      <c r="E80" s="5" t="s">
        <v>12</v>
      </c>
      <c r="F80" s="5" t="s">
        <v>13</v>
      </c>
      <c r="G80" s="7">
        <v>42</v>
      </c>
      <c r="H80" s="7">
        <v>42</v>
      </c>
      <c r="I80" s="7">
        <v>42</v>
      </c>
      <c r="J80" s="7">
        <v>42</v>
      </c>
      <c r="K80" s="7">
        <v>42</v>
      </c>
    </row>
    <row r="81" spans="1:11" ht="28.8" x14ac:dyDescent="0.3">
      <c r="A81" s="1">
        <v>39</v>
      </c>
      <c r="B81" s="1">
        <v>2023</v>
      </c>
      <c r="C81" s="3">
        <v>44945</v>
      </c>
      <c r="D81" s="8" t="s">
        <v>11</v>
      </c>
      <c r="E81" s="9" t="s">
        <v>14</v>
      </c>
      <c r="F81" s="9" t="s">
        <v>13</v>
      </c>
      <c r="G81" s="11">
        <v>60</v>
      </c>
      <c r="H81" s="11">
        <v>60</v>
      </c>
      <c r="I81" s="11">
        <v>60</v>
      </c>
      <c r="J81" s="11">
        <v>60</v>
      </c>
      <c r="K81" s="11">
        <v>60</v>
      </c>
    </row>
    <row r="82" spans="1:11" ht="28.8" x14ac:dyDescent="0.3">
      <c r="A82" s="1">
        <v>39</v>
      </c>
      <c r="B82" s="1">
        <v>2023</v>
      </c>
      <c r="C82" s="3">
        <v>44945</v>
      </c>
      <c r="D82" s="4" t="s">
        <v>11</v>
      </c>
      <c r="E82" s="5" t="s">
        <v>15</v>
      </c>
      <c r="F82" s="5" t="s">
        <v>13</v>
      </c>
      <c r="G82" s="7">
        <v>30</v>
      </c>
      <c r="H82" s="7">
        <v>30</v>
      </c>
      <c r="I82" s="7">
        <v>42</v>
      </c>
      <c r="J82" s="7">
        <v>34</v>
      </c>
      <c r="K82" s="7">
        <v>30</v>
      </c>
    </row>
    <row r="83" spans="1:11" ht="28.8" x14ac:dyDescent="0.3">
      <c r="A83" s="1">
        <v>39</v>
      </c>
      <c r="B83" s="1">
        <v>2023</v>
      </c>
      <c r="C83" s="3">
        <v>44945</v>
      </c>
      <c r="D83" s="8" t="s">
        <v>11</v>
      </c>
      <c r="E83" s="9" t="s">
        <v>16</v>
      </c>
      <c r="F83" s="9" t="s">
        <v>13</v>
      </c>
      <c r="G83" s="11">
        <v>24</v>
      </c>
      <c r="H83" s="11">
        <v>20</v>
      </c>
      <c r="I83" s="11">
        <v>24</v>
      </c>
      <c r="J83" s="11" t="s">
        <v>37</v>
      </c>
      <c r="K83" s="11">
        <v>23</v>
      </c>
    </row>
    <row r="84" spans="1:11" ht="28.8" x14ac:dyDescent="0.3">
      <c r="A84" s="1">
        <v>39</v>
      </c>
      <c r="B84" s="1">
        <v>2023</v>
      </c>
      <c r="C84" s="3">
        <v>44945</v>
      </c>
      <c r="D84" s="4" t="s">
        <v>11</v>
      </c>
      <c r="E84" s="5" t="s">
        <v>17</v>
      </c>
      <c r="F84" s="5" t="s">
        <v>13</v>
      </c>
      <c r="G84" s="6"/>
      <c r="H84" s="7">
        <v>18</v>
      </c>
      <c r="I84" s="7">
        <v>24</v>
      </c>
      <c r="J84" s="7">
        <v>21</v>
      </c>
      <c r="K84" s="7">
        <v>21</v>
      </c>
    </row>
    <row r="85" spans="1:11" ht="28.8" x14ac:dyDescent="0.3">
      <c r="A85" s="1">
        <v>39</v>
      </c>
      <c r="B85" s="1">
        <v>2023</v>
      </c>
      <c r="C85" s="3">
        <v>44945</v>
      </c>
      <c r="D85" s="8" t="s">
        <v>11</v>
      </c>
      <c r="E85" s="9" t="s">
        <v>18</v>
      </c>
      <c r="F85" s="9" t="s">
        <v>13</v>
      </c>
      <c r="G85" s="10"/>
      <c r="H85" s="11">
        <v>24</v>
      </c>
      <c r="I85" s="11">
        <v>48</v>
      </c>
      <c r="J85" s="11">
        <v>38</v>
      </c>
      <c r="K85" s="11">
        <v>42</v>
      </c>
    </row>
    <row r="86" spans="1:11" ht="28.8" x14ac:dyDescent="0.3">
      <c r="A86" s="1">
        <v>39</v>
      </c>
      <c r="B86" s="1">
        <v>2023</v>
      </c>
      <c r="C86" s="3">
        <v>44945</v>
      </c>
      <c r="D86" s="4" t="s">
        <v>11</v>
      </c>
      <c r="E86" s="5" t="s">
        <v>19</v>
      </c>
      <c r="F86" s="5" t="s">
        <v>13</v>
      </c>
      <c r="G86" s="6"/>
      <c r="H86" s="7">
        <v>72</v>
      </c>
      <c r="I86" s="7">
        <v>78</v>
      </c>
      <c r="J86" s="7">
        <v>75</v>
      </c>
      <c r="K86" s="7">
        <v>75</v>
      </c>
    </row>
    <row r="87" spans="1:11" ht="28.8" x14ac:dyDescent="0.3">
      <c r="A87" s="1">
        <v>39</v>
      </c>
      <c r="B87" s="1">
        <v>2023</v>
      </c>
      <c r="C87" s="3">
        <v>44945</v>
      </c>
      <c r="D87" s="8" t="s">
        <v>11</v>
      </c>
      <c r="E87" s="9" t="s">
        <v>20</v>
      </c>
      <c r="F87" s="9" t="s">
        <v>13</v>
      </c>
      <c r="G87" s="10"/>
      <c r="H87" s="11">
        <v>50</v>
      </c>
      <c r="I87" s="11">
        <v>84</v>
      </c>
      <c r="J87" s="11" t="s">
        <v>83</v>
      </c>
      <c r="K87" s="11">
        <v>60</v>
      </c>
    </row>
    <row r="88" spans="1:11" ht="28.8" x14ac:dyDescent="0.3">
      <c r="A88" s="1">
        <v>39</v>
      </c>
      <c r="B88" s="1">
        <v>2023</v>
      </c>
      <c r="C88" s="3">
        <v>44945</v>
      </c>
      <c r="D88" s="4" t="s">
        <v>11</v>
      </c>
      <c r="E88" s="5" t="s">
        <v>21</v>
      </c>
      <c r="F88" s="5" t="s">
        <v>13</v>
      </c>
      <c r="G88" s="7">
        <v>18</v>
      </c>
      <c r="H88" s="7">
        <v>18</v>
      </c>
      <c r="I88" s="7">
        <v>24</v>
      </c>
      <c r="J88" s="7">
        <v>20</v>
      </c>
      <c r="K88" s="7">
        <v>18</v>
      </c>
    </row>
    <row r="89" spans="1:11" ht="28.8" x14ac:dyDescent="0.3">
      <c r="A89" s="1">
        <v>39</v>
      </c>
      <c r="B89" s="1">
        <v>2023</v>
      </c>
      <c r="C89" s="3">
        <v>44945</v>
      </c>
      <c r="D89" s="8" t="s">
        <v>11</v>
      </c>
      <c r="E89" s="9" t="s">
        <v>22</v>
      </c>
      <c r="F89" s="9"/>
      <c r="G89" s="10"/>
      <c r="H89" s="11">
        <v>55</v>
      </c>
      <c r="I89" s="11">
        <v>80</v>
      </c>
      <c r="J89" s="11" t="s">
        <v>84</v>
      </c>
      <c r="K89" s="11" t="s">
        <v>84</v>
      </c>
    </row>
    <row r="90" spans="1:11" ht="28.8" x14ac:dyDescent="0.3">
      <c r="A90" s="1">
        <v>39</v>
      </c>
      <c r="B90" s="1">
        <v>2023</v>
      </c>
      <c r="C90" s="3">
        <v>44945</v>
      </c>
      <c r="D90" s="4" t="s">
        <v>11</v>
      </c>
      <c r="E90" s="5" t="s">
        <v>23</v>
      </c>
      <c r="F90" s="5" t="s">
        <v>13</v>
      </c>
      <c r="G90" s="6"/>
      <c r="H90" s="7">
        <v>18</v>
      </c>
      <c r="I90" s="7">
        <v>24</v>
      </c>
      <c r="J90" s="7">
        <v>21</v>
      </c>
      <c r="K90" s="7">
        <v>21</v>
      </c>
    </row>
    <row r="91" spans="1:11" ht="28.8" x14ac:dyDescent="0.3">
      <c r="A91" s="1">
        <v>39</v>
      </c>
      <c r="B91" s="1">
        <v>2023</v>
      </c>
      <c r="C91" s="3">
        <v>44945</v>
      </c>
      <c r="D91" s="8" t="s">
        <v>11</v>
      </c>
      <c r="E91" s="9" t="s">
        <v>24</v>
      </c>
      <c r="F91" s="9" t="s">
        <v>13</v>
      </c>
      <c r="G91" s="11">
        <v>60</v>
      </c>
      <c r="H91" s="11">
        <v>60</v>
      </c>
      <c r="I91" s="11">
        <v>60</v>
      </c>
      <c r="J91" s="11">
        <v>60</v>
      </c>
      <c r="K91" s="11">
        <v>60</v>
      </c>
    </row>
    <row r="92" spans="1:11" ht="28.8" x14ac:dyDescent="0.3">
      <c r="A92" s="1">
        <v>39</v>
      </c>
      <c r="B92" s="1">
        <v>2023</v>
      </c>
      <c r="C92" s="3">
        <v>44945</v>
      </c>
      <c r="D92" s="4" t="s">
        <v>11</v>
      </c>
      <c r="E92" s="5" t="s">
        <v>25</v>
      </c>
      <c r="F92" s="5" t="s">
        <v>26</v>
      </c>
      <c r="G92" s="6"/>
      <c r="H92" s="7">
        <v>48</v>
      </c>
      <c r="I92" s="7">
        <v>60</v>
      </c>
      <c r="J92" s="7">
        <v>54</v>
      </c>
      <c r="K92" s="7">
        <v>54</v>
      </c>
    </row>
    <row r="93" spans="1:11" ht="28.8" x14ac:dyDescent="0.3">
      <c r="A93" s="1">
        <v>39</v>
      </c>
      <c r="B93" s="1">
        <v>2023</v>
      </c>
      <c r="C93" s="3">
        <v>44945</v>
      </c>
      <c r="D93" s="8" t="s">
        <v>11</v>
      </c>
      <c r="E93" s="9" t="s">
        <v>27</v>
      </c>
      <c r="F93" s="9" t="s">
        <v>13</v>
      </c>
      <c r="G93" s="10"/>
      <c r="H93" s="11">
        <v>42</v>
      </c>
      <c r="I93" s="11">
        <v>66</v>
      </c>
      <c r="J93" s="11">
        <v>54</v>
      </c>
      <c r="K93" s="11">
        <v>54</v>
      </c>
    </row>
    <row r="94" spans="1:11" ht="28.8" x14ac:dyDescent="0.3">
      <c r="A94" s="1">
        <v>39</v>
      </c>
      <c r="B94" s="1">
        <v>2023</v>
      </c>
      <c r="C94" s="3">
        <v>44945</v>
      </c>
      <c r="D94" s="4" t="s">
        <v>11</v>
      </c>
      <c r="E94" s="5" t="s">
        <v>28</v>
      </c>
      <c r="F94" s="5" t="s">
        <v>13</v>
      </c>
      <c r="G94" s="7">
        <v>30</v>
      </c>
      <c r="H94" s="7">
        <v>25</v>
      </c>
      <c r="I94" s="7">
        <v>30</v>
      </c>
      <c r="J94" s="7" t="s">
        <v>85</v>
      </c>
      <c r="K94" s="7">
        <v>30</v>
      </c>
    </row>
    <row r="95" spans="1:11" ht="28.8" x14ac:dyDescent="0.3">
      <c r="A95" s="1">
        <v>39</v>
      </c>
      <c r="B95" s="1">
        <v>2023</v>
      </c>
      <c r="C95" s="3">
        <v>44945</v>
      </c>
      <c r="D95" s="8" t="s">
        <v>11</v>
      </c>
      <c r="E95" s="9" t="s">
        <v>29</v>
      </c>
      <c r="F95" s="9" t="s">
        <v>13</v>
      </c>
      <c r="G95" s="11">
        <v>42</v>
      </c>
      <c r="H95" s="11">
        <v>30</v>
      </c>
      <c r="I95" s="11">
        <v>42</v>
      </c>
      <c r="J95" s="11" t="s">
        <v>86</v>
      </c>
      <c r="K95" s="11">
        <v>39</v>
      </c>
    </row>
    <row r="96" spans="1:11" ht="28.8" x14ac:dyDescent="0.3">
      <c r="A96" s="1">
        <v>39</v>
      </c>
      <c r="B96" s="1">
        <v>2023</v>
      </c>
      <c r="C96" s="3">
        <v>44945</v>
      </c>
      <c r="D96" s="4" t="s">
        <v>30</v>
      </c>
      <c r="E96" s="5" t="s">
        <v>31</v>
      </c>
      <c r="F96" s="5" t="s">
        <v>32</v>
      </c>
      <c r="G96" s="7">
        <v>4</v>
      </c>
      <c r="H96" s="7">
        <v>4</v>
      </c>
      <c r="I96" s="7">
        <v>5</v>
      </c>
      <c r="J96" s="7" t="s">
        <v>87</v>
      </c>
      <c r="K96" s="7">
        <v>4</v>
      </c>
    </row>
    <row r="97" spans="1:11" ht="28.8" x14ac:dyDescent="0.3">
      <c r="A97" s="1">
        <v>39</v>
      </c>
      <c r="B97" s="1">
        <v>2023</v>
      </c>
      <c r="C97" s="3">
        <v>44945</v>
      </c>
      <c r="D97" s="8" t="s">
        <v>30</v>
      </c>
      <c r="E97" s="9" t="s">
        <v>34</v>
      </c>
      <c r="F97" s="9" t="s">
        <v>35</v>
      </c>
      <c r="G97" s="11">
        <v>20</v>
      </c>
      <c r="H97" s="11">
        <v>20</v>
      </c>
      <c r="I97" s="11">
        <v>22</v>
      </c>
      <c r="J97" s="11" t="s">
        <v>88</v>
      </c>
      <c r="K97" s="11">
        <v>20</v>
      </c>
    </row>
    <row r="98" spans="1:11" ht="28.8" x14ac:dyDescent="0.3">
      <c r="A98" s="1">
        <v>39</v>
      </c>
      <c r="B98" s="1">
        <v>2023</v>
      </c>
      <c r="C98" s="3">
        <v>44945</v>
      </c>
      <c r="D98" s="4" t="s">
        <v>30</v>
      </c>
      <c r="E98" s="5" t="s">
        <v>36</v>
      </c>
      <c r="F98" s="5" t="s">
        <v>35</v>
      </c>
      <c r="G98" s="7">
        <v>25</v>
      </c>
      <c r="H98" s="7">
        <v>25</v>
      </c>
      <c r="I98" s="7">
        <v>25</v>
      </c>
      <c r="J98" s="7">
        <v>25</v>
      </c>
      <c r="K98" s="7">
        <v>25</v>
      </c>
    </row>
    <row r="99" spans="1:11" ht="43.2" x14ac:dyDescent="0.3">
      <c r="A99" s="1">
        <v>39</v>
      </c>
      <c r="B99" s="1">
        <v>2023</v>
      </c>
      <c r="C99" s="3">
        <v>44945</v>
      </c>
      <c r="D99" s="8" t="s">
        <v>38</v>
      </c>
      <c r="E99" s="9" t="s">
        <v>39</v>
      </c>
      <c r="F99" s="9" t="s">
        <v>40</v>
      </c>
      <c r="G99" s="11">
        <v>60</v>
      </c>
      <c r="H99" s="11">
        <v>40</v>
      </c>
      <c r="I99" s="11">
        <v>60</v>
      </c>
      <c r="J99" s="11">
        <v>52</v>
      </c>
      <c r="K99" s="11">
        <v>55</v>
      </c>
    </row>
    <row r="100" spans="1:11" ht="43.2" x14ac:dyDescent="0.3">
      <c r="A100" s="1">
        <v>39</v>
      </c>
      <c r="B100" s="1">
        <v>2023</v>
      </c>
      <c r="C100" s="3">
        <v>44945</v>
      </c>
      <c r="D100" s="4" t="s">
        <v>38</v>
      </c>
      <c r="E100" s="5" t="s">
        <v>42</v>
      </c>
      <c r="F100" s="5" t="s">
        <v>43</v>
      </c>
      <c r="G100" s="7">
        <v>50</v>
      </c>
      <c r="H100" s="7">
        <v>50</v>
      </c>
      <c r="I100" s="7">
        <v>65</v>
      </c>
      <c r="J100" s="7" t="s">
        <v>89</v>
      </c>
      <c r="K100" s="7">
        <v>55</v>
      </c>
    </row>
    <row r="101" spans="1:11" ht="43.2" x14ac:dyDescent="0.3">
      <c r="A101" s="1">
        <v>39</v>
      </c>
      <c r="B101" s="1">
        <v>2023</v>
      </c>
      <c r="C101" s="3">
        <v>44945</v>
      </c>
      <c r="D101" s="8" t="s">
        <v>38</v>
      </c>
      <c r="E101" s="9" t="s">
        <v>44</v>
      </c>
      <c r="F101" s="9" t="s">
        <v>45</v>
      </c>
      <c r="G101" s="11">
        <v>50</v>
      </c>
      <c r="H101" s="11">
        <v>35</v>
      </c>
      <c r="I101" s="11">
        <v>55</v>
      </c>
      <c r="J101" s="11" t="s">
        <v>90</v>
      </c>
      <c r="K101" s="11" t="s">
        <v>91</v>
      </c>
    </row>
    <row r="102" spans="1:11" ht="43.2" x14ac:dyDescent="0.3">
      <c r="A102" s="1">
        <v>39</v>
      </c>
      <c r="B102" s="1">
        <v>2023</v>
      </c>
      <c r="C102" s="3">
        <v>44945</v>
      </c>
      <c r="D102" s="4" t="s">
        <v>38</v>
      </c>
      <c r="E102" s="5" t="s">
        <v>48</v>
      </c>
      <c r="F102" s="5" t="s">
        <v>45</v>
      </c>
      <c r="G102" s="6"/>
      <c r="H102" s="7">
        <v>120</v>
      </c>
      <c r="I102" s="7">
        <v>120</v>
      </c>
      <c r="J102" s="7">
        <v>120</v>
      </c>
      <c r="K102" s="7">
        <v>120</v>
      </c>
    </row>
    <row r="103" spans="1:11" ht="43.2" x14ac:dyDescent="0.3">
      <c r="A103" s="1">
        <v>39</v>
      </c>
      <c r="B103" s="1">
        <v>2023</v>
      </c>
      <c r="C103" s="3">
        <v>44945</v>
      </c>
      <c r="D103" s="8" t="s">
        <v>38</v>
      </c>
      <c r="E103" s="9" t="s">
        <v>49</v>
      </c>
      <c r="F103" s="9" t="s">
        <v>50</v>
      </c>
      <c r="G103" s="11">
        <v>50</v>
      </c>
      <c r="H103" s="11">
        <v>50</v>
      </c>
      <c r="I103" s="11">
        <v>60</v>
      </c>
      <c r="J103" s="11" t="s">
        <v>92</v>
      </c>
      <c r="K103" s="11" t="s">
        <v>78</v>
      </c>
    </row>
    <row r="104" spans="1:11" ht="43.2" x14ac:dyDescent="0.3">
      <c r="A104" s="1">
        <v>39</v>
      </c>
      <c r="B104" s="1">
        <v>2023</v>
      </c>
      <c r="C104" s="3">
        <v>44945</v>
      </c>
      <c r="D104" s="4" t="s">
        <v>38</v>
      </c>
      <c r="E104" s="5" t="s">
        <v>52</v>
      </c>
      <c r="F104" s="5" t="s">
        <v>43</v>
      </c>
      <c r="G104" s="7">
        <v>80</v>
      </c>
      <c r="H104" s="7">
        <v>50</v>
      </c>
      <c r="I104" s="7">
        <v>80</v>
      </c>
      <c r="J104" s="7">
        <v>66</v>
      </c>
      <c r="K104" s="7">
        <v>65</v>
      </c>
    </row>
    <row r="105" spans="1:11" ht="43.2" x14ac:dyDescent="0.3">
      <c r="A105" s="1">
        <v>39</v>
      </c>
      <c r="B105" s="1">
        <v>2023</v>
      </c>
      <c r="C105" s="3">
        <v>44945</v>
      </c>
      <c r="D105" s="8" t="s">
        <v>38</v>
      </c>
      <c r="E105" s="9" t="s">
        <v>53</v>
      </c>
      <c r="F105" s="9" t="s">
        <v>43</v>
      </c>
      <c r="G105" s="11">
        <v>70</v>
      </c>
      <c r="H105" s="11">
        <v>70</v>
      </c>
      <c r="I105" s="11">
        <v>80</v>
      </c>
      <c r="J105" s="11" t="s">
        <v>93</v>
      </c>
      <c r="K105" s="11">
        <v>70</v>
      </c>
    </row>
    <row r="106" spans="1:11" ht="43.2" x14ac:dyDescent="0.3">
      <c r="A106" s="1">
        <v>39</v>
      </c>
      <c r="B106" s="1">
        <v>2023</v>
      </c>
      <c r="C106" s="3">
        <v>44945</v>
      </c>
      <c r="D106" s="4" t="s">
        <v>38</v>
      </c>
      <c r="E106" s="5" t="s">
        <v>54</v>
      </c>
      <c r="F106" s="5" t="s">
        <v>40</v>
      </c>
      <c r="G106" s="7">
        <v>70</v>
      </c>
      <c r="H106" s="7">
        <v>60</v>
      </c>
      <c r="I106" s="7">
        <v>70</v>
      </c>
      <c r="J106" s="7">
        <v>66</v>
      </c>
      <c r="K106" s="7">
        <v>70</v>
      </c>
    </row>
    <row r="107" spans="1:11" ht="43.2" x14ac:dyDescent="0.3">
      <c r="A107" s="1">
        <v>39</v>
      </c>
      <c r="B107" s="1">
        <v>2023</v>
      </c>
      <c r="C107" s="3">
        <v>44945</v>
      </c>
      <c r="D107" s="8" t="s">
        <v>38</v>
      </c>
      <c r="E107" s="9" t="s">
        <v>56</v>
      </c>
      <c r="F107" s="9" t="s">
        <v>43</v>
      </c>
      <c r="G107" s="11">
        <v>60</v>
      </c>
      <c r="H107" s="11">
        <v>60</v>
      </c>
      <c r="I107" s="11">
        <v>60</v>
      </c>
      <c r="J107" s="11">
        <v>60</v>
      </c>
      <c r="K107" s="11">
        <v>60</v>
      </c>
    </row>
    <row r="108" spans="1:11" ht="43.2" x14ac:dyDescent="0.3">
      <c r="A108" s="1">
        <v>39</v>
      </c>
      <c r="B108" s="1">
        <v>2023</v>
      </c>
      <c r="C108" s="3">
        <v>44945</v>
      </c>
      <c r="D108" s="4" t="s">
        <v>38</v>
      </c>
      <c r="E108" s="5" t="s">
        <v>57</v>
      </c>
      <c r="F108" s="5" t="s">
        <v>40</v>
      </c>
      <c r="G108" s="7">
        <v>60</v>
      </c>
      <c r="H108" s="7">
        <v>40</v>
      </c>
      <c r="I108" s="7">
        <v>60</v>
      </c>
      <c r="J108" s="7">
        <v>53</v>
      </c>
      <c r="K108" s="7">
        <v>55</v>
      </c>
    </row>
    <row r="109" spans="1:11" ht="43.2" x14ac:dyDescent="0.3">
      <c r="A109" s="1">
        <v>39</v>
      </c>
      <c r="B109" s="1">
        <v>2023</v>
      </c>
      <c r="C109" s="3">
        <v>44945</v>
      </c>
      <c r="D109" s="8" t="s">
        <v>38</v>
      </c>
      <c r="E109" s="9" t="s">
        <v>58</v>
      </c>
      <c r="F109" s="9" t="s">
        <v>40</v>
      </c>
      <c r="G109" s="11">
        <v>70</v>
      </c>
      <c r="H109" s="11">
        <v>60</v>
      </c>
      <c r="I109" s="11">
        <v>80</v>
      </c>
      <c r="J109" s="11">
        <v>71</v>
      </c>
      <c r="K109" s="11">
        <v>70</v>
      </c>
    </row>
    <row r="110" spans="1:11" ht="43.2" x14ac:dyDescent="0.3">
      <c r="A110" s="1">
        <v>39</v>
      </c>
      <c r="B110" s="1">
        <v>2023</v>
      </c>
      <c r="C110" s="3">
        <v>44945</v>
      </c>
      <c r="D110" s="4" t="s">
        <v>38</v>
      </c>
      <c r="E110" s="5" t="s">
        <v>59</v>
      </c>
      <c r="F110" s="5" t="s">
        <v>45</v>
      </c>
      <c r="G110" s="7">
        <v>40</v>
      </c>
      <c r="H110" s="7">
        <v>35</v>
      </c>
      <c r="I110" s="7">
        <v>45</v>
      </c>
      <c r="J110" s="7">
        <v>40</v>
      </c>
      <c r="K110" s="7">
        <v>40</v>
      </c>
    </row>
    <row r="111" spans="1:11" ht="43.2" x14ac:dyDescent="0.3">
      <c r="A111" s="1">
        <v>39</v>
      </c>
      <c r="B111" s="1">
        <v>2023</v>
      </c>
      <c r="C111" s="3">
        <v>44945</v>
      </c>
      <c r="D111" s="8" t="s">
        <v>38</v>
      </c>
      <c r="E111" s="9" t="s">
        <v>60</v>
      </c>
      <c r="F111" s="9" t="s">
        <v>61</v>
      </c>
      <c r="G111" s="11">
        <v>70</v>
      </c>
      <c r="H111" s="11">
        <v>60</v>
      </c>
      <c r="I111" s="11">
        <v>75</v>
      </c>
      <c r="J111" s="11" t="s">
        <v>94</v>
      </c>
      <c r="K111" s="11">
        <v>70</v>
      </c>
    </row>
    <row r="112" spans="1:11" ht="43.2" x14ac:dyDescent="0.3">
      <c r="A112" s="1">
        <v>39</v>
      </c>
      <c r="B112" s="1">
        <v>2023</v>
      </c>
      <c r="C112" s="3">
        <v>44945</v>
      </c>
      <c r="D112" s="4" t="s">
        <v>38</v>
      </c>
      <c r="E112" s="5" t="s">
        <v>63</v>
      </c>
      <c r="F112" s="5" t="s">
        <v>40</v>
      </c>
      <c r="G112" s="7">
        <v>90</v>
      </c>
      <c r="H112" s="7">
        <v>70</v>
      </c>
      <c r="I112" s="7">
        <v>100</v>
      </c>
      <c r="J112" s="7" t="s">
        <v>95</v>
      </c>
      <c r="K112" s="7">
        <v>85</v>
      </c>
    </row>
    <row r="113" spans="1:11" ht="43.2" x14ac:dyDescent="0.3">
      <c r="A113" s="1">
        <v>39</v>
      </c>
      <c r="B113" s="1">
        <v>2023</v>
      </c>
      <c r="C113" s="3">
        <v>44945</v>
      </c>
      <c r="D113" s="8" t="s">
        <v>38</v>
      </c>
      <c r="E113" s="9" t="s">
        <v>64</v>
      </c>
      <c r="F113" s="9" t="s">
        <v>40</v>
      </c>
      <c r="G113" s="11">
        <v>120</v>
      </c>
      <c r="H113" s="11">
        <v>100</v>
      </c>
      <c r="I113" s="11">
        <v>120</v>
      </c>
      <c r="J113" s="11">
        <v>115</v>
      </c>
      <c r="K113" s="11">
        <v>120</v>
      </c>
    </row>
    <row r="114" spans="1:11" x14ac:dyDescent="0.3">
      <c r="A114" s="1">
        <v>39</v>
      </c>
      <c r="B114" s="1">
        <v>2023</v>
      </c>
      <c r="C114" s="3">
        <v>44945</v>
      </c>
      <c r="D114" s="4" t="s">
        <v>65</v>
      </c>
      <c r="E114" s="5" t="s">
        <v>66</v>
      </c>
      <c r="F114" s="5" t="s">
        <v>40</v>
      </c>
      <c r="G114" s="6"/>
      <c r="H114" s="6"/>
      <c r="I114" s="6"/>
      <c r="J114" s="6"/>
      <c r="K114" s="6"/>
    </row>
    <row r="115" spans="1:11" x14ac:dyDescent="0.3">
      <c r="A115" s="1">
        <v>39</v>
      </c>
      <c r="B115" s="1">
        <v>2023</v>
      </c>
      <c r="C115" s="3">
        <v>44945</v>
      </c>
      <c r="D115" s="8" t="s">
        <v>65</v>
      </c>
      <c r="E115" s="9" t="s">
        <v>67</v>
      </c>
      <c r="F115" s="9" t="s">
        <v>40</v>
      </c>
      <c r="G115" s="10"/>
      <c r="H115" s="10"/>
      <c r="I115" s="10"/>
      <c r="J115" s="10"/>
      <c r="K115" s="10"/>
    </row>
    <row r="116" spans="1:11" x14ac:dyDescent="0.3">
      <c r="A116" s="1">
        <v>39</v>
      </c>
      <c r="B116" s="1">
        <v>2023</v>
      </c>
      <c r="C116" s="3">
        <v>44945</v>
      </c>
      <c r="D116" s="4" t="s">
        <v>65</v>
      </c>
      <c r="E116" s="5" t="s">
        <v>68</v>
      </c>
      <c r="F116" s="5" t="s">
        <v>40</v>
      </c>
      <c r="G116" s="6"/>
      <c r="H116" s="6"/>
      <c r="I116" s="6"/>
      <c r="J116" s="6"/>
      <c r="K116" s="6"/>
    </row>
    <row r="117" spans="1:11" x14ac:dyDescent="0.3">
      <c r="A117" s="1">
        <v>39</v>
      </c>
      <c r="B117" s="1">
        <v>2023</v>
      </c>
      <c r="C117" s="3">
        <v>44945</v>
      </c>
      <c r="D117" s="8" t="s">
        <v>65</v>
      </c>
      <c r="E117" s="9" t="s">
        <v>69</v>
      </c>
      <c r="F117" s="9" t="s">
        <v>45</v>
      </c>
      <c r="G117" s="10"/>
      <c r="H117" s="10"/>
      <c r="I117" s="10"/>
      <c r="J117" s="10"/>
      <c r="K117" s="10"/>
    </row>
    <row r="118" spans="1:11" x14ac:dyDescent="0.3">
      <c r="A118" s="1">
        <v>39</v>
      </c>
      <c r="B118" s="1">
        <v>2023</v>
      </c>
      <c r="C118" s="3">
        <v>44945</v>
      </c>
      <c r="D118" s="4" t="s">
        <v>65</v>
      </c>
      <c r="E118" s="5" t="s">
        <v>70</v>
      </c>
      <c r="F118" s="5" t="s">
        <v>71</v>
      </c>
      <c r="G118" s="6"/>
      <c r="H118" s="6"/>
      <c r="I118" s="6"/>
      <c r="J118" s="6"/>
      <c r="K118" s="6"/>
    </row>
    <row r="119" spans="1:11" ht="28.8" x14ac:dyDescent="0.3">
      <c r="A119" s="1">
        <v>40</v>
      </c>
      <c r="B119" s="1">
        <v>2023</v>
      </c>
      <c r="C119" s="3">
        <v>44952</v>
      </c>
      <c r="D119" s="4" t="s">
        <v>11</v>
      </c>
      <c r="E119" s="5" t="s">
        <v>12</v>
      </c>
      <c r="F119" s="5" t="s">
        <v>13</v>
      </c>
      <c r="G119" s="7">
        <v>42</v>
      </c>
      <c r="H119" s="7">
        <v>42</v>
      </c>
      <c r="I119" s="7">
        <v>42</v>
      </c>
      <c r="J119" s="7">
        <v>42</v>
      </c>
      <c r="K119" s="7">
        <v>42</v>
      </c>
    </row>
    <row r="120" spans="1:11" ht="28.8" x14ac:dyDescent="0.3">
      <c r="A120" s="1">
        <v>40</v>
      </c>
      <c r="B120" s="1">
        <v>2023</v>
      </c>
      <c r="C120" s="3">
        <v>44952</v>
      </c>
      <c r="D120" s="8" t="s">
        <v>11</v>
      </c>
      <c r="E120" s="9" t="s">
        <v>14</v>
      </c>
      <c r="F120" s="9" t="s">
        <v>13</v>
      </c>
      <c r="G120" s="11">
        <v>60</v>
      </c>
      <c r="H120" s="11">
        <v>60</v>
      </c>
      <c r="I120" s="11">
        <v>60</v>
      </c>
      <c r="J120" s="11">
        <v>60</v>
      </c>
      <c r="K120" s="11">
        <v>60</v>
      </c>
    </row>
    <row r="121" spans="1:11" ht="28.8" x14ac:dyDescent="0.3">
      <c r="A121" s="1">
        <v>40</v>
      </c>
      <c r="B121" s="1">
        <v>2023</v>
      </c>
      <c r="C121" s="3">
        <v>44952</v>
      </c>
      <c r="D121" s="4" t="s">
        <v>11</v>
      </c>
      <c r="E121" s="5" t="s">
        <v>15</v>
      </c>
      <c r="F121" s="5" t="s">
        <v>13</v>
      </c>
      <c r="G121" s="6"/>
      <c r="H121" s="7">
        <v>36</v>
      </c>
      <c r="I121" s="7">
        <v>42</v>
      </c>
      <c r="J121" s="7">
        <v>39</v>
      </c>
      <c r="K121" s="7">
        <v>39</v>
      </c>
    </row>
    <row r="122" spans="1:11" ht="28.8" x14ac:dyDescent="0.3">
      <c r="A122" s="1">
        <v>40</v>
      </c>
      <c r="B122" s="1">
        <v>2023</v>
      </c>
      <c r="C122" s="3">
        <v>44952</v>
      </c>
      <c r="D122" s="8" t="s">
        <v>11</v>
      </c>
      <c r="E122" s="9" t="s">
        <v>16</v>
      </c>
      <c r="F122" s="9" t="s">
        <v>13</v>
      </c>
      <c r="G122" s="11">
        <v>24</v>
      </c>
      <c r="H122" s="11">
        <v>18</v>
      </c>
      <c r="I122" s="11">
        <v>24</v>
      </c>
      <c r="J122" s="11">
        <v>22</v>
      </c>
      <c r="K122" s="11">
        <v>24</v>
      </c>
    </row>
    <row r="123" spans="1:11" ht="28.8" x14ac:dyDescent="0.3">
      <c r="A123" s="1">
        <v>40</v>
      </c>
      <c r="B123" s="1">
        <v>2023</v>
      </c>
      <c r="C123" s="3">
        <v>44952</v>
      </c>
      <c r="D123" s="4" t="s">
        <v>11</v>
      </c>
      <c r="E123" s="5" t="s">
        <v>17</v>
      </c>
      <c r="F123" s="5" t="s">
        <v>13</v>
      </c>
      <c r="G123" s="7">
        <v>24</v>
      </c>
      <c r="H123" s="7">
        <v>18</v>
      </c>
      <c r="I123" s="7">
        <v>24</v>
      </c>
      <c r="J123" s="7">
        <v>22</v>
      </c>
      <c r="K123" s="7">
        <v>24</v>
      </c>
    </row>
    <row r="124" spans="1:11" ht="28.8" x14ac:dyDescent="0.3">
      <c r="A124" s="1">
        <v>40</v>
      </c>
      <c r="B124" s="1">
        <v>2023</v>
      </c>
      <c r="C124" s="3">
        <v>44952</v>
      </c>
      <c r="D124" s="8" t="s">
        <v>11</v>
      </c>
      <c r="E124" s="9" t="s">
        <v>18</v>
      </c>
      <c r="F124" s="9" t="s">
        <v>13</v>
      </c>
      <c r="G124" s="10"/>
      <c r="H124" s="11">
        <v>42</v>
      </c>
      <c r="I124" s="11">
        <v>48</v>
      </c>
      <c r="J124" s="11">
        <v>45</v>
      </c>
      <c r="K124" s="11">
        <v>45</v>
      </c>
    </row>
    <row r="125" spans="1:11" ht="28.8" x14ac:dyDescent="0.3">
      <c r="A125" s="1">
        <v>40</v>
      </c>
      <c r="B125" s="1">
        <v>2023</v>
      </c>
      <c r="C125" s="3">
        <v>44952</v>
      </c>
      <c r="D125" s="4" t="s">
        <v>11</v>
      </c>
      <c r="E125" s="5" t="s">
        <v>19</v>
      </c>
      <c r="F125" s="5" t="s">
        <v>13</v>
      </c>
      <c r="G125" s="6"/>
      <c r="H125" s="7">
        <v>66</v>
      </c>
      <c r="I125" s="7">
        <v>78</v>
      </c>
      <c r="J125" s="7">
        <v>72</v>
      </c>
      <c r="K125" s="7">
        <v>72</v>
      </c>
    </row>
    <row r="126" spans="1:11" ht="28.8" x14ac:dyDescent="0.3">
      <c r="A126" s="1">
        <v>40</v>
      </c>
      <c r="B126" s="1">
        <v>2023</v>
      </c>
      <c r="C126" s="3">
        <v>44952</v>
      </c>
      <c r="D126" s="8" t="s">
        <v>11</v>
      </c>
      <c r="E126" s="9" t="s">
        <v>20</v>
      </c>
      <c r="F126" s="9" t="s">
        <v>13</v>
      </c>
      <c r="G126" s="10"/>
      <c r="H126" s="11">
        <v>60</v>
      </c>
      <c r="I126" s="11">
        <v>72</v>
      </c>
      <c r="J126" s="11">
        <v>66</v>
      </c>
      <c r="K126" s="11">
        <v>66</v>
      </c>
    </row>
    <row r="127" spans="1:11" ht="28.8" x14ac:dyDescent="0.3">
      <c r="A127" s="1">
        <v>40</v>
      </c>
      <c r="B127" s="1">
        <v>2023</v>
      </c>
      <c r="C127" s="3">
        <v>44952</v>
      </c>
      <c r="D127" s="4" t="s">
        <v>11</v>
      </c>
      <c r="E127" s="5" t="s">
        <v>22</v>
      </c>
      <c r="F127" s="5"/>
      <c r="G127" s="6"/>
      <c r="H127" s="7">
        <v>15</v>
      </c>
      <c r="I127" s="7">
        <v>24</v>
      </c>
      <c r="J127" s="7">
        <v>19</v>
      </c>
      <c r="K127" s="7">
        <v>18</v>
      </c>
    </row>
    <row r="128" spans="1:11" ht="28.8" x14ac:dyDescent="0.3">
      <c r="A128" s="1">
        <v>40</v>
      </c>
      <c r="B128" s="1">
        <v>2023</v>
      </c>
      <c r="C128" s="3">
        <v>44952</v>
      </c>
      <c r="D128" s="8" t="s">
        <v>11</v>
      </c>
      <c r="E128" s="9" t="s">
        <v>22</v>
      </c>
      <c r="F128" s="9"/>
      <c r="G128" s="10"/>
      <c r="H128" s="11">
        <v>60</v>
      </c>
      <c r="I128" s="11">
        <v>84</v>
      </c>
      <c r="J128" s="11">
        <v>72</v>
      </c>
      <c r="K128" s="11">
        <v>72</v>
      </c>
    </row>
    <row r="129" spans="1:11" ht="28.8" x14ac:dyDescent="0.3">
      <c r="A129" s="1">
        <v>40</v>
      </c>
      <c r="B129" s="1">
        <v>2023</v>
      </c>
      <c r="C129" s="3">
        <v>44952</v>
      </c>
      <c r="D129" s="4" t="s">
        <v>11</v>
      </c>
      <c r="E129" s="5" t="s">
        <v>23</v>
      </c>
      <c r="F129" s="5" t="s">
        <v>13</v>
      </c>
      <c r="G129" s="7">
        <v>24</v>
      </c>
      <c r="H129" s="7">
        <v>18</v>
      </c>
      <c r="I129" s="7">
        <v>24</v>
      </c>
      <c r="J129" s="7">
        <v>22</v>
      </c>
      <c r="K129" s="7">
        <v>24</v>
      </c>
    </row>
    <row r="130" spans="1:11" ht="28.8" x14ac:dyDescent="0.3">
      <c r="A130" s="1">
        <v>40</v>
      </c>
      <c r="B130" s="1">
        <v>2023</v>
      </c>
      <c r="C130" s="3">
        <v>44952</v>
      </c>
      <c r="D130" s="8" t="s">
        <v>11</v>
      </c>
      <c r="E130" s="9" t="s">
        <v>24</v>
      </c>
      <c r="F130" s="9" t="s">
        <v>13</v>
      </c>
      <c r="G130" s="11">
        <v>60</v>
      </c>
      <c r="H130" s="11">
        <v>60</v>
      </c>
      <c r="I130" s="11">
        <v>60</v>
      </c>
      <c r="J130" s="11">
        <v>60</v>
      </c>
      <c r="K130" s="11">
        <v>60</v>
      </c>
    </row>
    <row r="131" spans="1:11" ht="28.8" x14ac:dyDescent="0.3">
      <c r="A131" s="1">
        <v>40</v>
      </c>
      <c r="B131" s="1">
        <v>2023</v>
      </c>
      <c r="C131" s="3">
        <v>44952</v>
      </c>
      <c r="D131" s="4" t="s">
        <v>11</v>
      </c>
      <c r="E131" s="5" t="s">
        <v>25</v>
      </c>
      <c r="F131" s="5" t="s">
        <v>26</v>
      </c>
      <c r="G131" s="6"/>
      <c r="H131" s="7">
        <v>54</v>
      </c>
      <c r="I131" s="7">
        <v>60</v>
      </c>
      <c r="J131" s="7">
        <v>57</v>
      </c>
      <c r="K131" s="7">
        <v>57</v>
      </c>
    </row>
    <row r="132" spans="1:11" ht="28.8" x14ac:dyDescent="0.3">
      <c r="A132" s="1">
        <v>40</v>
      </c>
      <c r="B132" s="1">
        <v>2023</v>
      </c>
      <c r="C132" s="3">
        <v>44952</v>
      </c>
      <c r="D132" s="8" t="s">
        <v>11</v>
      </c>
      <c r="E132" s="9" t="s">
        <v>27</v>
      </c>
      <c r="F132" s="9" t="s">
        <v>13</v>
      </c>
      <c r="G132" s="10"/>
      <c r="H132" s="11">
        <v>40</v>
      </c>
      <c r="I132" s="11">
        <v>54</v>
      </c>
      <c r="J132" s="11">
        <v>47</v>
      </c>
      <c r="K132" s="11">
        <v>47</v>
      </c>
    </row>
    <row r="133" spans="1:11" ht="28.8" x14ac:dyDescent="0.3">
      <c r="A133" s="1">
        <v>40</v>
      </c>
      <c r="B133" s="1">
        <v>2023</v>
      </c>
      <c r="C133" s="3">
        <v>44952</v>
      </c>
      <c r="D133" s="4" t="s">
        <v>11</v>
      </c>
      <c r="E133" s="5" t="s">
        <v>28</v>
      </c>
      <c r="F133" s="5" t="s">
        <v>13</v>
      </c>
      <c r="G133" s="6"/>
      <c r="H133" s="7">
        <v>25</v>
      </c>
      <c r="I133" s="7">
        <v>36</v>
      </c>
      <c r="J133" s="7" t="s">
        <v>96</v>
      </c>
      <c r="K133" s="7">
        <v>30</v>
      </c>
    </row>
    <row r="134" spans="1:11" ht="28.8" x14ac:dyDescent="0.3">
      <c r="A134" s="1">
        <v>40</v>
      </c>
      <c r="B134" s="1">
        <v>2023</v>
      </c>
      <c r="C134" s="3">
        <v>44952</v>
      </c>
      <c r="D134" s="8" t="s">
        <v>11</v>
      </c>
      <c r="E134" s="9" t="s">
        <v>29</v>
      </c>
      <c r="F134" s="9" t="s">
        <v>13</v>
      </c>
      <c r="G134" s="11">
        <v>42</v>
      </c>
      <c r="H134" s="11">
        <v>42</v>
      </c>
      <c r="I134" s="11">
        <v>42</v>
      </c>
      <c r="J134" s="11">
        <v>42</v>
      </c>
      <c r="K134" s="11">
        <v>42</v>
      </c>
    </row>
    <row r="135" spans="1:11" ht="28.8" x14ac:dyDescent="0.3">
      <c r="A135" s="1">
        <v>40</v>
      </c>
      <c r="B135" s="1">
        <v>2023</v>
      </c>
      <c r="C135" s="3">
        <v>44952</v>
      </c>
      <c r="D135" s="4" t="s">
        <v>30</v>
      </c>
      <c r="E135" s="5" t="s">
        <v>31</v>
      </c>
      <c r="F135" s="5" t="s">
        <v>32</v>
      </c>
      <c r="G135" s="6"/>
      <c r="H135" s="7">
        <v>4</v>
      </c>
      <c r="I135" s="7">
        <v>5</v>
      </c>
      <c r="J135" s="7" t="s">
        <v>97</v>
      </c>
      <c r="K135" s="7" t="s">
        <v>97</v>
      </c>
    </row>
    <row r="136" spans="1:11" ht="28.8" x14ac:dyDescent="0.3">
      <c r="A136" s="1">
        <v>40</v>
      </c>
      <c r="B136" s="1">
        <v>2023</v>
      </c>
      <c r="C136" s="3">
        <v>44952</v>
      </c>
      <c r="D136" s="8" t="s">
        <v>30</v>
      </c>
      <c r="E136" s="9" t="s">
        <v>34</v>
      </c>
      <c r="F136" s="9" t="s">
        <v>35</v>
      </c>
      <c r="G136" s="10"/>
      <c r="H136" s="11">
        <v>18</v>
      </c>
      <c r="I136" s="11">
        <v>20</v>
      </c>
      <c r="J136" s="11">
        <v>19</v>
      </c>
      <c r="K136" s="11">
        <v>19</v>
      </c>
    </row>
    <row r="137" spans="1:11" ht="28.8" x14ac:dyDescent="0.3">
      <c r="A137" s="1">
        <v>40</v>
      </c>
      <c r="B137" s="1">
        <v>2023</v>
      </c>
      <c r="C137" s="3">
        <v>44952</v>
      </c>
      <c r="D137" s="4" t="s">
        <v>30</v>
      </c>
      <c r="E137" s="5" t="s">
        <v>36</v>
      </c>
      <c r="F137" s="5" t="s">
        <v>35</v>
      </c>
      <c r="G137" s="7">
        <v>25</v>
      </c>
      <c r="H137" s="7">
        <v>25</v>
      </c>
      <c r="I137" s="7">
        <v>25</v>
      </c>
      <c r="J137" s="7">
        <v>25</v>
      </c>
      <c r="K137" s="7">
        <v>25</v>
      </c>
    </row>
    <row r="138" spans="1:11" ht="43.2" x14ac:dyDescent="0.3">
      <c r="A138" s="1">
        <v>40</v>
      </c>
      <c r="B138" s="1">
        <v>2023</v>
      </c>
      <c r="C138" s="3">
        <v>44952</v>
      </c>
      <c r="D138" s="8" t="s">
        <v>38</v>
      </c>
      <c r="E138" s="9" t="s">
        <v>39</v>
      </c>
      <c r="F138" s="9" t="s">
        <v>40</v>
      </c>
      <c r="G138" s="11">
        <v>50</v>
      </c>
      <c r="H138" s="11">
        <v>30</v>
      </c>
      <c r="I138" s="11">
        <v>50</v>
      </c>
      <c r="J138" s="11" t="s">
        <v>98</v>
      </c>
      <c r="K138" s="11">
        <v>45</v>
      </c>
    </row>
    <row r="139" spans="1:11" ht="43.2" x14ac:dyDescent="0.3">
      <c r="A139" s="1">
        <v>40</v>
      </c>
      <c r="B139" s="1">
        <v>2023</v>
      </c>
      <c r="C139" s="3">
        <v>44952</v>
      </c>
      <c r="D139" s="4" t="s">
        <v>38</v>
      </c>
      <c r="E139" s="5" t="s">
        <v>42</v>
      </c>
      <c r="F139" s="5" t="s">
        <v>43</v>
      </c>
      <c r="G139" s="7">
        <v>45</v>
      </c>
      <c r="H139" s="7">
        <v>35</v>
      </c>
      <c r="I139" s="7">
        <v>60</v>
      </c>
      <c r="J139" s="7" t="s">
        <v>99</v>
      </c>
      <c r="K139" s="7">
        <v>45</v>
      </c>
    </row>
    <row r="140" spans="1:11" ht="43.2" x14ac:dyDescent="0.3">
      <c r="A140" s="1">
        <v>40</v>
      </c>
      <c r="B140" s="1">
        <v>2023</v>
      </c>
      <c r="C140" s="3">
        <v>44952</v>
      </c>
      <c r="D140" s="8" t="s">
        <v>38</v>
      </c>
      <c r="E140" s="9" t="s">
        <v>44</v>
      </c>
      <c r="F140" s="9" t="s">
        <v>45</v>
      </c>
      <c r="G140" s="11">
        <v>35</v>
      </c>
      <c r="H140" s="11">
        <v>30</v>
      </c>
      <c r="I140" s="11">
        <v>45</v>
      </c>
      <c r="J140" s="11" t="s">
        <v>100</v>
      </c>
      <c r="K140" s="11">
        <v>40</v>
      </c>
    </row>
    <row r="141" spans="1:11" ht="43.2" x14ac:dyDescent="0.3">
      <c r="A141" s="1">
        <v>40</v>
      </c>
      <c r="B141" s="1">
        <v>2023</v>
      </c>
      <c r="C141" s="3">
        <v>44952</v>
      </c>
      <c r="D141" s="4" t="s">
        <v>38</v>
      </c>
      <c r="E141" s="5" t="s">
        <v>48</v>
      </c>
      <c r="F141" s="5" t="s">
        <v>45</v>
      </c>
      <c r="G141" s="6"/>
      <c r="H141" s="7">
        <v>120</v>
      </c>
      <c r="I141" s="7">
        <v>120</v>
      </c>
      <c r="J141" s="7">
        <v>120</v>
      </c>
      <c r="K141" s="7">
        <v>120</v>
      </c>
    </row>
    <row r="142" spans="1:11" ht="43.2" x14ac:dyDescent="0.3">
      <c r="A142" s="1">
        <v>40</v>
      </c>
      <c r="B142" s="1">
        <v>2023</v>
      </c>
      <c r="C142" s="3">
        <v>44952</v>
      </c>
      <c r="D142" s="8" t="s">
        <v>38</v>
      </c>
      <c r="E142" s="9" t="s">
        <v>49</v>
      </c>
      <c r="F142" s="9" t="s">
        <v>50</v>
      </c>
      <c r="G142" s="11">
        <v>60</v>
      </c>
      <c r="H142" s="11">
        <v>50</v>
      </c>
      <c r="I142" s="11">
        <v>65</v>
      </c>
      <c r="J142" s="11" t="s">
        <v>101</v>
      </c>
      <c r="K142" s="11">
        <v>60</v>
      </c>
    </row>
    <row r="143" spans="1:11" ht="43.2" x14ac:dyDescent="0.3">
      <c r="A143" s="1">
        <v>40</v>
      </c>
      <c r="B143" s="1">
        <v>2023</v>
      </c>
      <c r="C143" s="3">
        <v>44952</v>
      </c>
      <c r="D143" s="4" t="s">
        <v>38</v>
      </c>
      <c r="E143" s="5" t="s">
        <v>52</v>
      </c>
      <c r="F143" s="5" t="s">
        <v>43</v>
      </c>
      <c r="G143" s="7">
        <v>60</v>
      </c>
      <c r="H143" s="7">
        <v>60</v>
      </c>
      <c r="I143" s="7">
        <v>80</v>
      </c>
      <c r="J143" s="7">
        <v>68</v>
      </c>
      <c r="K143" s="7">
        <v>60</v>
      </c>
    </row>
    <row r="144" spans="1:11" ht="43.2" x14ac:dyDescent="0.3">
      <c r="A144" s="1">
        <v>40</v>
      </c>
      <c r="B144" s="1">
        <v>2023</v>
      </c>
      <c r="C144" s="3">
        <v>44952</v>
      </c>
      <c r="D144" s="8" t="s">
        <v>38</v>
      </c>
      <c r="E144" s="9" t="s">
        <v>53</v>
      </c>
      <c r="F144" s="9" t="s">
        <v>43</v>
      </c>
      <c r="G144" s="11">
        <v>70</v>
      </c>
      <c r="H144" s="11">
        <v>50</v>
      </c>
      <c r="I144" s="11">
        <v>80</v>
      </c>
      <c r="J144" s="11" t="s">
        <v>102</v>
      </c>
      <c r="K144" s="11">
        <v>70</v>
      </c>
    </row>
    <row r="145" spans="1:11" ht="43.2" x14ac:dyDescent="0.3">
      <c r="A145" s="1">
        <v>40</v>
      </c>
      <c r="B145" s="1">
        <v>2023</v>
      </c>
      <c r="C145" s="3">
        <v>44952</v>
      </c>
      <c r="D145" s="4" t="s">
        <v>38</v>
      </c>
      <c r="E145" s="5" t="s">
        <v>54</v>
      </c>
      <c r="F145" s="5" t="s">
        <v>40</v>
      </c>
      <c r="G145" s="7">
        <v>70</v>
      </c>
      <c r="H145" s="7">
        <v>60</v>
      </c>
      <c r="I145" s="7">
        <v>70</v>
      </c>
      <c r="J145" s="7" t="s">
        <v>84</v>
      </c>
      <c r="K145" s="7">
        <v>70</v>
      </c>
    </row>
    <row r="146" spans="1:11" ht="43.2" x14ac:dyDescent="0.3">
      <c r="A146" s="1">
        <v>40</v>
      </c>
      <c r="B146" s="1">
        <v>2023</v>
      </c>
      <c r="C146" s="3">
        <v>44952</v>
      </c>
      <c r="D146" s="8" t="s">
        <v>38</v>
      </c>
      <c r="E146" s="9" t="s">
        <v>56</v>
      </c>
      <c r="F146" s="9" t="s">
        <v>43</v>
      </c>
      <c r="G146" s="10"/>
      <c r="H146" s="11">
        <v>60</v>
      </c>
      <c r="I146" s="11">
        <v>70</v>
      </c>
      <c r="J146" s="11">
        <v>65</v>
      </c>
      <c r="K146" s="11">
        <v>65</v>
      </c>
    </row>
    <row r="147" spans="1:11" ht="43.2" x14ac:dyDescent="0.3">
      <c r="A147" s="1">
        <v>40</v>
      </c>
      <c r="B147" s="1">
        <v>2023</v>
      </c>
      <c r="C147" s="3">
        <v>44952</v>
      </c>
      <c r="D147" s="4" t="s">
        <v>38</v>
      </c>
      <c r="E147" s="5" t="s">
        <v>57</v>
      </c>
      <c r="F147" s="5" t="s">
        <v>40</v>
      </c>
      <c r="G147" s="7">
        <v>60</v>
      </c>
      <c r="H147" s="7">
        <v>40</v>
      </c>
      <c r="I147" s="7">
        <v>60</v>
      </c>
      <c r="J147" s="7">
        <v>53</v>
      </c>
      <c r="K147" s="7">
        <v>60</v>
      </c>
    </row>
    <row r="148" spans="1:11" ht="43.2" x14ac:dyDescent="0.3">
      <c r="A148" s="1">
        <v>40</v>
      </c>
      <c r="B148" s="1">
        <v>2023</v>
      </c>
      <c r="C148" s="3">
        <v>44952</v>
      </c>
      <c r="D148" s="8" t="s">
        <v>38</v>
      </c>
      <c r="E148" s="9" t="s">
        <v>58</v>
      </c>
      <c r="F148" s="9" t="s">
        <v>40</v>
      </c>
      <c r="G148" s="11">
        <v>70</v>
      </c>
      <c r="H148" s="11">
        <v>50</v>
      </c>
      <c r="I148" s="11">
        <v>90</v>
      </c>
      <c r="J148" s="11" t="s">
        <v>103</v>
      </c>
      <c r="K148" s="11">
        <v>70</v>
      </c>
    </row>
    <row r="149" spans="1:11" ht="43.2" x14ac:dyDescent="0.3">
      <c r="A149" s="1">
        <v>40</v>
      </c>
      <c r="B149" s="1">
        <v>2023</v>
      </c>
      <c r="C149" s="3">
        <v>44952</v>
      </c>
      <c r="D149" s="4" t="s">
        <v>38</v>
      </c>
      <c r="E149" s="5" t="s">
        <v>59</v>
      </c>
      <c r="F149" s="5" t="s">
        <v>45</v>
      </c>
      <c r="G149" s="7">
        <v>40</v>
      </c>
      <c r="H149" s="7">
        <v>35</v>
      </c>
      <c r="I149" s="7">
        <v>40</v>
      </c>
      <c r="J149" s="7" t="s">
        <v>104</v>
      </c>
      <c r="K149" s="7">
        <v>40</v>
      </c>
    </row>
    <row r="150" spans="1:11" ht="43.2" x14ac:dyDescent="0.3">
      <c r="A150" s="1">
        <v>40</v>
      </c>
      <c r="B150" s="1">
        <v>2023</v>
      </c>
      <c r="C150" s="3">
        <v>44952</v>
      </c>
      <c r="D150" s="8" t="s">
        <v>38</v>
      </c>
      <c r="E150" s="9" t="s">
        <v>60</v>
      </c>
      <c r="F150" s="9" t="s">
        <v>61</v>
      </c>
      <c r="G150" s="11">
        <v>80</v>
      </c>
      <c r="H150" s="11">
        <v>80</v>
      </c>
      <c r="I150" s="11">
        <v>100</v>
      </c>
      <c r="J150" s="11">
        <v>85</v>
      </c>
      <c r="K150" s="11">
        <v>80</v>
      </c>
    </row>
    <row r="151" spans="1:11" ht="43.2" x14ac:dyDescent="0.3">
      <c r="A151" s="1">
        <v>40</v>
      </c>
      <c r="B151" s="1">
        <v>2023</v>
      </c>
      <c r="C151" s="3">
        <v>44952</v>
      </c>
      <c r="D151" s="4" t="s">
        <v>38</v>
      </c>
      <c r="E151" s="5" t="s">
        <v>63</v>
      </c>
      <c r="F151" s="5" t="s">
        <v>40</v>
      </c>
      <c r="G151" s="7">
        <v>70</v>
      </c>
      <c r="H151" s="7">
        <v>70</v>
      </c>
      <c r="I151" s="7">
        <v>80</v>
      </c>
      <c r="J151" s="7" t="s">
        <v>93</v>
      </c>
      <c r="K151" s="7">
        <v>70</v>
      </c>
    </row>
    <row r="152" spans="1:11" ht="43.2" x14ac:dyDescent="0.3">
      <c r="A152" s="1">
        <v>40</v>
      </c>
      <c r="B152" s="1">
        <v>2023</v>
      </c>
      <c r="C152" s="3">
        <v>44952</v>
      </c>
      <c r="D152" s="8" t="s">
        <v>38</v>
      </c>
      <c r="E152" s="9" t="s">
        <v>64</v>
      </c>
      <c r="F152" s="9" t="s">
        <v>40</v>
      </c>
      <c r="G152" s="11">
        <v>100</v>
      </c>
      <c r="H152" s="11">
        <v>100</v>
      </c>
      <c r="I152" s="11">
        <v>120</v>
      </c>
      <c r="J152" s="11" t="s">
        <v>105</v>
      </c>
      <c r="K152" s="11">
        <v>105</v>
      </c>
    </row>
    <row r="153" spans="1:11" x14ac:dyDescent="0.3">
      <c r="A153" s="1">
        <v>40</v>
      </c>
      <c r="B153" s="1">
        <v>2023</v>
      </c>
      <c r="C153" s="3">
        <v>44952</v>
      </c>
      <c r="D153" s="4" t="s">
        <v>65</v>
      </c>
      <c r="E153" s="5" t="s">
        <v>66</v>
      </c>
      <c r="F153" s="5" t="s">
        <v>40</v>
      </c>
      <c r="G153" s="6"/>
      <c r="H153" s="6"/>
      <c r="I153" s="6"/>
      <c r="J153" s="6"/>
      <c r="K153" s="6"/>
    </row>
    <row r="154" spans="1:11" x14ac:dyDescent="0.3">
      <c r="A154" s="1">
        <v>40</v>
      </c>
      <c r="B154" s="1">
        <v>2023</v>
      </c>
      <c r="C154" s="3">
        <v>44952</v>
      </c>
      <c r="D154" s="8" t="s">
        <v>65</v>
      </c>
      <c r="E154" s="9" t="s">
        <v>67</v>
      </c>
      <c r="F154" s="9" t="s">
        <v>40</v>
      </c>
      <c r="G154" s="10"/>
      <c r="H154" s="10"/>
      <c r="I154" s="10"/>
      <c r="J154" s="10"/>
      <c r="K154" s="10"/>
    </row>
    <row r="155" spans="1:11" x14ac:dyDescent="0.3">
      <c r="A155" s="1">
        <v>40</v>
      </c>
      <c r="B155" s="1">
        <v>2023</v>
      </c>
      <c r="C155" s="3">
        <v>44952</v>
      </c>
      <c r="D155" s="4" t="s">
        <v>65</v>
      </c>
      <c r="E155" s="5" t="s">
        <v>68</v>
      </c>
      <c r="F155" s="5" t="s">
        <v>40</v>
      </c>
      <c r="G155" s="6"/>
      <c r="H155" s="6"/>
      <c r="I155" s="6"/>
      <c r="J155" s="6"/>
      <c r="K155" s="6"/>
    </row>
    <row r="156" spans="1:11" x14ac:dyDescent="0.3">
      <c r="A156" s="1">
        <v>40</v>
      </c>
      <c r="B156" s="1">
        <v>2023</v>
      </c>
      <c r="C156" s="3">
        <v>44952</v>
      </c>
      <c r="D156" s="8" t="s">
        <v>65</v>
      </c>
      <c r="E156" s="9" t="s">
        <v>69</v>
      </c>
      <c r="F156" s="9" t="s">
        <v>45</v>
      </c>
      <c r="G156" s="10"/>
      <c r="H156" s="10"/>
      <c r="I156" s="10"/>
      <c r="J156" s="10"/>
      <c r="K156" s="10"/>
    </row>
    <row r="157" spans="1:11" x14ac:dyDescent="0.3">
      <c r="A157" s="1">
        <v>40</v>
      </c>
      <c r="B157" s="1">
        <v>2023</v>
      </c>
      <c r="C157" s="3">
        <v>44952</v>
      </c>
      <c r="D157" s="4" t="s">
        <v>65</v>
      </c>
      <c r="E157" s="5" t="s">
        <v>70</v>
      </c>
      <c r="F157" s="5" t="s">
        <v>71</v>
      </c>
      <c r="G157" s="6"/>
      <c r="H157" s="6"/>
      <c r="I157" s="6"/>
      <c r="J157" s="6"/>
      <c r="K157" s="6"/>
    </row>
    <row r="158" spans="1:11" ht="28.8" x14ac:dyDescent="0.3">
      <c r="A158" s="1">
        <v>41</v>
      </c>
      <c r="B158" s="1">
        <v>2023</v>
      </c>
      <c r="C158" s="3">
        <v>44959</v>
      </c>
      <c r="D158" s="4" t="s">
        <v>11</v>
      </c>
      <c r="E158" s="5" t="s">
        <v>12</v>
      </c>
      <c r="F158" s="5" t="s">
        <v>13</v>
      </c>
      <c r="G158" s="7">
        <v>42</v>
      </c>
      <c r="H158" s="7">
        <v>42</v>
      </c>
      <c r="I158" s="7">
        <v>42</v>
      </c>
      <c r="J158" s="7">
        <v>42</v>
      </c>
      <c r="K158" s="7">
        <v>42</v>
      </c>
    </row>
    <row r="159" spans="1:11" ht="28.8" x14ac:dyDescent="0.3">
      <c r="A159" s="1">
        <v>41</v>
      </c>
      <c r="B159" s="1">
        <v>2023</v>
      </c>
      <c r="C159" s="3">
        <v>44959</v>
      </c>
      <c r="D159" s="8" t="s">
        <v>11</v>
      </c>
      <c r="E159" s="9" t="s">
        <v>14</v>
      </c>
      <c r="F159" s="9" t="s">
        <v>13</v>
      </c>
      <c r="G159" s="11">
        <v>60</v>
      </c>
      <c r="H159" s="11">
        <v>60</v>
      </c>
      <c r="I159" s="11">
        <v>60</v>
      </c>
      <c r="J159" s="11">
        <v>60</v>
      </c>
      <c r="K159" s="11">
        <v>60</v>
      </c>
    </row>
    <row r="160" spans="1:11" ht="28.8" x14ac:dyDescent="0.3">
      <c r="A160" s="1">
        <v>41</v>
      </c>
      <c r="B160" s="1">
        <v>2023</v>
      </c>
      <c r="C160" s="3">
        <v>44959</v>
      </c>
      <c r="D160" s="4" t="s">
        <v>11</v>
      </c>
      <c r="E160" s="5" t="s">
        <v>15</v>
      </c>
      <c r="F160" s="5" t="s">
        <v>13</v>
      </c>
      <c r="G160" s="7">
        <v>30</v>
      </c>
      <c r="H160" s="7">
        <v>30</v>
      </c>
      <c r="I160" s="7">
        <v>42</v>
      </c>
      <c r="J160" s="7" t="s">
        <v>106</v>
      </c>
      <c r="K160" s="7" t="s">
        <v>107</v>
      </c>
    </row>
    <row r="161" spans="1:11" ht="28.8" x14ac:dyDescent="0.3">
      <c r="A161" s="1">
        <v>41</v>
      </c>
      <c r="B161" s="1">
        <v>2023</v>
      </c>
      <c r="C161" s="3">
        <v>44959</v>
      </c>
      <c r="D161" s="8" t="s">
        <v>11</v>
      </c>
      <c r="E161" s="9" t="s">
        <v>16</v>
      </c>
      <c r="F161" s="9" t="s">
        <v>13</v>
      </c>
      <c r="G161" s="11">
        <v>18</v>
      </c>
      <c r="H161" s="11">
        <v>18</v>
      </c>
      <c r="I161" s="11">
        <v>24</v>
      </c>
      <c r="J161" s="11">
        <v>21</v>
      </c>
      <c r="K161" s="11">
        <v>21</v>
      </c>
    </row>
    <row r="162" spans="1:11" ht="28.8" x14ac:dyDescent="0.3">
      <c r="A162" s="1">
        <v>41</v>
      </c>
      <c r="B162" s="1">
        <v>2023</v>
      </c>
      <c r="C162" s="3">
        <v>44959</v>
      </c>
      <c r="D162" s="4" t="s">
        <v>11</v>
      </c>
      <c r="E162" s="5" t="s">
        <v>17</v>
      </c>
      <c r="F162" s="5" t="s">
        <v>13</v>
      </c>
      <c r="G162" s="7">
        <v>18</v>
      </c>
      <c r="H162" s="7">
        <v>18</v>
      </c>
      <c r="I162" s="7">
        <v>24</v>
      </c>
      <c r="J162" s="7">
        <v>21</v>
      </c>
      <c r="K162" s="7">
        <v>21</v>
      </c>
    </row>
    <row r="163" spans="1:11" ht="28.8" x14ac:dyDescent="0.3">
      <c r="A163" s="1">
        <v>41</v>
      </c>
      <c r="B163" s="1">
        <v>2023</v>
      </c>
      <c r="C163" s="3">
        <v>44959</v>
      </c>
      <c r="D163" s="8" t="s">
        <v>11</v>
      </c>
      <c r="E163" s="9" t="s">
        <v>18</v>
      </c>
      <c r="F163" s="9" t="s">
        <v>13</v>
      </c>
      <c r="G163" s="11">
        <v>42</v>
      </c>
      <c r="H163" s="11">
        <v>42</v>
      </c>
      <c r="I163" s="11">
        <v>48</v>
      </c>
      <c r="J163" s="11">
        <v>44</v>
      </c>
      <c r="K163" s="11">
        <v>42</v>
      </c>
    </row>
    <row r="164" spans="1:11" ht="28.8" x14ac:dyDescent="0.3">
      <c r="A164" s="1">
        <v>41</v>
      </c>
      <c r="B164" s="1">
        <v>2023</v>
      </c>
      <c r="C164" s="3">
        <v>44959</v>
      </c>
      <c r="D164" s="4" t="s">
        <v>11</v>
      </c>
      <c r="E164" s="5" t="s">
        <v>19</v>
      </c>
      <c r="F164" s="5" t="s">
        <v>13</v>
      </c>
      <c r="G164" s="6"/>
      <c r="H164" s="7">
        <v>72</v>
      </c>
      <c r="I164" s="7">
        <v>78</v>
      </c>
      <c r="J164" s="7">
        <v>75</v>
      </c>
      <c r="K164" s="7">
        <v>75</v>
      </c>
    </row>
    <row r="165" spans="1:11" ht="28.8" x14ac:dyDescent="0.3">
      <c r="A165" s="1">
        <v>41</v>
      </c>
      <c r="B165" s="1">
        <v>2023</v>
      </c>
      <c r="C165" s="3">
        <v>44959</v>
      </c>
      <c r="D165" s="8" t="s">
        <v>11</v>
      </c>
      <c r="E165" s="9" t="s">
        <v>20</v>
      </c>
      <c r="F165" s="9" t="s">
        <v>13</v>
      </c>
      <c r="G165" s="10"/>
      <c r="H165" s="11">
        <v>48</v>
      </c>
      <c r="I165" s="11">
        <v>60</v>
      </c>
      <c r="J165" s="11">
        <v>54</v>
      </c>
      <c r="K165" s="11">
        <v>54</v>
      </c>
    </row>
    <row r="166" spans="1:11" ht="28.8" x14ac:dyDescent="0.3">
      <c r="A166" s="1">
        <v>41</v>
      </c>
      <c r="B166" s="1">
        <v>2023</v>
      </c>
      <c r="C166" s="3">
        <v>44959</v>
      </c>
      <c r="D166" s="4" t="s">
        <v>11</v>
      </c>
      <c r="E166" s="5" t="s">
        <v>22</v>
      </c>
      <c r="F166" s="5"/>
      <c r="G166" s="6"/>
      <c r="H166" s="7">
        <v>18</v>
      </c>
      <c r="I166" s="7">
        <v>24</v>
      </c>
      <c r="J166" s="7" t="s">
        <v>88</v>
      </c>
      <c r="K166" s="7">
        <v>20</v>
      </c>
    </row>
    <row r="167" spans="1:11" ht="28.8" x14ac:dyDescent="0.3">
      <c r="A167" s="1">
        <v>41</v>
      </c>
      <c r="B167" s="1">
        <v>2023</v>
      </c>
      <c r="C167" s="3">
        <v>44959</v>
      </c>
      <c r="D167" s="8" t="s">
        <v>11</v>
      </c>
      <c r="E167" s="9" t="s">
        <v>22</v>
      </c>
      <c r="F167" s="9"/>
      <c r="G167" s="10"/>
      <c r="H167" s="11">
        <v>80</v>
      </c>
      <c r="I167" s="11">
        <v>80</v>
      </c>
      <c r="J167" s="11">
        <v>80</v>
      </c>
      <c r="K167" s="11">
        <v>80</v>
      </c>
    </row>
    <row r="168" spans="1:11" ht="28.8" x14ac:dyDescent="0.3">
      <c r="A168" s="1">
        <v>41</v>
      </c>
      <c r="B168" s="1">
        <v>2023</v>
      </c>
      <c r="C168" s="3">
        <v>44959</v>
      </c>
      <c r="D168" s="4" t="s">
        <v>11</v>
      </c>
      <c r="E168" s="5" t="s">
        <v>23</v>
      </c>
      <c r="F168" s="5" t="s">
        <v>13</v>
      </c>
      <c r="G168" s="7">
        <v>18</v>
      </c>
      <c r="H168" s="7">
        <v>18</v>
      </c>
      <c r="I168" s="7">
        <v>24</v>
      </c>
      <c r="J168" s="7">
        <v>21</v>
      </c>
      <c r="K168" s="7">
        <v>21</v>
      </c>
    </row>
    <row r="169" spans="1:11" ht="28.8" x14ac:dyDescent="0.3">
      <c r="A169" s="1">
        <v>41</v>
      </c>
      <c r="B169" s="1">
        <v>2023</v>
      </c>
      <c r="C169" s="3">
        <v>44959</v>
      </c>
      <c r="D169" s="8" t="s">
        <v>11</v>
      </c>
      <c r="E169" s="9" t="s">
        <v>24</v>
      </c>
      <c r="F169" s="9" t="s">
        <v>13</v>
      </c>
      <c r="G169" s="10"/>
      <c r="H169" s="11">
        <v>36</v>
      </c>
      <c r="I169" s="11">
        <v>60</v>
      </c>
      <c r="J169" s="11">
        <v>48</v>
      </c>
      <c r="K169" s="11">
        <v>48</v>
      </c>
    </row>
    <row r="170" spans="1:11" ht="28.8" x14ac:dyDescent="0.3">
      <c r="A170" s="1">
        <v>41</v>
      </c>
      <c r="B170" s="1">
        <v>2023</v>
      </c>
      <c r="C170" s="3">
        <v>44959</v>
      </c>
      <c r="D170" s="4" t="s">
        <v>11</v>
      </c>
      <c r="E170" s="5" t="s">
        <v>25</v>
      </c>
      <c r="F170" s="5" t="s">
        <v>26</v>
      </c>
      <c r="G170" s="6"/>
      <c r="H170" s="7">
        <v>36</v>
      </c>
      <c r="I170" s="7">
        <v>54</v>
      </c>
      <c r="J170" s="7">
        <v>46</v>
      </c>
      <c r="K170" s="7">
        <v>48</v>
      </c>
    </row>
    <row r="171" spans="1:11" ht="28.8" x14ac:dyDescent="0.3">
      <c r="A171" s="1">
        <v>41</v>
      </c>
      <c r="B171" s="1">
        <v>2023</v>
      </c>
      <c r="C171" s="3">
        <v>44959</v>
      </c>
      <c r="D171" s="8" t="s">
        <v>11</v>
      </c>
      <c r="E171" s="9" t="s">
        <v>27</v>
      </c>
      <c r="F171" s="9" t="s">
        <v>13</v>
      </c>
      <c r="G171" s="10"/>
      <c r="H171" s="11">
        <v>40</v>
      </c>
      <c r="I171" s="11">
        <v>40</v>
      </c>
      <c r="J171" s="11">
        <v>40</v>
      </c>
      <c r="K171" s="11">
        <v>40</v>
      </c>
    </row>
    <row r="172" spans="1:11" ht="28.8" x14ac:dyDescent="0.3">
      <c r="A172" s="1">
        <v>41</v>
      </c>
      <c r="B172" s="1">
        <v>2023</v>
      </c>
      <c r="C172" s="3">
        <v>44959</v>
      </c>
      <c r="D172" s="4" t="s">
        <v>11</v>
      </c>
      <c r="E172" s="5" t="s">
        <v>28</v>
      </c>
      <c r="F172" s="5" t="s">
        <v>13</v>
      </c>
      <c r="G172" s="6"/>
      <c r="H172" s="7">
        <v>25</v>
      </c>
      <c r="I172" s="7">
        <v>40</v>
      </c>
      <c r="J172" s="7" t="s">
        <v>108</v>
      </c>
      <c r="K172" s="7">
        <v>30</v>
      </c>
    </row>
    <row r="173" spans="1:11" ht="28.8" x14ac:dyDescent="0.3">
      <c r="A173" s="1">
        <v>41</v>
      </c>
      <c r="B173" s="1">
        <v>2023</v>
      </c>
      <c r="C173" s="3">
        <v>44959</v>
      </c>
      <c r="D173" s="8" t="s">
        <v>11</v>
      </c>
      <c r="E173" s="9" t="s">
        <v>29</v>
      </c>
      <c r="F173" s="9" t="s">
        <v>13</v>
      </c>
      <c r="G173" s="11">
        <v>36</v>
      </c>
      <c r="H173" s="11">
        <v>36</v>
      </c>
      <c r="I173" s="11">
        <v>42</v>
      </c>
      <c r="J173" s="11">
        <v>39</v>
      </c>
      <c r="K173" s="11">
        <v>39</v>
      </c>
    </row>
    <row r="174" spans="1:11" ht="28.8" x14ac:dyDescent="0.3">
      <c r="A174" s="1">
        <v>41</v>
      </c>
      <c r="B174" s="1">
        <v>2023</v>
      </c>
      <c r="C174" s="3">
        <v>44959</v>
      </c>
      <c r="D174" s="4" t="s">
        <v>30</v>
      </c>
      <c r="E174" s="5" t="s">
        <v>31</v>
      </c>
      <c r="F174" s="5" t="s">
        <v>32</v>
      </c>
      <c r="G174" s="6"/>
      <c r="H174" s="7" t="s">
        <v>74</v>
      </c>
      <c r="I174" s="7">
        <v>5</v>
      </c>
      <c r="J174" s="7" t="s">
        <v>109</v>
      </c>
      <c r="K174" s="7">
        <v>4</v>
      </c>
    </row>
    <row r="175" spans="1:11" ht="28.8" x14ac:dyDescent="0.3">
      <c r="A175" s="1">
        <v>41</v>
      </c>
      <c r="B175" s="1">
        <v>2023</v>
      </c>
      <c r="C175" s="3">
        <v>44959</v>
      </c>
      <c r="D175" s="8" t="s">
        <v>30</v>
      </c>
      <c r="E175" s="9" t="s">
        <v>34</v>
      </c>
      <c r="F175" s="9" t="s">
        <v>35</v>
      </c>
      <c r="G175" s="11">
        <v>20</v>
      </c>
      <c r="H175" s="11">
        <v>20</v>
      </c>
      <c r="I175" s="11">
        <v>22</v>
      </c>
      <c r="J175" s="11" t="s">
        <v>88</v>
      </c>
      <c r="K175" s="11">
        <v>20</v>
      </c>
    </row>
    <row r="176" spans="1:11" ht="28.8" x14ac:dyDescent="0.3">
      <c r="A176" s="1">
        <v>41</v>
      </c>
      <c r="B176" s="1">
        <v>2023</v>
      </c>
      <c r="C176" s="3">
        <v>44959</v>
      </c>
      <c r="D176" s="4" t="s">
        <v>30</v>
      </c>
      <c r="E176" s="5" t="s">
        <v>36</v>
      </c>
      <c r="F176" s="5" t="s">
        <v>35</v>
      </c>
      <c r="G176" s="7">
        <v>20</v>
      </c>
      <c r="H176" s="7">
        <v>20</v>
      </c>
      <c r="I176" s="7">
        <v>30</v>
      </c>
      <c r="J176" s="7" t="s">
        <v>110</v>
      </c>
      <c r="K176" s="7">
        <v>20</v>
      </c>
    </row>
    <row r="177" spans="1:11" ht="43.2" x14ac:dyDescent="0.3">
      <c r="A177" s="1">
        <v>41</v>
      </c>
      <c r="B177" s="1">
        <v>2023</v>
      </c>
      <c r="C177" s="3">
        <v>44959</v>
      </c>
      <c r="D177" s="8" t="s">
        <v>38</v>
      </c>
      <c r="E177" s="9" t="s">
        <v>39</v>
      </c>
      <c r="F177" s="9" t="s">
        <v>40</v>
      </c>
      <c r="G177" s="11">
        <v>35</v>
      </c>
      <c r="H177" s="11">
        <v>35</v>
      </c>
      <c r="I177" s="11">
        <v>65</v>
      </c>
      <c r="J177" s="11" t="s">
        <v>111</v>
      </c>
      <c r="K177" s="11">
        <v>50</v>
      </c>
    </row>
    <row r="178" spans="1:11" ht="43.2" x14ac:dyDescent="0.3">
      <c r="A178" s="1">
        <v>41</v>
      </c>
      <c r="B178" s="1">
        <v>2023</v>
      </c>
      <c r="C178" s="3">
        <v>44959</v>
      </c>
      <c r="D178" s="4" t="s">
        <v>38</v>
      </c>
      <c r="E178" s="5" t="s">
        <v>42</v>
      </c>
      <c r="F178" s="5" t="s">
        <v>43</v>
      </c>
      <c r="G178" s="7">
        <v>35</v>
      </c>
      <c r="H178" s="7">
        <v>35</v>
      </c>
      <c r="I178" s="7">
        <v>65</v>
      </c>
      <c r="J178" s="7" t="s">
        <v>112</v>
      </c>
      <c r="K178" s="7">
        <v>55</v>
      </c>
    </row>
    <row r="179" spans="1:11" ht="43.2" x14ac:dyDescent="0.3">
      <c r="A179" s="1">
        <v>41</v>
      </c>
      <c r="B179" s="1">
        <v>2023</v>
      </c>
      <c r="C179" s="3">
        <v>44959</v>
      </c>
      <c r="D179" s="8" t="s">
        <v>38</v>
      </c>
      <c r="E179" s="9" t="s">
        <v>44</v>
      </c>
      <c r="F179" s="9" t="s">
        <v>45</v>
      </c>
      <c r="G179" s="11">
        <v>35</v>
      </c>
      <c r="H179" s="11">
        <v>30</v>
      </c>
      <c r="I179" s="11">
        <v>50</v>
      </c>
      <c r="J179" s="11" t="s">
        <v>113</v>
      </c>
      <c r="K179" s="11">
        <v>35</v>
      </c>
    </row>
    <row r="180" spans="1:11" ht="43.2" x14ac:dyDescent="0.3">
      <c r="A180" s="1">
        <v>41</v>
      </c>
      <c r="B180" s="1">
        <v>2023</v>
      </c>
      <c r="C180" s="3">
        <v>44959</v>
      </c>
      <c r="D180" s="4" t="s">
        <v>38</v>
      </c>
      <c r="E180" s="5" t="s">
        <v>48</v>
      </c>
      <c r="F180" s="5" t="s">
        <v>45</v>
      </c>
      <c r="G180" s="7">
        <v>100</v>
      </c>
      <c r="H180" s="7">
        <v>100</v>
      </c>
      <c r="I180" s="7">
        <v>110</v>
      </c>
      <c r="J180" s="7" t="s">
        <v>114</v>
      </c>
      <c r="K180" s="7">
        <v>100</v>
      </c>
    </row>
    <row r="181" spans="1:11" ht="43.2" x14ac:dyDescent="0.3">
      <c r="A181" s="1">
        <v>41</v>
      </c>
      <c r="B181" s="1">
        <v>2023</v>
      </c>
      <c r="C181" s="3">
        <v>44959</v>
      </c>
      <c r="D181" s="8" t="s">
        <v>38</v>
      </c>
      <c r="E181" s="9" t="s">
        <v>49</v>
      </c>
      <c r="F181" s="9" t="s">
        <v>50</v>
      </c>
      <c r="G181" s="11">
        <v>50</v>
      </c>
      <c r="H181" s="11">
        <v>40</v>
      </c>
      <c r="I181" s="11">
        <v>55</v>
      </c>
      <c r="J181" s="11" t="s">
        <v>115</v>
      </c>
      <c r="K181" s="11">
        <v>50</v>
      </c>
    </row>
    <row r="182" spans="1:11" ht="43.2" x14ac:dyDescent="0.3">
      <c r="A182" s="1">
        <v>41</v>
      </c>
      <c r="B182" s="1">
        <v>2023</v>
      </c>
      <c r="C182" s="3">
        <v>44959</v>
      </c>
      <c r="D182" s="4" t="s">
        <v>38</v>
      </c>
      <c r="E182" s="5" t="s">
        <v>52</v>
      </c>
      <c r="F182" s="5" t="s">
        <v>43</v>
      </c>
      <c r="G182" s="7">
        <v>70</v>
      </c>
      <c r="H182" s="7">
        <v>60</v>
      </c>
      <c r="I182" s="7">
        <v>70</v>
      </c>
      <c r="J182" s="7" t="s">
        <v>102</v>
      </c>
      <c r="K182" s="7" t="s">
        <v>84</v>
      </c>
    </row>
    <row r="183" spans="1:11" ht="43.2" x14ac:dyDescent="0.3">
      <c r="A183" s="1">
        <v>41</v>
      </c>
      <c r="B183" s="1">
        <v>2023</v>
      </c>
      <c r="C183" s="3">
        <v>44959</v>
      </c>
      <c r="D183" s="8" t="s">
        <v>38</v>
      </c>
      <c r="E183" s="9" t="s">
        <v>53</v>
      </c>
      <c r="F183" s="9" t="s">
        <v>43</v>
      </c>
      <c r="G183" s="11">
        <v>70</v>
      </c>
      <c r="H183" s="11">
        <v>70</v>
      </c>
      <c r="I183" s="11">
        <v>75</v>
      </c>
      <c r="J183" s="11" t="s">
        <v>103</v>
      </c>
      <c r="K183" s="11">
        <v>70</v>
      </c>
    </row>
    <row r="184" spans="1:11" ht="43.2" x14ac:dyDescent="0.3">
      <c r="A184" s="1">
        <v>41</v>
      </c>
      <c r="B184" s="1">
        <v>2023</v>
      </c>
      <c r="C184" s="3">
        <v>44959</v>
      </c>
      <c r="D184" s="4" t="s">
        <v>38</v>
      </c>
      <c r="E184" s="5" t="s">
        <v>54</v>
      </c>
      <c r="F184" s="5" t="s">
        <v>40</v>
      </c>
      <c r="G184" s="7">
        <v>70</v>
      </c>
      <c r="H184" s="7">
        <v>60</v>
      </c>
      <c r="I184" s="7">
        <v>80</v>
      </c>
      <c r="J184" s="7">
        <v>70</v>
      </c>
      <c r="K184" s="7">
        <v>70</v>
      </c>
    </row>
    <row r="185" spans="1:11" ht="43.2" x14ac:dyDescent="0.3">
      <c r="A185" s="1">
        <v>41</v>
      </c>
      <c r="B185" s="1">
        <v>2023</v>
      </c>
      <c r="C185" s="3">
        <v>44959</v>
      </c>
      <c r="D185" s="8" t="s">
        <v>38</v>
      </c>
      <c r="E185" s="9" t="s">
        <v>56</v>
      </c>
      <c r="F185" s="9" t="s">
        <v>43</v>
      </c>
      <c r="G185" s="10"/>
      <c r="H185" s="11">
        <v>60</v>
      </c>
      <c r="I185" s="11">
        <v>60</v>
      </c>
      <c r="J185" s="11">
        <v>60</v>
      </c>
      <c r="K185" s="11">
        <v>60</v>
      </c>
    </row>
    <row r="186" spans="1:11" ht="43.2" x14ac:dyDescent="0.3">
      <c r="A186" s="1">
        <v>41</v>
      </c>
      <c r="B186" s="1">
        <v>2023</v>
      </c>
      <c r="C186" s="3">
        <v>44959</v>
      </c>
      <c r="D186" s="4" t="s">
        <v>38</v>
      </c>
      <c r="E186" s="5" t="s">
        <v>57</v>
      </c>
      <c r="F186" s="5" t="s">
        <v>40</v>
      </c>
      <c r="G186" s="7">
        <v>50</v>
      </c>
      <c r="H186" s="7">
        <v>40</v>
      </c>
      <c r="I186" s="7">
        <v>50</v>
      </c>
      <c r="J186" s="7" t="s">
        <v>91</v>
      </c>
      <c r="K186" s="7">
        <v>50</v>
      </c>
    </row>
    <row r="187" spans="1:11" ht="43.2" x14ac:dyDescent="0.3">
      <c r="A187" s="1">
        <v>41</v>
      </c>
      <c r="B187" s="1">
        <v>2023</v>
      </c>
      <c r="C187" s="3">
        <v>44959</v>
      </c>
      <c r="D187" s="8" t="s">
        <v>38</v>
      </c>
      <c r="E187" s="9" t="s">
        <v>58</v>
      </c>
      <c r="F187" s="9" t="s">
        <v>40</v>
      </c>
      <c r="G187" s="11">
        <v>80</v>
      </c>
      <c r="H187" s="11">
        <v>65</v>
      </c>
      <c r="I187" s="11">
        <v>80</v>
      </c>
      <c r="J187" s="11">
        <v>75</v>
      </c>
      <c r="K187" s="11">
        <v>80</v>
      </c>
    </row>
    <row r="188" spans="1:11" ht="43.2" x14ac:dyDescent="0.3">
      <c r="A188" s="1">
        <v>41</v>
      </c>
      <c r="B188" s="1">
        <v>2023</v>
      </c>
      <c r="C188" s="3">
        <v>44959</v>
      </c>
      <c r="D188" s="4" t="s">
        <v>38</v>
      </c>
      <c r="E188" s="5" t="s">
        <v>59</v>
      </c>
      <c r="F188" s="5" t="s">
        <v>45</v>
      </c>
      <c r="G188" s="7">
        <v>35</v>
      </c>
      <c r="H188" s="7">
        <v>30</v>
      </c>
      <c r="I188" s="7">
        <v>45</v>
      </c>
      <c r="J188" s="7" t="s">
        <v>116</v>
      </c>
      <c r="K188" s="7">
        <v>35</v>
      </c>
    </row>
    <row r="189" spans="1:11" ht="43.2" x14ac:dyDescent="0.3">
      <c r="A189" s="1">
        <v>41</v>
      </c>
      <c r="B189" s="1">
        <v>2023</v>
      </c>
      <c r="C189" s="3">
        <v>44959</v>
      </c>
      <c r="D189" s="8" t="s">
        <v>38</v>
      </c>
      <c r="E189" s="9" t="s">
        <v>60</v>
      </c>
      <c r="F189" s="9" t="s">
        <v>61</v>
      </c>
      <c r="G189" s="11">
        <v>70</v>
      </c>
      <c r="H189" s="11">
        <v>70</v>
      </c>
      <c r="I189" s="11">
        <v>100</v>
      </c>
      <c r="J189" s="11" t="s">
        <v>117</v>
      </c>
      <c r="K189" s="11">
        <v>70</v>
      </c>
    </row>
    <row r="190" spans="1:11" ht="43.2" x14ac:dyDescent="0.3">
      <c r="A190" s="1">
        <v>41</v>
      </c>
      <c r="B190" s="1">
        <v>2023</v>
      </c>
      <c r="C190" s="3">
        <v>44959</v>
      </c>
      <c r="D190" s="4" t="s">
        <v>38</v>
      </c>
      <c r="E190" s="5" t="s">
        <v>63</v>
      </c>
      <c r="F190" s="5" t="s">
        <v>40</v>
      </c>
      <c r="G190" s="7">
        <v>100</v>
      </c>
      <c r="H190" s="7">
        <v>90</v>
      </c>
      <c r="I190" s="7">
        <v>110</v>
      </c>
      <c r="J190" s="7" t="s">
        <v>82</v>
      </c>
      <c r="K190" s="7">
        <v>100</v>
      </c>
    </row>
    <row r="191" spans="1:11" ht="43.2" x14ac:dyDescent="0.3">
      <c r="A191" s="1">
        <v>41</v>
      </c>
      <c r="B191" s="1">
        <v>2023</v>
      </c>
      <c r="C191" s="3">
        <v>44959</v>
      </c>
      <c r="D191" s="8" t="s">
        <v>38</v>
      </c>
      <c r="E191" s="9" t="s">
        <v>64</v>
      </c>
      <c r="F191" s="9" t="s">
        <v>40</v>
      </c>
      <c r="G191" s="11">
        <v>35</v>
      </c>
      <c r="H191" s="11">
        <v>35</v>
      </c>
      <c r="I191" s="11">
        <v>65</v>
      </c>
      <c r="J191" s="11" t="s">
        <v>111</v>
      </c>
      <c r="K191" s="11">
        <v>50</v>
      </c>
    </row>
    <row r="192" spans="1:11" x14ac:dyDescent="0.3">
      <c r="A192" s="1">
        <v>41</v>
      </c>
      <c r="B192" s="1">
        <v>2023</v>
      </c>
      <c r="C192" s="3">
        <v>44959</v>
      </c>
      <c r="D192" s="4" t="s">
        <v>65</v>
      </c>
      <c r="E192" s="5" t="s">
        <v>66</v>
      </c>
      <c r="F192" s="5" t="s">
        <v>40</v>
      </c>
      <c r="G192" s="6"/>
      <c r="H192" s="6"/>
      <c r="I192" s="6"/>
      <c r="J192" s="6"/>
      <c r="K192" s="6"/>
    </row>
    <row r="193" spans="1:11" x14ac:dyDescent="0.3">
      <c r="A193" s="1">
        <v>41</v>
      </c>
      <c r="B193" s="1">
        <v>2023</v>
      </c>
      <c r="C193" s="3">
        <v>44959</v>
      </c>
      <c r="D193" s="8" t="s">
        <v>65</v>
      </c>
      <c r="E193" s="9" t="s">
        <v>67</v>
      </c>
      <c r="F193" s="9" t="s">
        <v>40</v>
      </c>
      <c r="G193" s="10"/>
      <c r="H193" s="10"/>
      <c r="I193" s="10"/>
      <c r="J193" s="10"/>
      <c r="K193" s="10"/>
    </row>
    <row r="194" spans="1:11" x14ac:dyDescent="0.3">
      <c r="A194" s="1">
        <v>41</v>
      </c>
      <c r="B194" s="1">
        <v>2023</v>
      </c>
      <c r="C194" s="3">
        <v>44959</v>
      </c>
      <c r="D194" s="4" t="s">
        <v>65</v>
      </c>
      <c r="E194" s="5" t="s">
        <v>68</v>
      </c>
      <c r="F194" s="5" t="s">
        <v>40</v>
      </c>
      <c r="G194" s="6"/>
      <c r="H194" s="6"/>
      <c r="I194" s="6"/>
      <c r="J194" s="6"/>
      <c r="K194" s="6"/>
    </row>
    <row r="195" spans="1:11" x14ac:dyDescent="0.3">
      <c r="A195" s="1">
        <v>41</v>
      </c>
      <c r="B195" s="1">
        <v>2023</v>
      </c>
      <c r="C195" s="3">
        <v>44959</v>
      </c>
      <c r="D195" s="8" t="s">
        <v>65</v>
      </c>
      <c r="E195" s="9" t="s">
        <v>69</v>
      </c>
      <c r="F195" s="9" t="s">
        <v>45</v>
      </c>
      <c r="G195" s="10"/>
      <c r="H195" s="10"/>
      <c r="I195" s="10"/>
      <c r="J195" s="10"/>
      <c r="K195" s="10"/>
    </row>
    <row r="196" spans="1:11" x14ac:dyDescent="0.3">
      <c r="A196" s="1">
        <v>41</v>
      </c>
      <c r="B196" s="1">
        <v>2023</v>
      </c>
      <c r="C196" s="3">
        <v>44959</v>
      </c>
      <c r="D196" s="4" t="s">
        <v>65</v>
      </c>
      <c r="E196" s="5" t="s">
        <v>70</v>
      </c>
      <c r="F196" s="5" t="s">
        <v>71</v>
      </c>
      <c r="G196" s="6"/>
      <c r="H196" s="6"/>
      <c r="I196" s="6"/>
      <c r="J196" s="6"/>
      <c r="K196" s="6"/>
    </row>
    <row r="197" spans="1:11" ht="28.8" x14ac:dyDescent="0.3">
      <c r="A197" s="1">
        <v>42</v>
      </c>
      <c r="B197" s="1">
        <v>2023</v>
      </c>
      <c r="C197" s="3">
        <v>44966</v>
      </c>
      <c r="D197" s="4" t="s">
        <v>11</v>
      </c>
      <c r="E197" s="5" t="s">
        <v>12</v>
      </c>
      <c r="F197" s="5" t="s">
        <v>13</v>
      </c>
      <c r="G197" s="6"/>
      <c r="H197" s="7">
        <v>42</v>
      </c>
      <c r="I197" s="7">
        <v>48</v>
      </c>
      <c r="J197" s="7">
        <v>45</v>
      </c>
      <c r="K197" s="7">
        <v>45</v>
      </c>
    </row>
    <row r="198" spans="1:11" ht="28.8" x14ac:dyDescent="0.3">
      <c r="A198" s="1">
        <v>42</v>
      </c>
      <c r="B198" s="1">
        <v>2023</v>
      </c>
      <c r="C198" s="3">
        <v>44966</v>
      </c>
      <c r="D198" s="8" t="s">
        <v>11</v>
      </c>
      <c r="E198" s="9" t="s">
        <v>14</v>
      </c>
      <c r="F198" s="9" t="s">
        <v>13</v>
      </c>
      <c r="G198" s="11">
        <v>60</v>
      </c>
      <c r="H198" s="11">
        <v>60</v>
      </c>
      <c r="I198" s="11">
        <v>60</v>
      </c>
      <c r="J198" s="11">
        <v>60</v>
      </c>
      <c r="K198" s="11">
        <v>60</v>
      </c>
    </row>
    <row r="199" spans="1:11" ht="28.8" x14ac:dyDescent="0.3">
      <c r="A199" s="1">
        <v>42</v>
      </c>
      <c r="B199" s="1">
        <v>2023</v>
      </c>
      <c r="C199" s="3">
        <v>44966</v>
      </c>
      <c r="D199" s="4" t="s">
        <v>11</v>
      </c>
      <c r="E199" s="5" t="s">
        <v>15</v>
      </c>
      <c r="F199" s="5" t="s">
        <v>13</v>
      </c>
      <c r="G199" s="6"/>
      <c r="H199" s="7">
        <v>24</v>
      </c>
      <c r="I199" s="7">
        <v>36</v>
      </c>
      <c r="J199" s="7">
        <v>30</v>
      </c>
      <c r="K199" s="7">
        <v>30</v>
      </c>
    </row>
    <row r="200" spans="1:11" ht="28.8" x14ac:dyDescent="0.3">
      <c r="A200" s="1">
        <v>42</v>
      </c>
      <c r="B200" s="1">
        <v>2023</v>
      </c>
      <c r="C200" s="3">
        <v>44966</v>
      </c>
      <c r="D200" s="8" t="s">
        <v>11</v>
      </c>
      <c r="E200" s="9" t="s">
        <v>16</v>
      </c>
      <c r="F200" s="9" t="s">
        <v>13</v>
      </c>
      <c r="G200" s="11">
        <v>18</v>
      </c>
      <c r="H200" s="11">
        <v>18</v>
      </c>
      <c r="I200" s="11">
        <v>26</v>
      </c>
      <c r="J200" s="11" t="s">
        <v>118</v>
      </c>
      <c r="K200" s="11">
        <v>22</v>
      </c>
    </row>
    <row r="201" spans="1:11" ht="28.8" x14ac:dyDescent="0.3">
      <c r="A201" s="1">
        <v>42</v>
      </c>
      <c r="B201" s="1">
        <v>2023</v>
      </c>
      <c r="C201" s="3">
        <v>44966</v>
      </c>
      <c r="D201" s="4" t="s">
        <v>11</v>
      </c>
      <c r="E201" s="5" t="s">
        <v>17</v>
      </c>
      <c r="F201" s="5" t="s">
        <v>13</v>
      </c>
      <c r="G201" s="6"/>
      <c r="H201" s="7">
        <v>18</v>
      </c>
      <c r="I201" s="7">
        <v>35</v>
      </c>
      <c r="J201" s="7" t="s">
        <v>119</v>
      </c>
      <c r="K201" s="7">
        <v>23</v>
      </c>
    </row>
    <row r="202" spans="1:11" ht="28.8" x14ac:dyDescent="0.3">
      <c r="A202" s="1">
        <v>42</v>
      </c>
      <c r="B202" s="1">
        <v>2023</v>
      </c>
      <c r="C202" s="3">
        <v>44966</v>
      </c>
      <c r="D202" s="8" t="s">
        <v>11</v>
      </c>
      <c r="E202" s="9" t="s">
        <v>18</v>
      </c>
      <c r="F202" s="9" t="s">
        <v>13</v>
      </c>
      <c r="G202" s="10"/>
      <c r="H202" s="11">
        <v>48</v>
      </c>
      <c r="I202" s="11">
        <v>48</v>
      </c>
      <c r="J202" s="11">
        <v>48</v>
      </c>
      <c r="K202" s="11">
        <v>48</v>
      </c>
    </row>
    <row r="203" spans="1:11" ht="28.8" x14ac:dyDescent="0.3">
      <c r="A203" s="1">
        <v>42</v>
      </c>
      <c r="B203" s="1">
        <v>2023</v>
      </c>
      <c r="C203" s="3">
        <v>44966</v>
      </c>
      <c r="D203" s="4" t="s">
        <v>11</v>
      </c>
      <c r="E203" s="5" t="s">
        <v>19</v>
      </c>
      <c r="F203" s="5" t="s">
        <v>13</v>
      </c>
      <c r="G203" s="7">
        <v>72</v>
      </c>
      <c r="H203" s="7">
        <v>48</v>
      </c>
      <c r="I203" s="7">
        <v>72</v>
      </c>
      <c r="J203" s="7">
        <v>64</v>
      </c>
      <c r="K203" s="7">
        <v>72</v>
      </c>
    </row>
    <row r="204" spans="1:11" ht="28.8" x14ac:dyDescent="0.3">
      <c r="A204" s="1">
        <v>42</v>
      </c>
      <c r="B204" s="1">
        <v>2023</v>
      </c>
      <c r="C204" s="3">
        <v>44966</v>
      </c>
      <c r="D204" s="8" t="s">
        <v>11</v>
      </c>
      <c r="E204" s="9" t="s">
        <v>20</v>
      </c>
      <c r="F204" s="9" t="s">
        <v>13</v>
      </c>
      <c r="G204" s="11">
        <v>72</v>
      </c>
      <c r="H204" s="11">
        <v>72</v>
      </c>
      <c r="I204" s="11">
        <v>72</v>
      </c>
      <c r="J204" s="11">
        <v>72</v>
      </c>
      <c r="K204" s="11">
        <v>72</v>
      </c>
    </row>
    <row r="205" spans="1:11" ht="28.8" x14ac:dyDescent="0.3">
      <c r="A205" s="1">
        <v>42</v>
      </c>
      <c r="B205" s="1">
        <v>2023</v>
      </c>
      <c r="C205" s="3">
        <v>44966</v>
      </c>
      <c r="D205" s="4" t="s">
        <v>11</v>
      </c>
      <c r="E205" s="5" t="s">
        <v>21</v>
      </c>
      <c r="F205" s="5" t="s">
        <v>13</v>
      </c>
      <c r="G205" s="7">
        <v>24</v>
      </c>
      <c r="H205" s="7">
        <v>15</v>
      </c>
      <c r="I205" s="7">
        <v>24</v>
      </c>
      <c r="J205" s="7" t="s">
        <v>120</v>
      </c>
      <c r="K205" s="7">
        <v>21</v>
      </c>
    </row>
    <row r="206" spans="1:11" ht="28.8" x14ac:dyDescent="0.3">
      <c r="A206" s="1">
        <v>42</v>
      </c>
      <c r="B206" s="1">
        <v>2023</v>
      </c>
      <c r="C206" s="3">
        <v>44966</v>
      </c>
      <c r="D206" s="8" t="s">
        <v>11</v>
      </c>
      <c r="E206" s="9" t="s">
        <v>22</v>
      </c>
      <c r="F206" s="9"/>
      <c r="G206" s="10"/>
      <c r="H206" s="11">
        <v>60</v>
      </c>
      <c r="I206" s="11">
        <v>78</v>
      </c>
      <c r="J206" s="11" t="s">
        <v>121</v>
      </c>
      <c r="K206" s="11">
        <v>70</v>
      </c>
    </row>
    <row r="207" spans="1:11" ht="28.8" x14ac:dyDescent="0.3">
      <c r="A207" s="1">
        <v>42</v>
      </c>
      <c r="B207" s="1">
        <v>2023</v>
      </c>
      <c r="C207" s="3">
        <v>44966</v>
      </c>
      <c r="D207" s="4" t="s">
        <v>11</v>
      </c>
      <c r="E207" s="5" t="s">
        <v>23</v>
      </c>
      <c r="F207" s="5" t="s">
        <v>13</v>
      </c>
      <c r="G207" s="7">
        <v>18</v>
      </c>
      <c r="H207" s="7">
        <v>18</v>
      </c>
      <c r="I207" s="7">
        <v>24</v>
      </c>
      <c r="J207" s="7" t="s">
        <v>122</v>
      </c>
      <c r="K207" s="7">
        <v>20</v>
      </c>
    </row>
    <row r="208" spans="1:11" ht="28.8" x14ac:dyDescent="0.3">
      <c r="A208" s="1">
        <v>42</v>
      </c>
      <c r="B208" s="1">
        <v>2023</v>
      </c>
      <c r="C208" s="3">
        <v>44966</v>
      </c>
      <c r="D208" s="8" t="s">
        <v>11</v>
      </c>
      <c r="E208" s="9" t="s">
        <v>24</v>
      </c>
      <c r="F208" s="9" t="s">
        <v>13</v>
      </c>
      <c r="G208" s="10"/>
      <c r="H208" s="11">
        <v>54</v>
      </c>
      <c r="I208" s="11">
        <v>60</v>
      </c>
      <c r="J208" s="11">
        <v>57</v>
      </c>
      <c r="K208" s="11">
        <v>57</v>
      </c>
    </row>
    <row r="209" spans="1:11" ht="28.8" x14ac:dyDescent="0.3">
      <c r="A209" s="1">
        <v>42</v>
      </c>
      <c r="B209" s="1">
        <v>2023</v>
      </c>
      <c r="C209" s="3">
        <v>44966</v>
      </c>
      <c r="D209" s="4" t="s">
        <v>11</v>
      </c>
      <c r="E209" s="5" t="s">
        <v>25</v>
      </c>
      <c r="F209" s="5" t="s">
        <v>26</v>
      </c>
      <c r="G209" s="6"/>
      <c r="H209" s="7">
        <v>60</v>
      </c>
      <c r="I209" s="7">
        <v>60</v>
      </c>
      <c r="J209" s="7">
        <v>60</v>
      </c>
      <c r="K209" s="7">
        <v>60</v>
      </c>
    </row>
    <row r="210" spans="1:11" ht="28.8" x14ac:dyDescent="0.3">
      <c r="A210" s="1">
        <v>42</v>
      </c>
      <c r="B210" s="1">
        <v>2023</v>
      </c>
      <c r="C210" s="3">
        <v>44966</v>
      </c>
      <c r="D210" s="8" t="s">
        <v>11</v>
      </c>
      <c r="E210" s="9" t="s">
        <v>27</v>
      </c>
      <c r="F210" s="9" t="s">
        <v>13</v>
      </c>
      <c r="G210" s="10"/>
      <c r="H210" s="11">
        <v>48</v>
      </c>
      <c r="I210" s="11">
        <v>60</v>
      </c>
      <c r="J210" s="11">
        <v>54</v>
      </c>
      <c r="K210" s="11">
        <v>54</v>
      </c>
    </row>
    <row r="211" spans="1:11" ht="28.8" x14ac:dyDescent="0.3">
      <c r="A211" s="1">
        <v>42</v>
      </c>
      <c r="B211" s="1">
        <v>2023</v>
      </c>
      <c r="C211" s="3">
        <v>44966</v>
      </c>
      <c r="D211" s="4" t="s">
        <v>11</v>
      </c>
      <c r="E211" s="5" t="s">
        <v>28</v>
      </c>
      <c r="F211" s="5" t="s">
        <v>13</v>
      </c>
      <c r="G211" s="7">
        <v>36</v>
      </c>
      <c r="H211" s="7">
        <v>35</v>
      </c>
      <c r="I211" s="7">
        <v>40</v>
      </c>
      <c r="J211" s="7" t="s">
        <v>123</v>
      </c>
      <c r="K211" s="7">
        <v>36</v>
      </c>
    </row>
    <row r="212" spans="1:11" ht="28.8" x14ac:dyDescent="0.3">
      <c r="A212" s="1">
        <v>42</v>
      </c>
      <c r="B212" s="1">
        <v>2023</v>
      </c>
      <c r="C212" s="3">
        <v>44966</v>
      </c>
      <c r="D212" s="8" t="s">
        <v>11</v>
      </c>
      <c r="E212" s="9" t="s">
        <v>29</v>
      </c>
      <c r="F212" s="9" t="s">
        <v>13</v>
      </c>
      <c r="G212" s="11">
        <v>42</v>
      </c>
      <c r="H212" s="11">
        <v>42</v>
      </c>
      <c r="I212" s="11">
        <v>42</v>
      </c>
      <c r="J212" s="11">
        <v>42</v>
      </c>
      <c r="K212" s="11">
        <v>42</v>
      </c>
    </row>
    <row r="213" spans="1:11" ht="28.8" x14ac:dyDescent="0.3">
      <c r="A213" s="1">
        <v>42</v>
      </c>
      <c r="B213" s="1">
        <v>2023</v>
      </c>
      <c r="C213" s="3">
        <v>44966</v>
      </c>
      <c r="D213" s="4" t="s">
        <v>30</v>
      </c>
      <c r="E213" s="5" t="s">
        <v>31</v>
      </c>
      <c r="F213" s="5" t="s">
        <v>32</v>
      </c>
      <c r="G213" s="7">
        <v>4</v>
      </c>
      <c r="H213" s="7">
        <v>4</v>
      </c>
      <c r="I213" s="7">
        <v>5</v>
      </c>
      <c r="J213" s="7" t="s">
        <v>124</v>
      </c>
      <c r="K213" s="7">
        <v>4</v>
      </c>
    </row>
    <row r="214" spans="1:11" ht="28.8" x14ac:dyDescent="0.3">
      <c r="A214" s="1">
        <v>42</v>
      </c>
      <c r="B214" s="1">
        <v>2023</v>
      </c>
      <c r="C214" s="3">
        <v>44966</v>
      </c>
      <c r="D214" s="8" t="s">
        <v>30</v>
      </c>
      <c r="E214" s="9" t="s">
        <v>34</v>
      </c>
      <c r="F214" s="9" t="s">
        <v>35</v>
      </c>
      <c r="G214" s="11">
        <v>25</v>
      </c>
      <c r="H214" s="11">
        <v>15</v>
      </c>
      <c r="I214" s="11">
        <v>25</v>
      </c>
      <c r="J214" s="11" t="s">
        <v>125</v>
      </c>
      <c r="K214" s="11">
        <v>22</v>
      </c>
    </row>
    <row r="215" spans="1:11" ht="28.8" x14ac:dyDescent="0.3">
      <c r="A215" s="1">
        <v>42</v>
      </c>
      <c r="B215" s="1">
        <v>2023</v>
      </c>
      <c r="C215" s="3">
        <v>44966</v>
      </c>
      <c r="D215" s="4" t="s">
        <v>30</v>
      </c>
      <c r="E215" s="5" t="s">
        <v>36</v>
      </c>
      <c r="F215" s="5" t="s">
        <v>35</v>
      </c>
      <c r="G215" s="7">
        <v>25</v>
      </c>
      <c r="H215" s="7">
        <v>25</v>
      </c>
      <c r="I215" s="7">
        <v>25</v>
      </c>
      <c r="J215" s="7">
        <v>25</v>
      </c>
      <c r="K215" s="7">
        <v>25</v>
      </c>
    </row>
    <row r="216" spans="1:11" ht="43.2" x14ac:dyDescent="0.3">
      <c r="A216" s="1">
        <v>42</v>
      </c>
      <c r="B216" s="1">
        <v>2023</v>
      </c>
      <c r="C216" s="3">
        <v>44966</v>
      </c>
      <c r="D216" s="8" t="s">
        <v>38</v>
      </c>
      <c r="E216" s="9" t="s">
        <v>39</v>
      </c>
      <c r="F216" s="9" t="s">
        <v>40</v>
      </c>
      <c r="G216" s="11">
        <v>70</v>
      </c>
      <c r="H216" s="11">
        <v>35</v>
      </c>
      <c r="I216" s="11">
        <v>70</v>
      </c>
      <c r="J216" s="11" t="s">
        <v>126</v>
      </c>
      <c r="K216" s="11">
        <v>60</v>
      </c>
    </row>
    <row r="217" spans="1:11" ht="43.2" x14ac:dyDescent="0.3">
      <c r="A217" s="1">
        <v>42</v>
      </c>
      <c r="B217" s="1">
        <v>2023</v>
      </c>
      <c r="C217" s="3">
        <v>44966</v>
      </c>
      <c r="D217" s="4" t="s">
        <v>38</v>
      </c>
      <c r="E217" s="5" t="s">
        <v>42</v>
      </c>
      <c r="F217" s="5" t="s">
        <v>43</v>
      </c>
      <c r="G217" s="7">
        <v>35</v>
      </c>
      <c r="H217" s="7">
        <v>35</v>
      </c>
      <c r="I217" s="7">
        <v>65</v>
      </c>
      <c r="J217" s="7" t="s">
        <v>127</v>
      </c>
      <c r="K217" s="7">
        <v>40</v>
      </c>
    </row>
    <row r="218" spans="1:11" ht="43.2" x14ac:dyDescent="0.3">
      <c r="A218" s="1">
        <v>42</v>
      </c>
      <c r="B218" s="1">
        <v>2023</v>
      </c>
      <c r="C218" s="3">
        <v>44966</v>
      </c>
      <c r="D218" s="8" t="s">
        <v>38</v>
      </c>
      <c r="E218" s="9" t="s">
        <v>44</v>
      </c>
      <c r="F218" s="9" t="s">
        <v>45</v>
      </c>
      <c r="G218" s="11">
        <v>40</v>
      </c>
      <c r="H218" s="11">
        <v>40</v>
      </c>
      <c r="I218" s="11">
        <v>40</v>
      </c>
      <c r="J218" s="11">
        <v>40</v>
      </c>
      <c r="K218" s="11">
        <v>40</v>
      </c>
    </row>
    <row r="219" spans="1:11" ht="43.2" x14ac:dyDescent="0.3">
      <c r="A219" s="1">
        <v>42</v>
      </c>
      <c r="B219" s="1">
        <v>2023</v>
      </c>
      <c r="C219" s="3">
        <v>44966</v>
      </c>
      <c r="D219" s="4" t="s">
        <v>38</v>
      </c>
      <c r="E219" s="5" t="s">
        <v>48</v>
      </c>
      <c r="F219" s="5" t="s">
        <v>45</v>
      </c>
      <c r="G219" s="7">
        <v>100</v>
      </c>
      <c r="H219" s="7">
        <v>100</v>
      </c>
      <c r="I219" s="7">
        <v>100</v>
      </c>
      <c r="J219" s="7">
        <v>100</v>
      </c>
      <c r="K219" s="7">
        <v>100</v>
      </c>
    </row>
    <row r="220" spans="1:11" ht="43.2" x14ac:dyDescent="0.3">
      <c r="A220" s="1">
        <v>42</v>
      </c>
      <c r="B220" s="1">
        <v>2023</v>
      </c>
      <c r="C220" s="3">
        <v>44966</v>
      </c>
      <c r="D220" s="8" t="s">
        <v>38</v>
      </c>
      <c r="E220" s="9" t="s">
        <v>49</v>
      </c>
      <c r="F220" s="9" t="s">
        <v>50</v>
      </c>
      <c r="G220" s="11">
        <v>40</v>
      </c>
      <c r="H220" s="11">
        <v>40</v>
      </c>
      <c r="I220" s="11">
        <v>60</v>
      </c>
      <c r="J220" s="11" t="s">
        <v>112</v>
      </c>
      <c r="K220" s="11">
        <v>50</v>
      </c>
    </row>
    <row r="221" spans="1:11" ht="43.2" x14ac:dyDescent="0.3">
      <c r="A221" s="1">
        <v>42</v>
      </c>
      <c r="B221" s="1">
        <v>2023</v>
      </c>
      <c r="C221" s="3">
        <v>44966</v>
      </c>
      <c r="D221" s="4" t="s">
        <v>38</v>
      </c>
      <c r="E221" s="5" t="s">
        <v>52</v>
      </c>
      <c r="F221" s="5" t="s">
        <v>43</v>
      </c>
      <c r="G221" s="7">
        <v>75</v>
      </c>
      <c r="H221" s="7">
        <v>45</v>
      </c>
      <c r="I221" s="7">
        <v>80</v>
      </c>
      <c r="J221" s="7" t="s">
        <v>128</v>
      </c>
      <c r="K221" s="7">
        <v>75</v>
      </c>
    </row>
    <row r="222" spans="1:11" ht="43.2" x14ac:dyDescent="0.3">
      <c r="A222" s="1">
        <v>42</v>
      </c>
      <c r="B222" s="1">
        <v>2023</v>
      </c>
      <c r="C222" s="3">
        <v>44966</v>
      </c>
      <c r="D222" s="8" t="s">
        <v>38</v>
      </c>
      <c r="E222" s="9" t="s">
        <v>53</v>
      </c>
      <c r="F222" s="9" t="s">
        <v>43</v>
      </c>
      <c r="G222" s="11">
        <v>55</v>
      </c>
      <c r="H222" s="11">
        <v>50</v>
      </c>
      <c r="I222" s="11">
        <v>70</v>
      </c>
      <c r="J222" s="11" t="s">
        <v>129</v>
      </c>
      <c r="K222" s="11" t="s">
        <v>41</v>
      </c>
    </row>
    <row r="223" spans="1:11" ht="43.2" x14ac:dyDescent="0.3">
      <c r="A223" s="1">
        <v>42</v>
      </c>
      <c r="B223" s="1">
        <v>2023</v>
      </c>
      <c r="C223" s="3">
        <v>44966</v>
      </c>
      <c r="D223" s="4" t="s">
        <v>38</v>
      </c>
      <c r="E223" s="5" t="s">
        <v>54</v>
      </c>
      <c r="F223" s="5" t="s">
        <v>40</v>
      </c>
      <c r="G223" s="7">
        <v>70</v>
      </c>
      <c r="H223" s="7">
        <v>50</v>
      </c>
      <c r="I223" s="7">
        <v>80</v>
      </c>
      <c r="J223" s="7" t="s">
        <v>130</v>
      </c>
      <c r="K223" s="7">
        <v>70</v>
      </c>
    </row>
    <row r="224" spans="1:11" ht="43.2" x14ac:dyDescent="0.3">
      <c r="A224" s="1">
        <v>42</v>
      </c>
      <c r="B224" s="1">
        <v>2023</v>
      </c>
      <c r="C224" s="3">
        <v>44966</v>
      </c>
      <c r="D224" s="8" t="s">
        <v>38</v>
      </c>
      <c r="E224" s="9" t="s">
        <v>56</v>
      </c>
      <c r="F224" s="9" t="s">
        <v>43</v>
      </c>
      <c r="G224" s="10"/>
      <c r="H224" s="11">
        <v>55</v>
      </c>
      <c r="I224" s="11">
        <v>70</v>
      </c>
      <c r="J224" s="11" t="s">
        <v>131</v>
      </c>
      <c r="K224" s="11">
        <v>60</v>
      </c>
    </row>
    <row r="225" spans="1:11" ht="43.2" x14ac:dyDescent="0.3">
      <c r="A225" s="1">
        <v>42</v>
      </c>
      <c r="B225" s="1">
        <v>2023</v>
      </c>
      <c r="C225" s="3">
        <v>44966</v>
      </c>
      <c r="D225" s="4" t="s">
        <v>38</v>
      </c>
      <c r="E225" s="5" t="s">
        <v>57</v>
      </c>
      <c r="F225" s="5" t="s">
        <v>40</v>
      </c>
      <c r="G225" s="6"/>
      <c r="H225" s="7">
        <v>45</v>
      </c>
      <c r="I225" s="7">
        <v>65</v>
      </c>
      <c r="J225" s="7">
        <v>55</v>
      </c>
      <c r="K225" s="7">
        <v>55</v>
      </c>
    </row>
    <row r="226" spans="1:11" ht="43.2" x14ac:dyDescent="0.3">
      <c r="A226" s="1">
        <v>42</v>
      </c>
      <c r="B226" s="1">
        <v>2023</v>
      </c>
      <c r="C226" s="3">
        <v>44966</v>
      </c>
      <c r="D226" s="8" t="s">
        <v>38</v>
      </c>
      <c r="E226" s="9" t="s">
        <v>58</v>
      </c>
      <c r="F226" s="9" t="s">
        <v>40</v>
      </c>
      <c r="G226" s="11">
        <v>85</v>
      </c>
      <c r="H226" s="11">
        <v>50</v>
      </c>
      <c r="I226" s="11">
        <v>85</v>
      </c>
      <c r="J226" s="11" t="s">
        <v>132</v>
      </c>
      <c r="K226" s="11">
        <v>75</v>
      </c>
    </row>
    <row r="227" spans="1:11" ht="43.2" x14ac:dyDescent="0.3">
      <c r="A227" s="1">
        <v>42</v>
      </c>
      <c r="B227" s="1">
        <v>2023</v>
      </c>
      <c r="C227" s="3">
        <v>44966</v>
      </c>
      <c r="D227" s="4" t="s">
        <v>38</v>
      </c>
      <c r="E227" s="5" t="s">
        <v>59</v>
      </c>
      <c r="F227" s="5" t="s">
        <v>45</v>
      </c>
      <c r="G227" s="7">
        <v>30</v>
      </c>
      <c r="H227" s="7">
        <v>20</v>
      </c>
      <c r="I227" s="7">
        <v>50</v>
      </c>
      <c r="J227" s="7">
        <v>35</v>
      </c>
      <c r="K227" s="7">
        <v>35</v>
      </c>
    </row>
    <row r="228" spans="1:11" ht="43.2" x14ac:dyDescent="0.3">
      <c r="A228" s="1">
        <v>42</v>
      </c>
      <c r="B228" s="1">
        <v>2023</v>
      </c>
      <c r="C228" s="3">
        <v>44966</v>
      </c>
      <c r="D228" s="8" t="s">
        <v>38</v>
      </c>
      <c r="E228" s="9" t="s">
        <v>60</v>
      </c>
      <c r="F228" s="9" t="s">
        <v>61</v>
      </c>
      <c r="G228" s="11">
        <v>80</v>
      </c>
      <c r="H228" s="11">
        <v>50</v>
      </c>
      <c r="I228" s="11">
        <v>80</v>
      </c>
      <c r="J228" s="11" t="s">
        <v>133</v>
      </c>
      <c r="K228" s="11" t="s">
        <v>134</v>
      </c>
    </row>
    <row r="229" spans="1:11" ht="43.2" x14ac:dyDescent="0.3">
      <c r="A229" s="1">
        <v>42</v>
      </c>
      <c r="B229" s="1">
        <v>2023</v>
      </c>
      <c r="C229" s="3">
        <v>44966</v>
      </c>
      <c r="D229" s="4" t="s">
        <v>38</v>
      </c>
      <c r="E229" s="5" t="s">
        <v>63</v>
      </c>
      <c r="F229" s="5" t="s">
        <v>40</v>
      </c>
      <c r="G229" s="7">
        <v>100</v>
      </c>
      <c r="H229" s="7">
        <v>75</v>
      </c>
      <c r="I229" s="7">
        <v>100</v>
      </c>
      <c r="J229" s="7">
        <v>90</v>
      </c>
      <c r="K229" s="7">
        <v>95</v>
      </c>
    </row>
    <row r="230" spans="1:11" ht="43.2" x14ac:dyDescent="0.3">
      <c r="A230" s="1">
        <v>42</v>
      </c>
      <c r="B230" s="1">
        <v>2023</v>
      </c>
      <c r="C230" s="3">
        <v>44966</v>
      </c>
      <c r="D230" s="8" t="s">
        <v>38</v>
      </c>
      <c r="E230" s="9" t="s">
        <v>64</v>
      </c>
      <c r="F230" s="9" t="s">
        <v>40</v>
      </c>
      <c r="G230" s="11">
        <v>120</v>
      </c>
      <c r="H230" s="11">
        <v>110</v>
      </c>
      <c r="I230" s="11">
        <v>130</v>
      </c>
      <c r="J230" s="11">
        <v>120</v>
      </c>
      <c r="K230" s="11">
        <v>120</v>
      </c>
    </row>
    <row r="231" spans="1:11" x14ac:dyDescent="0.3">
      <c r="A231" s="1">
        <v>42</v>
      </c>
      <c r="B231" s="1">
        <v>2023</v>
      </c>
      <c r="C231" s="3">
        <v>44966</v>
      </c>
      <c r="D231" s="4" t="s">
        <v>65</v>
      </c>
      <c r="E231" s="5" t="s">
        <v>66</v>
      </c>
      <c r="F231" s="5" t="s">
        <v>40</v>
      </c>
      <c r="G231" s="6"/>
      <c r="H231" s="6"/>
      <c r="I231" s="6"/>
      <c r="J231" s="6"/>
      <c r="K231" s="6"/>
    </row>
    <row r="232" spans="1:11" x14ac:dyDescent="0.3">
      <c r="A232" s="1">
        <v>42</v>
      </c>
      <c r="B232" s="1">
        <v>2023</v>
      </c>
      <c r="C232" s="3">
        <v>44966</v>
      </c>
      <c r="D232" s="8" t="s">
        <v>65</v>
      </c>
      <c r="E232" s="9" t="s">
        <v>67</v>
      </c>
      <c r="F232" s="9" t="s">
        <v>40</v>
      </c>
      <c r="G232" s="10"/>
      <c r="H232" s="10"/>
      <c r="I232" s="10"/>
      <c r="J232" s="10"/>
      <c r="K232" s="10"/>
    </row>
    <row r="233" spans="1:11" x14ac:dyDescent="0.3">
      <c r="A233" s="1">
        <v>42</v>
      </c>
      <c r="B233" s="1">
        <v>2023</v>
      </c>
      <c r="C233" s="3">
        <v>44966</v>
      </c>
      <c r="D233" s="4" t="s">
        <v>65</v>
      </c>
      <c r="E233" s="5" t="s">
        <v>68</v>
      </c>
      <c r="F233" s="5" t="s">
        <v>40</v>
      </c>
      <c r="G233" s="6"/>
      <c r="H233" s="6"/>
      <c r="I233" s="6"/>
      <c r="J233" s="6"/>
      <c r="K233" s="6"/>
    </row>
    <row r="234" spans="1:11" x14ac:dyDescent="0.3">
      <c r="A234" s="1">
        <v>42</v>
      </c>
      <c r="B234" s="1">
        <v>2023</v>
      </c>
      <c r="C234" s="3">
        <v>44966</v>
      </c>
      <c r="D234" s="8" t="s">
        <v>65</v>
      </c>
      <c r="E234" s="9" t="s">
        <v>70</v>
      </c>
      <c r="F234" s="9" t="s">
        <v>71</v>
      </c>
      <c r="G234" s="10"/>
      <c r="H234" s="10"/>
      <c r="I234" s="10"/>
      <c r="J234" s="10"/>
      <c r="K234" s="10"/>
    </row>
    <row r="235" spans="1:11" ht="28.8" x14ac:dyDescent="0.3">
      <c r="A235" s="1">
        <v>43</v>
      </c>
      <c r="B235" s="1">
        <v>2023</v>
      </c>
      <c r="C235" s="3">
        <v>44973</v>
      </c>
      <c r="D235" s="4" t="s">
        <v>11</v>
      </c>
      <c r="E235" s="5" t="s">
        <v>12</v>
      </c>
      <c r="F235" s="5" t="s">
        <v>13</v>
      </c>
      <c r="G235" s="7">
        <v>42</v>
      </c>
      <c r="H235" s="7">
        <v>36</v>
      </c>
      <c r="I235" s="7">
        <v>42</v>
      </c>
      <c r="J235" s="7">
        <v>40</v>
      </c>
      <c r="K235" s="7">
        <v>42</v>
      </c>
    </row>
    <row r="236" spans="1:11" ht="28.8" x14ac:dyDescent="0.3">
      <c r="A236" s="1">
        <v>43</v>
      </c>
      <c r="B236" s="1">
        <v>2023</v>
      </c>
      <c r="C236" s="3">
        <v>44973</v>
      </c>
      <c r="D236" s="8" t="s">
        <v>11</v>
      </c>
      <c r="E236" s="9" t="s">
        <v>14</v>
      </c>
      <c r="F236" s="9" t="s">
        <v>13</v>
      </c>
      <c r="G236" s="11">
        <v>60</v>
      </c>
      <c r="H236" s="11">
        <v>36</v>
      </c>
      <c r="I236" s="11">
        <v>60</v>
      </c>
      <c r="J236" s="11">
        <v>52</v>
      </c>
      <c r="K236" s="11">
        <v>60</v>
      </c>
    </row>
    <row r="237" spans="1:11" ht="28.8" x14ac:dyDescent="0.3">
      <c r="A237" s="1">
        <v>43</v>
      </c>
      <c r="B237" s="1">
        <v>2023</v>
      </c>
      <c r="C237" s="3">
        <v>44973</v>
      </c>
      <c r="D237" s="4" t="s">
        <v>11</v>
      </c>
      <c r="E237" s="5" t="s">
        <v>15</v>
      </c>
      <c r="F237" s="5" t="s">
        <v>13</v>
      </c>
      <c r="G237" s="7">
        <v>36</v>
      </c>
      <c r="H237" s="7">
        <v>36</v>
      </c>
      <c r="I237" s="7">
        <v>42</v>
      </c>
      <c r="J237" s="7">
        <v>38</v>
      </c>
      <c r="K237" s="7">
        <v>36</v>
      </c>
    </row>
    <row r="238" spans="1:11" ht="28.8" x14ac:dyDescent="0.3">
      <c r="A238" s="1">
        <v>43</v>
      </c>
      <c r="B238" s="1">
        <v>2023</v>
      </c>
      <c r="C238" s="3">
        <v>44973</v>
      </c>
      <c r="D238" s="8" t="s">
        <v>11</v>
      </c>
      <c r="E238" s="9" t="s">
        <v>16</v>
      </c>
      <c r="F238" s="9" t="s">
        <v>13</v>
      </c>
      <c r="G238" s="11">
        <v>24</v>
      </c>
      <c r="H238" s="11">
        <v>18</v>
      </c>
      <c r="I238" s="11">
        <v>24</v>
      </c>
      <c r="J238" s="11" t="s">
        <v>37</v>
      </c>
      <c r="K238" s="11">
        <v>24</v>
      </c>
    </row>
    <row r="239" spans="1:11" ht="28.8" x14ac:dyDescent="0.3">
      <c r="A239" s="1">
        <v>43</v>
      </c>
      <c r="B239" s="1">
        <v>2023</v>
      </c>
      <c r="C239" s="3">
        <v>44973</v>
      </c>
      <c r="D239" s="4" t="s">
        <v>11</v>
      </c>
      <c r="E239" s="5" t="s">
        <v>17</v>
      </c>
      <c r="F239" s="5" t="s">
        <v>13</v>
      </c>
      <c r="G239" s="7">
        <v>24</v>
      </c>
      <c r="H239" s="7">
        <v>18</v>
      </c>
      <c r="I239" s="7">
        <v>24</v>
      </c>
      <c r="J239" s="7">
        <v>21</v>
      </c>
      <c r="K239" s="7">
        <v>21</v>
      </c>
    </row>
    <row r="240" spans="1:11" ht="28.8" x14ac:dyDescent="0.3">
      <c r="A240" s="1">
        <v>43</v>
      </c>
      <c r="B240" s="1">
        <v>2023</v>
      </c>
      <c r="C240" s="3">
        <v>44973</v>
      </c>
      <c r="D240" s="8" t="s">
        <v>11</v>
      </c>
      <c r="E240" s="9" t="s">
        <v>18</v>
      </c>
      <c r="F240" s="9" t="s">
        <v>13</v>
      </c>
      <c r="G240" s="10"/>
      <c r="H240" s="11">
        <v>42</v>
      </c>
      <c r="I240" s="11">
        <v>48</v>
      </c>
      <c r="J240" s="11">
        <v>45</v>
      </c>
      <c r="K240" s="11">
        <v>45</v>
      </c>
    </row>
    <row r="241" spans="1:11" ht="28.8" x14ac:dyDescent="0.3">
      <c r="A241" s="1">
        <v>43</v>
      </c>
      <c r="B241" s="1">
        <v>2023</v>
      </c>
      <c r="C241" s="3">
        <v>44973</v>
      </c>
      <c r="D241" s="4" t="s">
        <v>11</v>
      </c>
      <c r="E241" s="5" t="s">
        <v>19</v>
      </c>
      <c r="F241" s="5" t="s">
        <v>13</v>
      </c>
      <c r="G241" s="7">
        <v>60</v>
      </c>
      <c r="H241" s="7">
        <v>60</v>
      </c>
      <c r="I241" s="7">
        <v>60</v>
      </c>
      <c r="J241" s="7">
        <v>60</v>
      </c>
      <c r="K241" s="7">
        <v>60</v>
      </c>
    </row>
    <row r="242" spans="1:11" ht="28.8" x14ac:dyDescent="0.3">
      <c r="A242" s="1">
        <v>43</v>
      </c>
      <c r="B242" s="1">
        <v>2023</v>
      </c>
      <c r="C242" s="3">
        <v>44973</v>
      </c>
      <c r="D242" s="8" t="s">
        <v>11</v>
      </c>
      <c r="E242" s="9" t="s">
        <v>20</v>
      </c>
      <c r="F242" s="9" t="s">
        <v>13</v>
      </c>
      <c r="G242" s="11">
        <v>60</v>
      </c>
      <c r="H242" s="11">
        <v>60</v>
      </c>
      <c r="I242" s="11">
        <v>72</v>
      </c>
      <c r="J242" s="11">
        <v>64</v>
      </c>
      <c r="K242" s="11">
        <v>60</v>
      </c>
    </row>
    <row r="243" spans="1:11" ht="28.8" x14ac:dyDescent="0.3">
      <c r="A243" s="1">
        <v>43</v>
      </c>
      <c r="B243" s="1">
        <v>2023</v>
      </c>
      <c r="C243" s="3">
        <v>44973</v>
      </c>
      <c r="D243" s="4" t="s">
        <v>11</v>
      </c>
      <c r="E243" s="5" t="s">
        <v>21</v>
      </c>
      <c r="F243" s="5" t="s">
        <v>13</v>
      </c>
      <c r="G243" s="7">
        <v>15</v>
      </c>
      <c r="H243" s="7">
        <v>15</v>
      </c>
      <c r="I243" s="7">
        <v>24</v>
      </c>
      <c r="J243" s="7">
        <v>18</v>
      </c>
      <c r="K243" s="7">
        <v>15</v>
      </c>
    </row>
    <row r="244" spans="1:11" ht="28.8" x14ac:dyDescent="0.3">
      <c r="A244" s="1">
        <v>43</v>
      </c>
      <c r="B244" s="1">
        <v>2023</v>
      </c>
      <c r="C244" s="3">
        <v>44973</v>
      </c>
      <c r="D244" s="8" t="s">
        <v>11</v>
      </c>
      <c r="E244" s="9" t="s">
        <v>73</v>
      </c>
      <c r="F244" s="9" t="s">
        <v>13</v>
      </c>
      <c r="G244" s="11">
        <v>60</v>
      </c>
      <c r="H244" s="11">
        <v>60</v>
      </c>
      <c r="I244" s="11">
        <v>60</v>
      </c>
      <c r="J244" s="11">
        <v>60</v>
      </c>
      <c r="K244" s="11">
        <v>60</v>
      </c>
    </row>
    <row r="245" spans="1:11" ht="28.8" x14ac:dyDescent="0.3">
      <c r="A245" s="1">
        <v>43</v>
      </c>
      <c r="B245" s="1">
        <v>2023</v>
      </c>
      <c r="C245" s="3">
        <v>44973</v>
      </c>
      <c r="D245" s="4" t="s">
        <v>11</v>
      </c>
      <c r="E245" s="5" t="s">
        <v>23</v>
      </c>
      <c r="F245" s="5" t="s">
        <v>13</v>
      </c>
      <c r="G245" s="7">
        <v>24</v>
      </c>
      <c r="H245" s="7">
        <v>24</v>
      </c>
      <c r="I245" s="7">
        <v>24</v>
      </c>
      <c r="J245" s="7">
        <v>24</v>
      </c>
      <c r="K245" s="7">
        <v>24</v>
      </c>
    </row>
    <row r="246" spans="1:11" ht="28.8" x14ac:dyDescent="0.3">
      <c r="A246" s="1">
        <v>43</v>
      </c>
      <c r="B246" s="1">
        <v>2023</v>
      </c>
      <c r="C246" s="3">
        <v>44973</v>
      </c>
      <c r="D246" s="8" t="s">
        <v>11</v>
      </c>
      <c r="E246" s="9" t="s">
        <v>24</v>
      </c>
      <c r="F246" s="9" t="s">
        <v>13</v>
      </c>
      <c r="G246" s="11">
        <v>42</v>
      </c>
      <c r="H246" s="11">
        <v>42</v>
      </c>
      <c r="I246" s="11">
        <v>42</v>
      </c>
      <c r="J246" s="11">
        <v>42</v>
      </c>
      <c r="K246" s="11">
        <v>42</v>
      </c>
    </row>
    <row r="247" spans="1:11" ht="28.8" x14ac:dyDescent="0.3">
      <c r="A247" s="1">
        <v>43</v>
      </c>
      <c r="B247" s="1">
        <v>2023</v>
      </c>
      <c r="C247" s="3">
        <v>44973</v>
      </c>
      <c r="D247" s="4" t="s">
        <v>11</v>
      </c>
      <c r="E247" s="5" t="s">
        <v>25</v>
      </c>
      <c r="F247" s="5" t="s">
        <v>26</v>
      </c>
      <c r="G247" s="6"/>
      <c r="H247" s="7">
        <v>42</v>
      </c>
      <c r="I247" s="7">
        <v>60</v>
      </c>
      <c r="J247" s="7">
        <v>51</v>
      </c>
      <c r="K247" s="7">
        <v>51</v>
      </c>
    </row>
    <row r="248" spans="1:11" ht="28.8" x14ac:dyDescent="0.3">
      <c r="A248" s="1">
        <v>43</v>
      </c>
      <c r="B248" s="1">
        <v>2023</v>
      </c>
      <c r="C248" s="3">
        <v>44973</v>
      </c>
      <c r="D248" s="8" t="s">
        <v>11</v>
      </c>
      <c r="E248" s="9" t="s">
        <v>27</v>
      </c>
      <c r="F248" s="9" t="s">
        <v>13</v>
      </c>
      <c r="G248" s="11">
        <v>36</v>
      </c>
      <c r="H248" s="11">
        <v>36</v>
      </c>
      <c r="I248" s="11">
        <v>48</v>
      </c>
      <c r="J248" s="11">
        <v>40</v>
      </c>
      <c r="K248" s="11">
        <v>36</v>
      </c>
    </row>
    <row r="249" spans="1:11" ht="28.8" x14ac:dyDescent="0.3">
      <c r="A249" s="1">
        <v>43</v>
      </c>
      <c r="B249" s="1">
        <v>2023</v>
      </c>
      <c r="C249" s="3">
        <v>44973</v>
      </c>
      <c r="D249" s="4" t="s">
        <v>11</v>
      </c>
      <c r="E249" s="5" t="s">
        <v>28</v>
      </c>
      <c r="F249" s="5" t="s">
        <v>13</v>
      </c>
      <c r="G249" s="7">
        <v>24</v>
      </c>
      <c r="H249" s="7">
        <v>18</v>
      </c>
      <c r="I249" s="7">
        <v>30</v>
      </c>
      <c r="J249" s="7">
        <v>24</v>
      </c>
      <c r="K249" s="7">
        <v>24</v>
      </c>
    </row>
    <row r="250" spans="1:11" ht="28.8" x14ac:dyDescent="0.3">
      <c r="A250" s="1">
        <v>43</v>
      </c>
      <c r="B250" s="1">
        <v>2023</v>
      </c>
      <c r="C250" s="3">
        <v>44973</v>
      </c>
      <c r="D250" s="8" t="s">
        <v>11</v>
      </c>
      <c r="E250" s="9" t="s">
        <v>29</v>
      </c>
      <c r="F250" s="9" t="s">
        <v>13</v>
      </c>
      <c r="G250" s="11">
        <v>42</v>
      </c>
      <c r="H250" s="11">
        <v>36</v>
      </c>
      <c r="I250" s="11">
        <v>42</v>
      </c>
      <c r="J250" s="11">
        <v>39</v>
      </c>
      <c r="K250" s="11">
        <v>39</v>
      </c>
    </row>
    <row r="251" spans="1:11" ht="28.8" x14ac:dyDescent="0.3">
      <c r="A251" s="1">
        <v>43</v>
      </c>
      <c r="B251" s="1">
        <v>2023</v>
      </c>
      <c r="C251" s="3">
        <v>44973</v>
      </c>
      <c r="D251" s="4" t="s">
        <v>30</v>
      </c>
      <c r="E251" s="5" t="s">
        <v>31</v>
      </c>
      <c r="F251" s="5" t="s">
        <v>32</v>
      </c>
      <c r="G251" s="7">
        <v>5</v>
      </c>
      <c r="H251" s="7" t="s">
        <v>74</v>
      </c>
      <c r="I251" s="7">
        <v>5</v>
      </c>
      <c r="J251" s="7" t="s">
        <v>135</v>
      </c>
      <c r="K251" s="7" t="s">
        <v>97</v>
      </c>
    </row>
    <row r="252" spans="1:11" ht="28.8" x14ac:dyDescent="0.3">
      <c r="A252" s="1">
        <v>43</v>
      </c>
      <c r="B252" s="1">
        <v>2023</v>
      </c>
      <c r="C252" s="3">
        <v>44973</v>
      </c>
      <c r="D252" s="8" t="s">
        <v>30</v>
      </c>
      <c r="E252" s="9" t="s">
        <v>34</v>
      </c>
      <c r="F252" s="9" t="s">
        <v>35</v>
      </c>
      <c r="G252" s="10"/>
      <c r="H252" s="11">
        <v>18</v>
      </c>
      <c r="I252" s="11">
        <v>25</v>
      </c>
      <c r="J252" s="11">
        <v>21</v>
      </c>
      <c r="K252" s="11">
        <v>20</v>
      </c>
    </row>
    <row r="253" spans="1:11" ht="28.8" x14ac:dyDescent="0.3">
      <c r="A253" s="1">
        <v>43</v>
      </c>
      <c r="B253" s="1">
        <v>2023</v>
      </c>
      <c r="C253" s="3">
        <v>44973</v>
      </c>
      <c r="D253" s="4" t="s">
        <v>30</v>
      </c>
      <c r="E253" s="5" t="s">
        <v>36</v>
      </c>
      <c r="F253" s="5" t="s">
        <v>35</v>
      </c>
      <c r="G253" s="7">
        <v>25</v>
      </c>
      <c r="H253" s="7">
        <v>25</v>
      </c>
      <c r="I253" s="7">
        <v>30</v>
      </c>
      <c r="J253" s="7" t="s">
        <v>136</v>
      </c>
      <c r="K253" s="7">
        <v>25</v>
      </c>
    </row>
    <row r="254" spans="1:11" ht="43.2" x14ac:dyDescent="0.3">
      <c r="A254" s="1">
        <v>43</v>
      </c>
      <c r="B254" s="1">
        <v>2023</v>
      </c>
      <c r="C254" s="3">
        <v>44973</v>
      </c>
      <c r="D254" s="8" t="s">
        <v>38</v>
      </c>
      <c r="E254" s="9" t="s">
        <v>39</v>
      </c>
      <c r="F254" s="9" t="s">
        <v>40</v>
      </c>
      <c r="G254" s="11">
        <v>60</v>
      </c>
      <c r="H254" s="11">
        <v>40</v>
      </c>
      <c r="I254" s="11">
        <v>60</v>
      </c>
      <c r="J254" s="11" t="s">
        <v>78</v>
      </c>
      <c r="K254" s="11">
        <v>55</v>
      </c>
    </row>
    <row r="255" spans="1:11" ht="43.2" x14ac:dyDescent="0.3">
      <c r="A255" s="1">
        <v>43</v>
      </c>
      <c r="B255" s="1">
        <v>2023</v>
      </c>
      <c r="C255" s="3">
        <v>44973</v>
      </c>
      <c r="D255" s="4" t="s">
        <v>38</v>
      </c>
      <c r="E255" s="5" t="s">
        <v>42</v>
      </c>
      <c r="F255" s="5" t="s">
        <v>43</v>
      </c>
      <c r="G255" s="7">
        <v>50</v>
      </c>
      <c r="H255" s="7">
        <v>45</v>
      </c>
      <c r="I255" s="7">
        <v>50</v>
      </c>
      <c r="J255" s="7" t="s">
        <v>137</v>
      </c>
      <c r="K255" s="7">
        <v>50</v>
      </c>
    </row>
    <row r="256" spans="1:11" ht="43.2" x14ac:dyDescent="0.3">
      <c r="A256" s="1">
        <v>43</v>
      </c>
      <c r="B256" s="1">
        <v>2023</v>
      </c>
      <c r="C256" s="3">
        <v>44973</v>
      </c>
      <c r="D256" s="8" t="s">
        <v>38</v>
      </c>
      <c r="E256" s="9" t="s">
        <v>44</v>
      </c>
      <c r="F256" s="9" t="s">
        <v>45</v>
      </c>
      <c r="G256" s="11">
        <v>50</v>
      </c>
      <c r="H256" s="11">
        <v>35</v>
      </c>
      <c r="I256" s="11">
        <v>50</v>
      </c>
      <c r="J256" s="11">
        <v>45</v>
      </c>
      <c r="K256" s="11" t="s">
        <v>91</v>
      </c>
    </row>
    <row r="257" spans="1:11" ht="43.2" x14ac:dyDescent="0.3">
      <c r="A257" s="1">
        <v>43</v>
      </c>
      <c r="B257" s="1">
        <v>2023</v>
      </c>
      <c r="C257" s="3">
        <v>44973</v>
      </c>
      <c r="D257" s="4" t="s">
        <v>38</v>
      </c>
      <c r="E257" s="5" t="s">
        <v>48</v>
      </c>
      <c r="F257" s="5" t="s">
        <v>45</v>
      </c>
      <c r="G257" s="6"/>
      <c r="H257" s="7">
        <v>60</v>
      </c>
      <c r="I257" s="7">
        <v>60</v>
      </c>
      <c r="J257" s="7">
        <v>60</v>
      </c>
      <c r="K257" s="7">
        <v>60</v>
      </c>
    </row>
    <row r="258" spans="1:11" ht="43.2" x14ac:dyDescent="0.3">
      <c r="A258" s="1">
        <v>43</v>
      </c>
      <c r="B258" s="1">
        <v>2023</v>
      </c>
      <c r="C258" s="3">
        <v>44973</v>
      </c>
      <c r="D258" s="8" t="s">
        <v>38</v>
      </c>
      <c r="E258" s="9" t="s">
        <v>49</v>
      </c>
      <c r="F258" s="9" t="s">
        <v>50</v>
      </c>
      <c r="G258" s="11">
        <v>60</v>
      </c>
      <c r="H258" s="11">
        <v>50</v>
      </c>
      <c r="I258" s="11">
        <v>70</v>
      </c>
      <c r="J258" s="11">
        <v>60</v>
      </c>
      <c r="K258" s="11">
        <v>60</v>
      </c>
    </row>
    <row r="259" spans="1:11" ht="43.2" x14ac:dyDescent="0.3">
      <c r="A259" s="1">
        <v>43</v>
      </c>
      <c r="B259" s="1">
        <v>2023</v>
      </c>
      <c r="C259" s="3">
        <v>44973</v>
      </c>
      <c r="D259" s="4" t="s">
        <v>38</v>
      </c>
      <c r="E259" s="5" t="s">
        <v>52</v>
      </c>
      <c r="F259" s="5" t="s">
        <v>43</v>
      </c>
      <c r="G259" s="7">
        <v>60</v>
      </c>
      <c r="H259" s="7">
        <v>40</v>
      </c>
      <c r="I259" s="7">
        <v>60</v>
      </c>
      <c r="J259" s="7">
        <v>54</v>
      </c>
      <c r="K259" s="7">
        <v>60</v>
      </c>
    </row>
    <row r="260" spans="1:11" ht="43.2" x14ac:dyDescent="0.3">
      <c r="A260" s="1">
        <v>43</v>
      </c>
      <c r="B260" s="1">
        <v>2023</v>
      </c>
      <c r="C260" s="3">
        <v>44973</v>
      </c>
      <c r="D260" s="8" t="s">
        <v>38</v>
      </c>
      <c r="E260" s="9" t="s">
        <v>53</v>
      </c>
      <c r="F260" s="9" t="s">
        <v>43</v>
      </c>
      <c r="G260" s="11">
        <v>50</v>
      </c>
      <c r="H260" s="11">
        <v>35</v>
      </c>
      <c r="I260" s="11">
        <v>50</v>
      </c>
      <c r="J260" s="11">
        <v>46</v>
      </c>
      <c r="K260" s="11">
        <v>50</v>
      </c>
    </row>
    <row r="261" spans="1:11" ht="43.2" x14ac:dyDescent="0.3">
      <c r="A261" s="1">
        <v>43</v>
      </c>
      <c r="B261" s="1">
        <v>2023</v>
      </c>
      <c r="C261" s="3">
        <v>44973</v>
      </c>
      <c r="D261" s="4" t="s">
        <v>38</v>
      </c>
      <c r="E261" s="5" t="s">
        <v>54</v>
      </c>
      <c r="F261" s="5" t="s">
        <v>40</v>
      </c>
      <c r="G261" s="7">
        <v>70</v>
      </c>
      <c r="H261" s="7">
        <v>50</v>
      </c>
      <c r="I261" s="7">
        <v>70</v>
      </c>
      <c r="J261" s="7" t="s">
        <v>80</v>
      </c>
      <c r="K261" s="7">
        <v>65</v>
      </c>
    </row>
    <row r="262" spans="1:11" ht="43.2" x14ac:dyDescent="0.3">
      <c r="A262" s="1">
        <v>43</v>
      </c>
      <c r="B262" s="1">
        <v>2023</v>
      </c>
      <c r="C262" s="3">
        <v>44973</v>
      </c>
      <c r="D262" s="8" t="s">
        <v>38</v>
      </c>
      <c r="E262" s="9" t="s">
        <v>56</v>
      </c>
      <c r="F262" s="9" t="s">
        <v>43</v>
      </c>
      <c r="G262" s="10"/>
      <c r="H262" s="11">
        <v>50</v>
      </c>
      <c r="I262" s="11">
        <v>55</v>
      </c>
      <c r="J262" s="11" t="s">
        <v>78</v>
      </c>
      <c r="K262" s="11" t="s">
        <v>78</v>
      </c>
    </row>
    <row r="263" spans="1:11" ht="43.2" x14ac:dyDescent="0.3">
      <c r="A263" s="1">
        <v>43</v>
      </c>
      <c r="B263" s="1">
        <v>2023</v>
      </c>
      <c r="C263" s="3">
        <v>44973</v>
      </c>
      <c r="D263" s="4" t="s">
        <v>38</v>
      </c>
      <c r="E263" s="5" t="s">
        <v>57</v>
      </c>
      <c r="F263" s="5" t="s">
        <v>40</v>
      </c>
      <c r="G263" s="6"/>
      <c r="H263" s="7">
        <v>45</v>
      </c>
      <c r="I263" s="7">
        <v>60</v>
      </c>
      <c r="J263" s="7" t="s">
        <v>138</v>
      </c>
      <c r="K263" s="7">
        <v>50</v>
      </c>
    </row>
    <row r="264" spans="1:11" ht="43.2" x14ac:dyDescent="0.3">
      <c r="A264" s="1">
        <v>43</v>
      </c>
      <c r="B264" s="1">
        <v>2023</v>
      </c>
      <c r="C264" s="3">
        <v>44973</v>
      </c>
      <c r="D264" s="8" t="s">
        <v>38</v>
      </c>
      <c r="E264" s="9" t="s">
        <v>58</v>
      </c>
      <c r="F264" s="9" t="s">
        <v>40</v>
      </c>
      <c r="G264" s="10"/>
      <c r="H264" s="11">
        <v>60</v>
      </c>
      <c r="I264" s="11">
        <v>100</v>
      </c>
      <c r="J264" s="11">
        <v>81</v>
      </c>
      <c r="K264" s="11">
        <v>80</v>
      </c>
    </row>
    <row r="265" spans="1:11" ht="43.2" x14ac:dyDescent="0.3">
      <c r="A265" s="1">
        <v>43</v>
      </c>
      <c r="B265" s="1">
        <v>2023</v>
      </c>
      <c r="C265" s="3">
        <v>44973</v>
      </c>
      <c r="D265" s="4" t="s">
        <v>38</v>
      </c>
      <c r="E265" s="5" t="s">
        <v>59</v>
      </c>
      <c r="F265" s="5" t="s">
        <v>45</v>
      </c>
      <c r="G265" s="7">
        <v>40</v>
      </c>
      <c r="H265" s="7">
        <v>35</v>
      </c>
      <c r="I265" s="7">
        <v>40</v>
      </c>
      <c r="J265" s="7" t="s">
        <v>139</v>
      </c>
      <c r="K265" s="7">
        <v>40</v>
      </c>
    </row>
    <row r="266" spans="1:11" ht="43.2" x14ac:dyDescent="0.3">
      <c r="A266" s="1">
        <v>43</v>
      </c>
      <c r="B266" s="1">
        <v>2023</v>
      </c>
      <c r="C266" s="3">
        <v>44973</v>
      </c>
      <c r="D266" s="8" t="s">
        <v>38</v>
      </c>
      <c r="E266" s="9" t="s">
        <v>60</v>
      </c>
      <c r="F266" s="9" t="s">
        <v>61</v>
      </c>
      <c r="G266" s="11">
        <v>70</v>
      </c>
      <c r="H266" s="11">
        <v>70</v>
      </c>
      <c r="I266" s="11">
        <v>100</v>
      </c>
      <c r="J266" s="11">
        <v>80</v>
      </c>
      <c r="K266" s="11">
        <v>75</v>
      </c>
    </row>
    <row r="267" spans="1:11" ht="43.2" x14ac:dyDescent="0.3">
      <c r="A267" s="1">
        <v>43</v>
      </c>
      <c r="B267" s="1">
        <v>2023</v>
      </c>
      <c r="C267" s="3">
        <v>44973</v>
      </c>
      <c r="D267" s="4" t="s">
        <v>38</v>
      </c>
      <c r="E267" s="5" t="s">
        <v>63</v>
      </c>
      <c r="F267" s="5" t="s">
        <v>40</v>
      </c>
      <c r="G267" s="7">
        <v>110</v>
      </c>
      <c r="H267" s="7">
        <v>100</v>
      </c>
      <c r="I267" s="7">
        <v>140</v>
      </c>
      <c r="J267" s="7">
        <v>115</v>
      </c>
      <c r="K267" s="7">
        <v>110</v>
      </c>
    </row>
    <row r="268" spans="1:11" ht="43.2" x14ac:dyDescent="0.3">
      <c r="A268" s="1">
        <v>43</v>
      </c>
      <c r="B268" s="1">
        <v>2023</v>
      </c>
      <c r="C268" s="3">
        <v>44973</v>
      </c>
      <c r="D268" s="8" t="s">
        <v>38</v>
      </c>
      <c r="E268" s="9" t="s">
        <v>64</v>
      </c>
      <c r="F268" s="9" t="s">
        <v>40</v>
      </c>
      <c r="G268" s="11">
        <v>120</v>
      </c>
      <c r="H268" s="11">
        <v>100</v>
      </c>
      <c r="I268" s="11">
        <v>130</v>
      </c>
      <c r="J268" s="11" t="s">
        <v>140</v>
      </c>
      <c r="K268" s="11">
        <v>120</v>
      </c>
    </row>
    <row r="269" spans="1:11" x14ac:dyDescent="0.3">
      <c r="A269" s="1">
        <v>43</v>
      </c>
      <c r="B269" s="1">
        <v>2023</v>
      </c>
      <c r="C269" s="3">
        <v>44973</v>
      </c>
      <c r="D269" s="4" t="s">
        <v>65</v>
      </c>
      <c r="E269" s="5" t="s">
        <v>66</v>
      </c>
      <c r="F269" s="5" t="s">
        <v>40</v>
      </c>
      <c r="G269" s="6"/>
      <c r="H269" s="6"/>
      <c r="I269" s="6"/>
      <c r="J269" s="6"/>
      <c r="K269" s="6"/>
    </row>
    <row r="270" spans="1:11" x14ac:dyDescent="0.3">
      <c r="A270" s="1">
        <v>43</v>
      </c>
      <c r="B270" s="1">
        <v>2023</v>
      </c>
      <c r="C270" s="3">
        <v>44973</v>
      </c>
      <c r="D270" s="8" t="s">
        <v>65</v>
      </c>
      <c r="E270" s="9" t="s">
        <v>67</v>
      </c>
      <c r="F270" s="9" t="s">
        <v>40</v>
      </c>
      <c r="G270" s="10"/>
      <c r="H270" s="10"/>
      <c r="I270" s="10"/>
      <c r="J270" s="10"/>
      <c r="K270" s="10"/>
    </row>
    <row r="271" spans="1:11" x14ac:dyDescent="0.3">
      <c r="A271" s="1">
        <v>43</v>
      </c>
      <c r="B271" s="1">
        <v>2023</v>
      </c>
      <c r="C271" s="3">
        <v>44973</v>
      </c>
      <c r="D271" s="4" t="s">
        <v>65</v>
      </c>
      <c r="E271" s="5" t="s">
        <v>68</v>
      </c>
      <c r="F271" s="5" t="s">
        <v>40</v>
      </c>
      <c r="G271" s="6"/>
      <c r="H271" s="6"/>
      <c r="I271" s="6"/>
      <c r="J271" s="6"/>
      <c r="K271" s="6"/>
    </row>
    <row r="272" spans="1:11" x14ac:dyDescent="0.3">
      <c r="A272" s="1">
        <v>43</v>
      </c>
      <c r="B272" s="1">
        <v>2023</v>
      </c>
      <c r="C272" s="3">
        <v>44973</v>
      </c>
      <c r="D272" s="8" t="s">
        <v>65</v>
      </c>
      <c r="E272" s="9" t="s">
        <v>69</v>
      </c>
      <c r="F272" s="9" t="s">
        <v>45</v>
      </c>
      <c r="G272" s="10"/>
      <c r="H272" s="10"/>
      <c r="I272" s="10"/>
      <c r="J272" s="10"/>
      <c r="K272" s="10"/>
    </row>
    <row r="273" spans="1:11" x14ac:dyDescent="0.3">
      <c r="A273" s="1">
        <v>43</v>
      </c>
      <c r="B273" s="1">
        <v>2023</v>
      </c>
      <c r="C273" s="3">
        <v>44973</v>
      </c>
      <c r="D273" s="4" t="s">
        <v>65</v>
      </c>
      <c r="E273" s="5" t="s">
        <v>70</v>
      </c>
      <c r="F273" s="5" t="s">
        <v>71</v>
      </c>
      <c r="G273" s="6"/>
      <c r="H273" s="6"/>
      <c r="I273" s="6"/>
      <c r="J273" s="6"/>
      <c r="K273" s="6"/>
    </row>
    <row r="274" spans="1:11" ht="28.8" x14ac:dyDescent="0.3">
      <c r="A274" s="1">
        <v>44</v>
      </c>
      <c r="B274" s="1">
        <v>2024</v>
      </c>
      <c r="C274" s="3">
        <v>45357</v>
      </c>
      <c r="D274" s="4" t="s">
        <v>11</v>
      </c>
      <c r="E274" s="5" t="s">
        <v>12</v>
      </c>
      <c r="F274" s="5" t="s">
        <v>13</v>
      </c>
      <c r="G274" s="7">
        <v>60</v>
      </c>
      <c r="H274" s="7">
        <v>48</v>
      </c>
      <c r="I274" s="7">
        <v>78</v>
      </c>
      <c r="J274" s="7" t="s">
        <v>141</v>
      </c>
      <c r="K274" s="7">
        <v>60</v>
      </c>
    </row>
    <row r="275" spans="1:11" ht="28.8" x14ac:dyDescent="0.3">
      <c r="A275" s="1">
        <v>44</v>
      </c>
      <c r="B275" s="1">
        <v>2024</v>
      </c>
      <c r="C275" s="3">
        <v>45357</v>
      </c>
      <c r="D275" s="8" t="s">
        <v>11</v>
      </c>
      <c r="E275" s="9" t="s">
        <v>14</v>
      </c>
      <c r="F275" s="9" t="s">
        <v>13</v>
      </c>
      <c r="G275" s="11">
        <v>84</v>
      </c>
      <c r="H275" s="11">
        <v>72</v>
      </c>
      <c r="I275" s="11">
        <v>84</v>
      </c>
      <c r="J275" s="11">
        <v>80</v>
      </c>
      <c r="K275" s="11">
        <v>84</v>
      </c>
    </row>
    <row r="276" spans="1:11" ht="28.8" x14ac:dyDescent="0.3">
      <c r="A276" s="1">
        <v>44</v>
      </c>
      <c r="B276" s="1">
        <v>2024</v>
      </c>
      <c r="C276" s="3">
        <v>45357</v>
      </c>
      <c r="D276" s="4" t="s">
        <v>11</v>
      </c>
      <c r="E276" s="5" t="s">
        <v>15</v>
      </c>
      <c r="F276" s="5" t="s">
        <v>13</v>
      </c>
      <c r="G276" s="6"/>
      <c r="H276" s="7">
        <v>45</v>
      </c>
      <c r="I276" s="7">
        <v>60</v>
      </c>
      <c r="J276" s="7" t="s">
        <v>142</v>
      </c>
      <c r="K276" s="7">
        <v>51</v>
      </c>
    </row>
    <row r="277" spans="1:11" ht="28.8" x14ac:dyDescent="0.3">
      <c r="A277" s="1">
        <v>44</v>
      </c>
      <c r="B277" s="1">
        <v>2024</v>
      </c>
      <c r="C277" s="3">
        <v>45357</v>
      </c>
      <c r="D277" s="8" t="s">
        <v>11</v>
      </c>
      <c r="E277" s="9" t="s">
        <v>16</v>
      </c>
      <c r="F277" s="9" t="s">
        <v>13</v>
      </c>
      <c r="G277" s="10"/>
      <c r="H277" s="11">
        <v>30</v>
      </c>
      <c r="I277" s="11">
        <v>50</v>
      </c>
      <c r="J277" s="11" t="s">
        <v>143</v>
      </c>
      <c r="K277" s="11">
        <v>36</v>
      </c>
    </row>
    <row r="278" spans="1:11" ht="28.8" x14ac:dyDescent="0.3">
      <c r="A278" s="1">
        <v>44</v>
      </c>
      <c r="B278" s="1">
        <v>2024</v>
      </c>
      <c r="C278" s="3">
        <v>45357</v>
      </c>
      <c r="D278" s="4" t="s">
        <v>11</v>
      </c>
      <c r="E278" s="5" t="s">
        <v>17</v>
      </c>
      <c r="F278" s="5" t="s">
        <v>13</v>
      </c>
      <c r="G278" s="6"/>
      <c r="H278" s="7">
        <v>30</v>
      </c>
      <c r="I278" s="7">
        <v>42</v>
      </c>
      <c r="J278" s="7" t="s">
        <v>144</v>
      </c>
      <c r="K278" s="7" t="s">
        <v>145</v>
      </c>
    </row>
    <row r="279" spans="1:11" ht="28.8" x14ac:dyDescent="0.3">
      <c r="A279" s="1">
        <v>44</v>
      </c>
      <c r="B279" s="1">
        <v>2024</v>
      </c>
      <c r="C279" s="3">
        <v>45357</v>
      </c>
      <c r="D279" s="8" t="s">
        <v>11</v>
      </c>
      <c r="E279" s="9" t="s">
        <v>18</v>
      </c>
      <c r="F279" s="9" t="s">
        <v>13</v>
      </c>
      <c r="G279" s="11">
        <v>60</v>
      </c>
      <c r="H279" s="11">
        <v>48</v>
      </c>
      <c r="I279" s="11">
        <v>60</v>
      </c>
      <c r="J279" s="11">
        <v>56</v>
      </c>
      <c r="K279" s="11">
        <v>60</v>
      </c>
    </row>
    <row r="280" spans="1:11" ht="28.8" x14ac:dyDescent="0.3">
      <c r="A280" s="1">
        <v>44</v>
      </c>
      <c r="B280" s="1">
        <v>2024</v>
      </c>
      <c r="C280" s="3">
        <v>45357</v>
      </c>
      <c r="D280" s="4" t="s">
        <v>11</v>
      </c>
      <c r="E280" s="5" t="s">
        <v>19</v>
      </c>
      <c r="F280" s="5" t="s">
        <v>13</v>
      </c>
      <c r="G280" s="7">
        <v>72</v>
      </c>
      <c r="H280" s="7">
        <v>60</v>
      </c>
      <c r="I280" s="7">
        <v>84</v>
      </c>
      <c r="J280" s="7">
        <v>72</v>
      </c>
      <c r="K280" s="7">
        <v>72</v>
      </c>
    </row>
    <row r="281" spans="1:11" ht="28.8" x14ac:dyDescent="0.3">
      <c r="A281" s="1">
        <v>44</v>
      </c>
      <c r="B281" s="1">
        <v>2024</v>
      </c>
      <c r="C281" s="3">
        <v>45357</v>
      </c>
      <c r="D281" s="8" t="s">
        <v>11</v>
      </c>
      <c r="E281" s="9" t="s">
        <v>20</v>
      </c>
      <c r="F281" s="9" t="s">
        <v>13</v>
      </c>
      <c r="G281" s="11">
        <v>84</v>
      </c>
      <c r="H281" s="11">
        <v>72</v>
      </c>
      <c r="I281" s="11">
        <v>96</v>
      </c>
      <c r="J281" s="11">
        <v>84</v>
      </c>
      <c r="K281" s="11">
        <v>84</v>
      </c>
    </row>
    <row r="282" spans="1:11" ht="28.8" x14ac:dyDescent="0.3">
      <c r="A282" s="1">
        <v>44</v>
      </c>
      <c r="B282" s="1">
        <v>2024</v>
      </c>
      <c r="C282" s="3">
        <v>45357</v>
      </c>
      <c r="D282" s="4" t="s">
        <v>11</v>
      </c>
      <c r="E282" s="5" t="s">
        <v>21</v>
      </c>
      <c r="F282" s="5" t="s">
        <v>13</v>
      </c>
      <c r="G282" s="7">
        <v>25</v>
      </c>
      <c r="H282" s="7">
        <v>24</v>
      </c>
      <c r="I282" s="7">
        <v>30</v>
      </c>
      <c r="J282" s="7">
        <v>26</v>
      </c>
      <c r="K282" s="7">
        <v>25</v>
      </c>
    </row>
    <row r="283" spans="1:11" ht="28.8" x14ac:dyDescent="0.3">
      <c r="A283" s="1">
        <v>44</v>
      </c>
      <c r="B283" s="1">
        <v>2024</v>
      </c>
      <c r="C283" s="3">
        <v>45357</v>
      </c>
      <c r="D283" s="8" t="s">
        <v>11</v>
      </c>
      <c r="E283" s="9" t="s">
        <v>73</v>
      </c>
      <c r="F283" s="9" t="s">
        <v>13</v>
      </c>
      <c r="G283" s="11">
        <v>84</v>
      </c>
      <c r="H283" s="11">
        <v>84</v>
      </c>
      <c r="I283" s="11">
        <v>108</v>
      </c>
      <c r="J283" s="11" t="s">
        <v>146</v>
      </c>
      <c r="K283" s="11">
        <v>96</v>
      </c>
    </row>
    <row r="284" spans="1:11" ht="28.8" x14ac:dyDescent="0.3">
      <c r="A284" s="1">
        <v>44</v>
      </c>
      <c r="B284" s="1">
        <v>2024</v>
      </c>
      <c r="C284" s="3">
        <v>45357</v>
      </c>
      <c r="D284" s="4" t="s">
        <v>11</v>
      </c>
      <c r="E284" s="5" t="s">
        <v>23</v>
      </c>
      <c r="F284" s="5" t="s">
        <v>13</v>
      </c>
      <c r="G284" s="6"/>
      <c r="H284" s="7">
        <v>25</v>
      </c>
      <c r="I284" s="7">
        <v>42</v>
      </c>
      <c r="J284" s="7" t="s">
        <v>147</v>
      </c>
      <c r="K284" s="7">
        <v>33</v>
      </c>
    </row>
    <row r="285" spans="1:11" ht="28.8" x14ac:dyDescent="0.3">
      <c r="A285" s="1">
        <v>44</v>
      </c>
      <c r="B285" s="1">
        <v>2024</v>
      </c>
      <c r="C285" s="3">
        <v>45357</v>
      </c>
      <c r="D285" s="8" t="s">
        <v>11</v>
      </c>
      <c r="E285" s="9" t="s">
        <v>24</v>
      </c>
      <c r="F285" s="9" t="s">
        <v>13</v>
      </c>
      <c r="G285" s="11">
        <v>60</v>
      </c>
      <c r="H285" s="11">
        <v>60</v>
      </c>
      <c r="I285" s="11">
        <v>72</v>
      </c>
      <c r="J285" s="11">
        <v>64</v>
      </c>
      <c r="K285" s="11">
        <v>60</v>
      </c>
    </row>
    <row r="286" spans="1:11" ht="28.8" x14ac:dyDescent="0.3">
      <c r="A286" s="1">
        <v>44</v>
      </c>
      <c r="B286" s="1">
        <v>2024</v>
      </c>
      <c r="C286" s="3">
        <v>45357</v>
      </c>
      <c r="D286" s="4" t="s">
        <v>11</v>
      </c>
      <c r="E286" s="5" t="s">
        <v>25</v>
      </c>
      <c r="F286" s="5" t="s">
        <v>26</v>
      </c>
      <c r="G286" s="7">
        <v>60</v>
      </c>
      <c r="H286" s="7">
        <v>48</v>
      </c>
      <c r="I286" s="7">
        <v>72</v>
      </c>
      <c r="J286" s="7">
        <v>60</v>
      </c>
      <c r="K286" s="7">
        <v>60</v>
      </c>
    </row>
    <row r="287" spans="1:11" ht="28.8" x14ac:dyDescent="0.3">
      <c r="A287" s="1">
        <v>44</v>
      </c>
      <c r="B287" s="1">
        <v>2024</v>
      </c>
      <c r="C287" s="3">
        <v>45357</v>
      </c>
      <c r="D287" s="8" t="s">
        <v>11</v>
      </c>
      <c r="E287" s="9" t="s">
        <v>27</v>
      </c>
      <c r="F287" s="9" t="s">
        <v>13</v>
      </c>
      <c r="G287" s="11">
        <v>84</v>
      </c>
      <c r="H287" s="11">
        <v>60</v>
      </c>
      <c r="I287" s="11">
        <v>84</v>
      </c>
      <c r="J287" s="11">
        <v>75</v>
      </c>
      <c r="K287" s="11">
        <v>78</v>
      </c>
    </row>
    <row r="288" spans="1:11" ht="28.8" x14ac:dyDescent="0.3">
      <c r="A288" s="1">
        <v>44</v>
      </c>
      <c r="B288" s="1">
        <v>2024</v>
      </c>
      <c r="C288" s="3">
        <v>45357</v>
      </c>
      <c r="D288" s="4" t="s">
        <v>11</v>
      </c>
      <c r="E288" s="5" t="s">
        <v>28</v>
      </c>
      <c r="F288" s="5" t="s">
        <v>13</v>
      </c>
      <c r="G288" s="7">
        <v>60</v>
      </c>
      <c r="H288" s="7">
        <v>48</v>
      </c>
      <c r="I288" s="7">
        <v>78</v>
      </c>
      <c r="J288" s="7" t="s">
        <v>148</v>
      </c>
      <c r="K288" s="7">
        <v>60</v>
      </c>
    </row>
    <row r="289" spans="1:11" ht="28.8" x14ac:dyDescent="0.3">
      <c r="A289" s="1">
        <v>44</v>
      </c>
      <c r="B289" s="1">
        <v>2024</v>
      </c>
      <c r="C289" s="3">
        <v>45357</v>
      </c>
      <c r="D289" s="8" t="s">
        <v>11</v>
      </c>
      <c r="E289" s="9" t="s">
        <v>29</v>
      </c>
      <c r="F289" s="9" t="s">
        <v>13</v>
      </c>
      <c r="G289" s="10"/>
      <c r="H289" s="11">
        <v>42</v>
      </c>
      <c r="I289" s="11">
        <v>54</v>
      </c>
      <c r="J289" s="11">
        <v>48</v>
      </c>
      <c r="K289" s="11">
        <v>48</v>
      </c>
    </row>
    <row r="290" spans="1:11" ht="28.8" x14ac:dyDescent="0.3">
      <c r="A290" s="1">
        <v>44</v>
      </c>
      <c r="B290" s="1">
        <v>2024</v>
      </c>
      <c r="C290" s="3">
        <v>45357</v>
      </c>
      <c r="D290" s="4" t="s">
        <v>30</v>
      </c>
      <c r="E290" s="5" t="s">
        <v>31</v>
      </c>
      <c r="F290" s="5" t="s">
        <v>32</v>
      </c>
      <c r="G290" s="7">
        <v>5</v>
      </c>
      <c r="H290" s="7">
        <v>4</v>
      </c>
      <c r="I290" s="7">
        <v>5</v>
      </c>
      <c r="J290" s="7" t="s">
        <v>149</v>
      </c>
      <c r="K290" s="7" t="s">
        <v>150</v>
      </c>
    </row>
    <row r="291" spans="1:11" ht="28.8" x14ac:dyDescent="0.3">
      <c r="A291" s="1">
        <v>44</v>
      </c>
      <c r="B291" s="1">
        <v>2024</v>
      </c>
      <c r="C291" s="3">
        <v>45357</v>
      </c>
      <c r="D291" s="8" t="s">
        <v>30</v>
      </c>
      <c r="E291" s="9" t="s">
        <v>34</v>
      </c>
      <c r="F291" s="9" t="s">
        <v>35</v>
      </c>
      <c r="G291" s="11">
        <v>20</v>
      </c>
      <c r="H291" s="11">
        <v>20</v>
      </c>
      <c r="I291" s="11">
        <v>40</v>
      </c>
      <c r="J291" s="11" t="s">
        <v>151</v>
      </c>
      <c r="K291" s="11" t="s">
        <v>37</v>
      </c>
    </row>
    <row r="292" spans="1:11" ht="28.8" x14ac:dyDescent="0.3">
      <c r="A292" s="1">
        <v>44</v>
      </c>
      <c r="B292" s="1">
        <v>2024</v>
      </c>
      <c r="C292" s="3">
        <v>45357</v>
      </c>
      <c r="D292" s="4" t="s">
        <v>30</v>
      </c>
      <c r="E292" s="5" t="s">
        <v>36</v>
      </c>
      <c r="F292" s="5" t="s">
        <v>35</v>
      </c>
      <c r="G292" s="7">
        <v>25</v>
      </c>
      <c r="H292" s="7">
        <v>25</v>
      </c>
      <c r="I292" s="7">
        <v>30</v>
      </c>
      <c r="J292" s="7" t="s">
        <v>152</v>
      </c>
      <c r="K292" s="7">
        <v>28</v>
      </c>
    </row>
    <row r="293" spans="1:11" ht="43.2" x14ac:dyDescent="0.3">
      <c r="A293" s="1">
        <v>44</v>
      </c>
      <c r="B293" s="1">
        <v>2024</v>
      </c>
      <c r="C293" s="3">
        <v>45357</v>
      </c>
      <c r="D293" s="8" t="s">
        <v>38</v>
      </c>
      <c r="E293" s="9" t="s">
        <v>153</v>
      </c>
      <c r="F293" s="9" t="s">
        <v>154</v>
      </c>
      <c r="G293" s="10"/>
      <c r="H293" s="11">
        <v>10</v>
      </c>
      <c r="I293" s="11">
        <v>110</v>
      </c>
      <c r="J293" s="11" t="s">
        <v>155</v>
      </c>
      <c r="K293" s="11" t="s">
        <v>156</v>
      </c>
    </row>
    <row r="294" spans="1:11" ht="43.2" x14ac:dyDescent="0.3">
      <c r="A294" s="1">
        <v>44</v>
      </c>
      <c r="B294" s="1">
        <v>2024</v>
      </c>
      <c r="C294" s="3">
        <v>45357</v>
      </c>
      <c r="D294" s="4" t="s">
        <v>38</v>
      </c>
      <c r="E294" s="5" t="s">
        <v>39</v>
      </c>
      <c r="F294" s="5" t="s">
        <v>40</v>
      </c>
      <c r="G294" s="7">
        <v>100</v>
      </c>
      <c r="H294" s="7">
        <v>78</v>
      </c>
      <c r="I294" s="7">
        <v>100</v>
      </c>
      <c r="J294" s="7" t="s">
        <v>157</v>
      </c>
      <c r="K294" s="7">
        <v>90</v>
      </c>
    </row>
    <row r="295" spans="1:11" ht="43.2" x14ac:dyDescent="0.3">
      <c r="A295" s="1">
        <v>44</v>
      </c>
      <c r="B295" s="1">
        <v>2024</v>
      </c>
      <c r="C295" s="3">
        <v>45357</v>
      </c>
      <c r="D295" s="8" t="s">
        <v>38</v>
      </c>
      <c r="E295" s="9" t="s">
        <v>42</v>
      </c>
      <c r="F295" s="9" t="s">
        <v>43</v>
      </c>
      <c r="G295" s="10"/>
      <c r="H295" s="11">
        <v>50</v>
      </c>
      <c r="I295" s="11">
        <v>80</v>
      </c>
      <c r="J295" s="11">
        <v>66</v>
      </c>
      <c r="K295" s="11">
        <v>70</v>
      </c>
    </row>
    <row r="296" spans="1:11" ht="43.2" x14ac:dyDescent="0.3">
      <c r="A296" s="1">
        <v>44</v>
      </c>
      <c r="B296" s="1">
        <v>2024</v>
      </c>
      <c r="C296" s="3">
        <v>45357</v>
      </c>
      <c r="D296" s="4" t="s">
        <v>38</v>
      </c>
      <c r="E296" s="5" t="s">
        <v>44</v>
      </c>
      <c r="F296" s="5" t="s">
        <v>45</v>
      </c>
      <c r="G296" s="7">
        <v>40</v>
      </c>
      <c r="H296" s="7">
        <v>30</v>
      </c>
      <c r="I296" s="7">
        <v>50</v>
      </c>
      <c r="J296" s="7">
        <v>40</v>
      </c>
      <c r="K296" s="7">
        <v>40</v>
      </c>
    </row>
    <row r="297" spans="1:11" ht="43.2" x14ac:dyDescent="0.3">
      <c r="A297" s="1">
        <v>44</v>
      </c>
      <c r="B297" s="1">
        <v>2024</v>
      </c>
      <c r="C297" s="3">
        <v>45357</v>
      </c>
      <c r="D297" s="8" t="s">
        <v>38</v>
      </c>
      <c r="E297" s="9" t="s">
        <v>48</v>
      </c>
      <c r="F297" s="9" t="s">
        <v>45</v>
      </c>
      <c r="G297" s="10"/>
      <c r="H297" s="11">
        <v>95</v>
      </c>
      <c r="I297" s="11">
        <v>100</v>
      </c>
      <c r="J297" s="11" t="s">
        <v>156</v>
      </c>
      <c r="K297" s="11" t="s">
        <v>156</v>
      </c>
    </row>
    <row r="298" spans="1:11" ht="43.2" x14ac:dyDescent="0.3">
      <c r="A298" s="1">
        <v>44</v>
      </c>
      <c r="B298" s="1">
        <v>2024</v>
      </c>
      <c r="C298" s="3">
        <v>45357</v>
      </c>
      <c r="D298" s="4" t="s">
        <v>38</v>
      </c>
      <c r="E298" s="5" t="s">
        <v>49</v>
      </c>
      <c r="F298" s="5" t="s">
        <v>50</v>
      </c>
      <c r="G298" s="7">
        <v>95</v>
      </c>
      <c r="H298" s="7">
        <v>70</v>
      </c>
      <c r="I298" s="7">
        <v>120</v>
      </c>
      <c r="J298" s="7">
        <v>92</v>
      </c>
      <c r="K298" s="7">
        <v>95</v>
      </c>
    </row>
    <row r="299" spans="1:11" ht="43.2" x14ac:dyDescent="0.3">
      <c r="A299" s="1">
        <v>44</v>
      </c>
      <c r="B299" s="1">
        <v>2024</v>
      </c>
      <c r="C299" s="3">
        <v>45357</v>
      </c>
      <c r="D299" s="8" t="s">
        <v>38</v>
      </c>
      <c r="E299" s="9" t="s">
        <v>52</v>
      </c>
      <c r="F299" s="9" t="s">
        <v>43</v>
      </c>
      <c r="G299" s="11">
        <v>130</v>
      </c>
      <c r="H299" s="11">
        <v>80</v>
      </c>
      <c r="I299" s="11">
        <v>130</v>
      </c>
      <c r="J299" s="11">
        <v>110</v>
      </c>
      <c r="K299" s="11">
        <v>130</v>
      </c>
    </row>
    <row r="300" spans="1:11" ht="43.2" x14ac:dyDescent="0.3">
      <c r="A300" s="1">
        <v>44</v>
      </c>
      <c r="B300" s="1">
        <v>2024</v>
      </c>
      <c r="C300" s="3">
        <v>45357</v>
      </c>
      <c r="D300" s="4" t="s">
        <v>38</v>
      </c>
      <c r="E300" s="5" t="s">
        <v>53</v>
      </c>
      <c r="F300" s="5" t="s">
        <v>43</v>
      </c>
      <c r="G300" s="7">
        <v>60</v>
      </c>
      <c r="H300" s="7">
        <v>50</v>
      </c>
      <c r="I300" s="7">
        <v>80</v>
      </c>
      <c r="J300" s="7">
        <v>64</v>
      </c>
      <c r="K300" s="7">
        <v>60</v>
      </c>
    </row>
    <row r="301" spans="1:11" ht="43.2" x14ac:dyDescent="0.3">
      <c r="A301" s="1">
        <v>44</v>
      </c>
      <c r="B301" s="1">
        <v>2024</v>
      </c>
      <c r="C301" s="3">
        <v>45357</v>
      </c>
      <c r="D301" s="8" t="s">
        <v>38</v>
      </c>
      <c r="E301" s="9" t="s">
        <v>54</v>
      </c>
      <c r="F301" s="9" t="s">
        <v>40</v>
      </c>
      <c r="G301" s="11">
        <v>80</v>
      </c>
      <c r="H301" s="11">
        <v>40</v>
      </c>
      <c r="I301" s="11">
        <v>100</v>
      </c>
      <c r="J301" s="11" t="s">
        <v>103</v>
      </c>
      <c r="K301" s="11" t="s">
        <v>134</v>
      </c>
    </row>
    <row r="302" spans="1:11" ht="43.2" x14ac:dyDescent="0.3">
      <c r="A302" s="1">
        <v>44</v>
      </c>
      <c r="B302" s="1">
        <v>2024</v>
      </c>
      <c r="C302" s="3">
        <v>45357</v>
      </c>
      <c r="D302" s="4" t="s">
        <v>38</v>
      </c>
      <c r="E302" s="5" t="s">
        <v>56</v>
      </c>
      <c r="F302" s="5" t="s">
        <v>43</v>
      </c>
      <c r="G302" s="6"/>
      <c r="H302" s="7">
        <v>80</v>
      </c>
      <c r="I302" s="7">
        <v>80</v>
      </c>
      <c r="J302" s="7">
        <v>80</v>
      </c>
      <c r="K302" s="7">
        <v>80</v>
      </c>
    </row>
    <row r="303" spans="1:11" ht="43.2" x14ac:dyDescent="0.3">
      <c r="A303" s="1">
        <v>44</v>
      </c>
      <c r="B303" s="1">
        <v>2024</v>
      </c>
      <c r="C303" s="3">
        <v>45357</v>
      </c>
      <c r="D303" s="8" t="s">
        <v>38</v>
      </c>
      <c r="E303" s="9" t="s">
        <v>57</v>
      </c>
      <c r="F303" s="9" t="s">
        <v>40</v>
      </c>
      <c r="G303" s="11">
        <v>80</v>
      </c>
      <c r="H303" s="11">
        <v>70</v>
      </c>
      <c r="I303" s="11">
        <v>80</v>
      </c>
      <c r="J303" s="11" t="s">
        <v>158</v>
      </c>
      <c r="K303" s="11">
        <v>80</v>
      </c>
    </row>
    <row r="304" spans="1:11" ht="43.2" x14ac:dyDescent="0.3">
      <c r="A304" s="1">
        <v>44</v>
      </c>
      <c r="B304" s="1">
        <v>2024</v>
      </c>
      <c r="C304" s="3">
        <v>45357</v>
      </c>
      <c r="D304" s="4" t="s">
        <v>38</v>
      </c>
      <c r="E304" s="5" t="s">
        <v>58</v>
      </c>
      <c r="F304" s="5" t="s">
        <v>40</v>
      </c>
      <c r="G304" s="7">
        <v>100</v>
      </c>
      <c r="H304" s="7">
        <v>70</v>
      </c>
      <c r="I304" s="7">
        <v>120</v>
      </c>
      <c r="J304" s="7" t="s">
        <v>156</v>
      </c>
      <c r="K304" s="7">
        <v>100</v>
      </c>
    </row>
    <row r="305" spans="1:11" ht="43.2" x14ac:dyDescent="0.3">
      <c r="A305" s="1">
        <v>44</v>
      </c>
      <c r="B305" s="1">
        <v>2024</v>
      </c>
      <c r="C305" s="3">
        <v>45357</v>
      </c>
      <c r="D305" s="8" t="s">
        <v>38</v>
      </c>
      <c r="E305" s="9" t="s">
        <v>59</v>
      </c>
      <c r="F305" s="9" t="s">
        <v>45</v>
      </c>
      <c r="G305" s="11">
        <v>50</v>
      </c>
      <c r="H305" s="11">
        <v>40</v>
      </c>
      <c r="I305" s="11">
        <v>60</v>
      </c>
      <c r="J305" s="11" t="s">
        <v>159</v>
      </c>
      <c r="K305" s="11">
        <v>50</v>
      </c>
    </row>
    <row r="306" spans="1:11" ht="43.2" x14ac:dyDescent="0.3">
      <c r="A306" s="1">
        <v>44</v>
      </c>
      <c r="B306" s="1">
        <v>2024</v>
      </c>
      <c r="C306" s="3">
        <v>45357</v>
      </c>
      <c r="D306" s="4" t="s">
        <v>38</v>
      </c>
      <c r="E306" s="5" t="s">
        <v>60</v>
      </c>
      <c r="F306" s="5" t="s">
        <v>61</v>
      </c>
      <c r="G306" s="7">
        <v>70</v>
      </c>
      <c r="H306" s="7">
        <v>60</v>
      </c>
      <c r="I306" s="7">
        <v>90</v>
      </c>
      <c r="J306" s="7" t="s">
        <v>93</v>
      </c>
      <c r="K306" s="7">
        <v>70</v>
      </c>
    </row>
    <row r="307" spans="1:11" ht="43.2" x14ac:dyDescent="0.3">
      <c r="A307" s="1">
        <v>44</v>
      </c>
      <c r="B307" s="1">
        <v>2024</v>
      </c>
      <c r="C307" s="3">
        <v>45357</v>
      </c>
      <c r="D307" s="8" t="s">
        <v>38</v>
      </c>
      <c r="E307" s="9" t="s">
        <v>63</v>
      </c>
      <c r="F307" s="9" t="s">
        <v>40</v>
      </c>
      <c r="G307" s="11">
        <v>130</v>
      </c>
      <c r="H307" s="11">
        <v>100</v>
      </c>
      <c r="I307" s="11">
        <v>130</v>
      </c>
      <c r="J307" s="11" t="s">
        <v>160</v>
      </c>
      <c r="K307" s="11">
        <v>120</v>
      </c>
    </row>
    <row r="308" spans="1:11" ht="43.2" x14ac:dyDescent="0.3">
      <c r="A308" s="1">
        <v>44</v>
      </c>
      <c r="B308" s="1">
        <v>2024</v>
      </c>
      <c r="C308" s="3">
        <v>45357</v>
      </c>
      <c r="D308" s="4" t="s">
        <v>38</v>
      </c>
      <c r="E308" s="5" t="s">
        <v>64</v>
      </c>
      <c r="F308" s="5" t="s">
        <v>40</v>
      </c>
      <c r="G308" s="7">
        <v>120</v>
      </c>
      <c r="H308" s="7">
        <v>110</v>
      </c>
      <c r="I308" s="7">
        <v>150</v>
      </c>
      <c r="J308" s="7">
        <v>128</v>
      </c>
      <c r="K308" s="7">
        <v>120</v>
      </c>
    </row>
    <row r="309" spans="1:11" x14ac:dyDescent="0.3">
      <c r="A309" s="1">
        <v>44</v>
      </c>
      <c r="B309" s="1">
        <v>2024</v>
      </c>
      <c r="C309" s="3">
        <v>45357</v>
      </c>
      <c r="D309" s="8" t="s">
        <v>65</v>
      </c>
      <c r="E309" s="9" t="s">
        <v>66</v>
      </c>
      <c r="F309" s="9" t="s">
        <v>45</v>
      </c>
      <c r="G309" s="10"/>
      <c r="H309" s="11">
        <v>80</v>
      </c>
      <c r="I309" s="11">
        <v>80</v>
      </c>
      <c r="J309" s="11">
        <v>80</v>
      </c>
      <c r="K309" s="11">
        <v>80</v>
      </c>
    </row>
    <row r="310" spans="1:11" x14ac:dyDescent="0.3">
      <c r="A310" s="1">
        <v>44</v>
      </c>
      <c r="B310" s="1">
        <v>2024</v>
      </c>
      <c r="C310" s="3">
        <v>45357</v>
      </c>
      <c r="D310" s="4" t="s">
        <v>65</v>
      </c>
      <c r="E310" s="5" t="s">
        <v>67</v>
      </c>
      <c r="F310" s="5" t="s">
        <v>45</v>
      </c>
      <c r="G310" s="6"/>
      <c r="H310" s="7">
        <v>60</v>
      </c>
      <c r="I310" s="7">
        <v>60</v>
      </c>
      <c r="J310" s="7">
        <v>60</v>
      </c>
      <c r="K310" s="7">
        <v>60</v>
      </c>
    </row>
    <row r="311" spans="1:11" x14ac:dyDescent="0.3">
      <c r="A311" s="1">
        <v>44</v>
      </c>
      <c r="B311" s="1">
        <v>2024</v>
      </c>
      <c r="C311" s="3">
        <v>45357</v>
      </c>
      <c r="D311" s="8" t="s">
        <v>65</v>
      </c>
      <c r="E311" s="9" t="s">
        <v>68</v>
      </c>
      <c r="F311" s="9" t="s">
        <v>45</v>
      </c>
      <c r="G311" s="10"/>
      <c r="H311" s="11">
        <v>40</v>
      </c>
      <c r="I311" s="11">
        <v>40</v>
      </c>
      <c r="J311" s="11">
        <v>40</v>
      </c>
      <c r="K311" s="11">
        <v>40</v>
      </c>
    </row>
    <row r="312" spans="1:11" x14ac:dyDescent="0.3">
      <c r="A312" s="1">
        <v>44</v>
      </c>
      <c r="B312" s="1">
        <v>2024</v>
      </c>
      <c r="C312" s="3">
        <v>45357</v>
      </c>
      <c r="D312" s="4" t="s">
        <v>65</v>
      </c>
      <c r="E312" s="5" t="s">
        <v>69</v>
      </c>
      <c r="F312" s="5" t="s">
        <v>45</v>
      </c>
      <c r="G312" s="6"/>
      <c r="H312" s="6"/>
      <c r="I312" s="6"/>
      <c r="J312" s="6"/>
      <c r="K312" s="6"/>
    </row>
    <row r="313" spans="1:11" x14ac:dyDescent="0.3">
      <c r="A313" s="1">
        <v>44</v>
      </c>
      <c r="B313" s="1">
        <v>2024</v>
      </c>
      <c r="C313" s="3">
        <v>45357</v>
      </c>
      <c r="D313" s="8" t="s">
        <v>65</v>
      </c>
      <c r="E313" s="9" t="s">
        <v>70</v>
      </c>
      <c r="F313" s="9" t="s">
        <v>71</v>
      </c>
      <c r="G313" s="10"/>
      <c r="H313" s="10"/>
      <c r="I313" s="10"/>
      <c r="J313" s="10"/>
      <c r="K313" s="10"/>
    </row>
    <row r="314" spans="1:11" ht="28.8" x14ac:dyDescent="0.3">
      <c r="A314" s="1">
        <v>45</v>
      </c>
      <c r="B314" s="1">
        <v>2024</v>
      </c>
      <c r="C314" s="3">
        <v>45364</v>
      </c>
      <c r="D314" s="4" t="s">
        <v>11</v>
      </c>
      <c r="E314" s="5" t="s">
        <v>12</v>
      </c>
      <c r="F314" s="5" t="s">
        <v>13</v>
      </c>
      <c r="G314" s="6"/>
      <c r="H314" s="7">
        <v>60</v>
      </c>
      <c r="I314" s="7">
        <v>78</v>
      </c>
      <c r="J314" s="7">
        <v>69</v>
      </c>
      <c r="K314" s="7">
        <v>69</v>
      </c>
    </row>
    <row r="315" spans="1:11" ht="28.8" x14ac:dyDescent="0.3">
      <c r="A315" s="1">
        <v>45</v>
      </c>
      <c r="B315" s="1">
        <v>2024</v>
      </c>
      <c r="C315" s="3">
        <v>45364</v>
      </c>
      <c r="D315" s="8" t="s">
        <v>11</v>
      </c>
      <c r="E315" s="9" t="s">
        <v>14</v>
      </c>
      <c r="F315" s="9" t="s">
        <v>13</v>
      </c>
      <c r="G315" s="11">
        <v>84</v>
      </c>
      <c r="H315" s="11">
        <v>84</v>
      </c>
      <c r="I315" s="11">
        <v>84</v>
      </c>
      <c r="J315" s="11">
        <v>84</v>
      </c>
      <c r="K315" s="11">
        <v>84</v>
      </c>
    </row>
    <row r="316" spans="1:11" ht="28.8" x14ac:dyDescent="0.3">
      <c r="A316" s="1">
        <v>45</v>
      </c>
      <c r="B316" s="1">
        <v>2024</v>
      </c>
      <c r="C316" s="3">
        <v>45364</v>
      </c>
      <c r="D316" s="4" t="s">
        <v>11</v>
      </c>
      <c r="E316" s="5" t="s">
        <v>15</v>
      </c>
      <c r="F316" s="5" t="s">
        <v>13</v>
      </c>
      <c r="G316" s="6"/>
      <c r="H316" s="7">
        <v>50</v>
      </c>
      <c r="I316" s="7">
        <v>60</v>
      </c>
      <c r="J316" s="7" t="s">
        <v>161</v>
      </c>
      <c r="K316" s="7">
        <v>54</v>
      </c>
    </row>
    <row r="317" spans="1:11" ht="28.8" x14ac:dyDescent="0.3">
      <c r="A317" s="1">
        <v>45</v>
      </c>
      <c r="B317" s="1">
        <v>2024</v>
      </c>
      <c r="C317" s="3">
        <v>45364</v>
      </c>
      <c r="D317" s="8" t="s">
        <v>11</v>
      </c>
      <c r="E317" s="9" t="s">
        <v>16</v>
      </c>
      <c r="F317" s="9" t="s">
        <v>13</v>
      </c>
      <c r="G317" s="10"/>
      <c r="H317" s="11">
        <v>30</v>
      </c>
      <c r="I317" s="11">
        <v>42</v>
      </c>
      <c r="J317" s="11">
        <v>36</v>
      </c>
      <c r="K317" s="11">
        <v>36</v>
      </c>
    </row>
    <row r="318" spans="1:11" ht="28.8" x14ac:dyDescent="0.3">
      <c r="A318" s="1">
        <v>45</v>
      </c>
      <c r="B318" s="1">
        <v>2024</v>
      </c>
      <c r="C318" s="3">
        <v>45364</v>
      </c>
      <c r="D318" s="4" t="s">
        <v>11</v>
      </c>
      <c r="E318" s="5" t="s">
        <v>17</v>
      </c>
      <c r="F318" s="5" t="s">
        <v>13</v>
      </c>
      <c r="G318" s="6"/>
      <c r="H318" s="7">
        <v>36</v>
      </c>
      <c r="I318" s="7">
        <v>42</v>
      </c>
      <c r="J318" s="7">
        <v>39</v>
      </c>
      <c r="K318" s="7">
        <v>39</v>
      </c>
    </row>
    <row r="319" spans="1:11" ht="28.8" x14ac:dyDescent="0.3">
      <c r="A319" s="1">
        <v>45</v>
      </c>
      <c r="B319" s="1">
        <v>2024</v>
      </c>
      <c r="C319" s="3">
        <v>45364</v>
      </c>
      <c r="D319" s="8" t="s">
        <v>11</v>
      </c>
      <c r="E319" s="9" t="s">
        <v>18</v>
      </c>
      <c r="F319" s="9" t="s">
        <v>13</v>
      </c>
      <c r="G319" s="11">
        <v>60</v>
      </c>
      <c r="H319" s="11">
        <v>60</v>
      </c>
      <c r="I319" s="11">
        <v>60</v>
      </c>
      <c r="J319" s="11">
        <v>60</v>
      </c>
      <c r="K319" s="11">
        <v>60</v>
      </c>
    </row>
    <row r="320" spans="1:11" ht="28.8" x14ac:dyDescent="0.3">
      <c r="A320" s="1">
        <v>45</v>
      </c>
      <c r="B320" s="1">
        <v>2024</v>
      </c>
      <c r="C320" s="3">
        <v>45364</v>
      </c>
      <c r="D320" s="4" t="s">
        <v>11</v>
      </c>
      <c r="E320" s="5" t="s">
        <v>19</v>
      </c>
      <c r="F320" s="5" t="s">
        <v>13</v>
      </c>
      <c r="G320" s="6"/>
      <c r="H320" s="7">
        <v>78</v>
      </c>
      <c r="I320" s="7">
        <v>84</v>
      </c>
      <c r="J320" s="7">
        <v>81</v>
      </c>
      <c r="K320" s="7">
        <v>81</v>
      </c>
    </row>
    <row r="321" spans="1:11" ht="28.8" x14ac:dyDescent="0.3">
      <c r="A321" s="1">
        <v>45</v>
      </c>
      <c r="B321" s="1">
        <v>2024</v>
      </c>
      <c r="C321" s="3">
        <v>45364</v>
      </c>
      <c r="D321" s="8" t="s">
        <v>11</v>
      </c>
      <c r="E321" s="9" t="s">
        <v>20</v>
      </c>
      <c r="F321" s="9" t="s">
        <v>13</v>
      </c>
      <c r="G321" s="10"/>
      <c r="H321" s="11">
        <v>96</v>
      </c>
      <c r="I321" s="11">
        <v>96</v>
      </c>
      <c r="J321" s="11">
        <v>96</v>
      </c>
      <c r="K321" s="11">
        <v>96</v>
      </c>
    </row>
    <row r="322" spans="1:11" ht="28.8" x14ac:dyDescent="0.3">
      <c r="A322" s="1">
        <v>45</v>
      </c>
      <c r="B322" s="1">
        <v>2024</v>
      </c>
      <c r="C322" s="3">
        <v>45364</v>
      </c>
      <c r="D322" s="4" t="s">
        <v>11</v>
      </c>
      <c r="E322" s="5" t="s">
        <v>21</v>
      </c>
      <c r="F322" s="5" t="s">
        <v>13</v>
      </c>
      <c r="G322" s="6"/>
      <c r="H322" s="7">
        <v>25</v>
      </c>
      <c r="I322" s="7">
        <v>36</v>
      </c>
      <c r="J322" s="7" t="s">
        <v>162</v>
      </c>
      <c r="K322" s="7" t="s">
        <v>162</v>
      </c>
    </row>
    <row r="323" spans="1:11" ht="28.8" x14ac:dyDescent="0.3">
      <c r="A323" s="1">
        <v>45</v>
      </c>
      <c r="B323" s="1">
        <v>2024</v>
      </c>
      <c r="C323" s="3">
        <v>45364</v>
      </c>
      <c r="D323" s="8" t="s">
        <v>11</v>
      </c>
      <c r="E323" s="9" t="s">
        <v>73</v>
      </c>
      <c r="F323" s="9" t="s">
        <v>13</v>
      </c>
      <c r="G323" s="10"/>
      <c r="H323" s="11">
        <v>84</v>
      </c>
      <c r="I323" s="11">
        <v>120</v>
      </c>
      <c r="J323" s="11">
        <v>102</v>
      </c>
      <c r="K323" s="11">
        <v>102</v>
      </c>
    </row>
    <row r="324" spans="1:11" ht="28.8" x14ac:dyDescent="0.3">
      <c r="A324" s="1">
        <v>45</v>
      </c>
      <c r="B324" s="1">
        <v>2024</v>
      </c>
      <c r="C324" s="3">
        <v>45364</v>
      </c>
      <c r="D324" s="4" t="s">
        <v>11</v>
      </c>
      <c r="E324" s="5" t="s">
        <v>23</v>
      </c>
      <c r="F324" s="5" t="s">
        <v>13</v>
      </c>
      <c r="G324" s="6"/>
      <c r="H324" s="7">
        <v>36</v>
      </c>
      <c r="I324" s="7">
        <v>42</v>
      </c>
      <c r="J324" s="7">
        <v>39</v>
      </c>
      <c r="K324" s="7">
        <v>39</v>
      </c>
    </row>
    <row r="325" spans="1:11" ht="28.8" x14ac:dyDescent="0.3">
      <c r="A325" s="1">
        <v>45</v>
      </c>
      <c r="B325" s="1">
        <v>2024</v>
      </c>
      <c r="C325" s="3">
        <v>45364</v>
      </c>
      <c r="D325" s="8" t="s">
        <v>11</v>
      </c>
      <c r="E325" s="9" t="s">
        <v>24</v>
      </c>
      <c r="F325" s="9" t="s">
        <v>13</v>
      </c>
      <c r="G325" s="10"/>
      <c r="H325" s="11">
        <v>54</v>
      </c>
      <c r="I325" s="11">
        <v>60</v>
      </c>
      <c r="J325" s="11">
        <v>57</v>
      </c>
      <c r="K325" s="11">
        <v>57</v>
      </c>
    </row>
    <row r="326" spans="1:11" ht="28.8" x14ac:dyDescent="0.3">
      <c r="A326" s="1">
        <v>45</v>
      </c>
      <c r="B326" s="1">
        <v>2024</v>
      </c>
      <c r="C326" s="3">
        <v>45364</v>
      </c>
      <c r="D326" s="4" t="s">
        <v>11</v>
      </c>
      <c r="E326" s="5" t="s">
        <v>25</v>
      </c>
      <c r="F326" s="5" t="s">
        <v>26</v>
      </c>
      <c r="G326" s="6"/>
      <c r="H326" s="7">
        <v>60</v>
      </c>
      <c r="I326" s="7">
        <v>78</v>
      </c>
      <c r="J326" s="7">
        <v>69</v>
      </c>
      <c r="K326" s="7">
        <v>69</v>
      </c>
    </row>
    <row r="327" spans="1:11" ht="28.8" x14ac:dyDescent="0.3">
      <c r="A327" s="1">
        <v>45</v>
      </c>
      <c r="B327" s="1">
        <v>2024</v>
      </c>
      <c r="C327" s="3">
        <v>45364</v>
      </c>
      <c r="D327" s="8" t="s">
        <v>11</v>
      </c>
      <c r="E327" s="9" t="s">
        <v>27</v>
      </c>
      <c r="F327" s="9" t="s">
        <v>13</v>
      </c>
      <c r="G327" s="10"/>
      <c r="H327" s="11">
        <v>72</v>
      </c>
      <c r="I327" s="11">
        <v>102</v>
      </c>
      <c r="J327" s="11">
        <v>87</v>
      </c>
      <c r="K327" s="11">
        <v>87</v>
      </c>
    </row>
    <row r="328" spans="1:11" ht="28.8" x14ac:dyDescent="0.3">
      <c r="A328" s="1">
        <v>45</v>
      </c>
      <c r="B328" s="1">
        <v>2024</v>
      </c>
      <c r="C328" s="3">
        <v>45364</v>
      </c>
      <c r="D328" s="4" t="s">
        <v>11</v>
      </c>
      <c r="E328" s="5" t="s">
        <v>28</v>
      </c>
      <c r="F328" s="5" t="s">
        <v>13</v>
      </c>
      <c r="G328" s="6"/>
      <c r="H328" s="7">
        <v>55</v>
      </c>
      <c r="I328" s="7">
        <v>84</v>
      </c>
      <c r="J328" s="7" t="s">
        <v>163</v>
      </c>
      <c r="K328" s="7">
        <v>60</v>
      </c>
    </row>
    <row r="329" spans="1:11" ht="28.8" x14ac:dyDescent="0.3">
      <c r="A329" s="1">
        <v>45</v>
      </c>
      <c r="B329" s="1">
        <v>2024</v>
      </c>
      <c r="C329" s="3">
        <v>45364</v>
      </c>
      <c r="D329" s="8" t="s">
        <v>11</v>
      </c>
      <c r="E329" s="9" t="s">
        <v>29</v>
      </c>
      <c r="F329" s="9" t="s">
        <v>13</v>
      </c>
      <c r="G329" s="11">
        <v>54</v>
      </c>
      <c r="H329" s="11">
        <v>54</v>
      </c>
      <c r="I329" s="11">
        <v>54</v>
      </c>
      <c r="J329" s="11">
        <v>54</v>
      </c>
      <c r="K329" s="11">
        <v>54</v>
      </c>
    </row>
    <row r="330" spans="1:11" ht="28.8" x14ac:dyDescent="0.3">
      <c r="A330" s="1">
        <v>45</v>
      </c>
      <c r="B330" s="1">
        <v>2024</v>
      </c>
      <c r="C330" s="3">
        <v>45364</v>
      </c>
      <c r="D330" s="4" t="s">
        <v>30</v>
      </c>
      <c r="E330" s="5" t="s">
        <v>31</v>
      </c>
      <c r="F330" s="5" t="s">
        <v>32</v>
      </c>
      <c r="G330" s="7">
        <v>5</v>
      </c>
      <c r="H330" s="7" t="s">
        <v>97</v>
      </c>
      <c r="I330" s="7">
        <v>5</v>
      </c>
      <c r="J330" s="7" t="s">
        <v>164</v>
      </c>
      <c r="K330" s="7">
        <v>5</v>
      </c>
    </row>
    <row r="331" spans="1:11" ht="28.8" x14ac:dyDescent="0.3">
      <c r="A331" s="1">
        <v>45</v>
      </c>
      <c r="B331" s="1">
        <v>2024</v>
      </c>
      <c r="C331" s="3">
        <v>45364</v>
      </c>
      <c r="D331" s="8" t="s">
        <v>30</v>
      </c>
      <c r="E331" s="9" t="s">
        <v>34</v>
      </c>
      <c r="F331" s="9" t="s">
        <v>35</v>
      </c>
      <c r="G331" s="10"/>
      <c r="H331" s="11">
        <v>20</v>
      </c>
      <c r="I331" s="11">
        <v>35</v>
      </c>
      <c r="J331" s="11" t="s">
        <v>136</v>
      </c>
      <c r="K331" s="11">
        <v>25</v>
      </c>
    </row>
    <row r="332" spans="1:11" ht="28.8" x14ac:dyDescent="0.3">
      <c r="A332" s="1">
        <v>45</v>
      </c>
      <c r="B332" s="1">
        <v>2024</v>
      </c>
      <c r="C332" s="3">
        <v>45364</v>
      </c>
      <c r="D332" s="4" t="s">
        <v>30</v>
      </c>
      <c r="E332" s="5" t="s">
        <v>36</v>
      </c>
      <c r="F332" s="5" t="s">
        <v>35</v>
      </c>
      <c r="G332" s="6"/>
      <c r="H332" s="7">
        <v>30</v>
      </c>
      <c r="I332" s="7">
        <v>40</v>
      </c>
      <c r="J332" s="7">
        <v>35</v>
      </c>
      <c r="K332" s="7">
        <v>35</v>
      </c>
    </row>
    <row r="333" spans="1:11" ht="43.2" x14ac:dyDescent="0.3">
      <c r="A333" s="1">
        <v>45</v>
      </c>
      <c r="B333" s="1">
        <v>2024</v>
      </c>
      <c r="C333" s="3">
        <v>45364</v>
      </c>
      <c r="D333" s="8" t="s">
        <v>38</v>
      </c>
      <c r="E333" s="9" t="s">
        <v>153</v>
      </c>
      <c r="F333" s="9" t="s">
        <v>154</v>
      </c>
      <c r="G333" s="10"/>
      <c r="H333" s="10"/>
      <c r="I333" s="10"/>
      <c r="J333" s="10"/>
      <c r="K333" s="10"/>
    </row>
    <row r="334" spans="1:11" ht="43.2" x14ac:dyDescent="0.3">
      <c r="A334" s="1">
        <v>45</v>
      </c>
      <c r="B334" s="1">
        <v>2024</v>
      </c>
      <c r="C334" s="3">
        <v>45364</v>
      </c>
      <c r="D334" s="4" t="s">
        <v>38</v>
      </c>
      <c r="E334" s="5" t="s">
        <v>39</v>
      </c>
      <c r="F334" s="5" t="s">
        <v>40</v>
      </c>
      <c r="G334" s="7">
        <v>80</v>
      </c>
      <c r="H334" s="7">
        <v>70</v>
      </c>
      <c r="I334" s="7">
        <v>85</v>
      </c>
      <c r="J334" s="7" t="s">
        <v>155</v>
      </c>
      <c r="K334" s="7">
        <v>80</v>
      </c>
    </row>
    <row r="335" spans="1:11" ht="43.2" x14ac:dyDescent="0.3">
      <c r="A335" s="1">
        <v>45</v>
      </c>
      <c r="B335" s="1">
        <v>2024</v>
      </c>
      <c r="C335" s="3">
        <v>45364</v>
      </c>
      <c r="D335" s="8" t="s">
        <v>38</v>
      </c>
      <c r="E335" s="9" t="s">
        <v>42</v>
      </c>
      <c r="F335" s="9" t="s">
        <v>43</v>
      </c>
      <c r="G335" s="11">
        <v>75</v>
      </c>
      <c r="H335" s="11">
        <v>55</v>
      </c>
      <c r="I335" s="11">
        <v>75</v>
      </c>
      <c r="J335" s="11">
        <v>70</v>
      </c>
      <c r="K335" s="11">
        <v>75</v>
      </c>
    </row>
    <row r="336" spans="1:11" ht="43.2" x14ac:dyDescent="0.3">
      <c r="A336" s="1">
        <v>45</v>
      </c>
      <c r="B336" s="1">
        <v>2024</v>
      </c>
      <c r="C336" s="3">
        <v>45364</v>
      </c>
      <c r="D336" s="4" t="s">
        <v>38</v>
      </c>
      <c r="E336" s="5" t="s">
        <v>44</v>
      </c>
      <c r="F336" s="5" t="s">
        <v>45</v>
      </c>
      <c r="G336" s="7">
        <v>50</v>
      </c>
      <c r="H336" s="7">
        <v>30</v>
      </c>
      <c r="I336" s="7">
        <v>50</v>
      </c>
      <c r="J336" s="7">
        <v>44</v>
      </c>
      <c r="K336" s="7">
        <v>50</v>
      </c>
    </row>
    <row r="337" spans="1:11" ht="43.2" x14ac:dyDescent="0.3">
      <c r="A337" s="1">
        <v>45</v>
      </c>
      <c r="B337" s="1">
        <v>2024</v>
      </c>
      <c r="C337" s="3">
        <v>45364</v>
      </c>
      <c r="D337" s="8" t="s">
        <v>38</v>
      </c>
      <c r="E337" s="9" t="s">
        <v>48</v>
      </c>
      <c r="F337" s="9" t="s">
        <v>45</v>
      </c>
      <c r="G337" s="10"/>
      <c r="H337" s="11">
        <v>80</v>
      </c>
      <c r="I337" s="11">
        <v>80</v>
      </c>
      <c r="J337" s="11">
        <v>80</v>
      </c>
      <c r="K337" s="11">
        <v>80</v>
      </c>
    </row>
    <row r="338" spans="1:11" ht="43.2" x14ac:dyDescent="0.3">
      <c r="A338" s="1">
        <v>45</v>
      </c>
      <c r="B338" s="1">
        <v>2024</v>
      </c>
      <c r="C338" s="3">
        <v>45364</v>
      </c>
      <c r="D338" s="4" t="s">
        <v>38</v>
      </c>
      <c r="E338" s="5" t="s">
        <v>49</v>
      </c>
      <c r="F338" s="5" t="s">
        <v>50</v>
      </c>
      <c r="G338" s="7">
        <v>100</v>
      </c>
      <c r="H338" s="7">
        <v>100</v>
      </c>
      <c r="I338" s="7">
        <v>130</v>
      </c>
      <c r="J338" s="7" t="s">
        <v>165</v>
      </c>
      <c r="K338" s="7" t="s">
        <v>166</v>
      </c>
    </row>
    <row r="339" spans="1:11" ht="43.2" x14ac:dyDescent="0.3">
      <c r="A339" s="1">
        <v>45</v>
      </c>
      <c r="B339" s="1">
        <v>2024</v>
      </c>
      <c r="C339" s="3">
        <v>45364</v>
      </c>
      <c r="D339" s="8" t="s">
        <v>38</v>
      </c>
      <c r="E339" s="9" t="s">
        <v>52</v>
      </c>
      <c r="F339" s="9" t="s">
        <v>43</v>
      </c>
      <c r="G339" s="11">
        <v>130</v>
      </c>
      <c r="H339" s="11">
        <v>90</v>
      </c>
      <c r="I339" s="11">
        <v>140</v>
      </c>
      <c r="J339" s="11" t="s">
        <v>167</v>
      </c>
      <c r="K339" s="11">
        <v>130</v>
      </c>
    </row>
    <row r="340" spans="1:11" ht="43.2" x14ac:dyDescent="0.3">
      <c r="A340" s="1">
        <v>45</v>
      </c>
      <c r="B340" s="1">
        <v>2024</v>
      </c>
      <c r="C340" s="3">
        <v>45364</v>
      </c>
      <c r="D340" s="4" t="s">
        <v>38</v>
      </c>
      <c r="E340" s="5" t="s">
        <v>53</v>
      </c>
      <c r="F340" s="5" t="s">
        <v>43</v>
      </c>
      <c r="G340" s="7">
        <v>70</v>
      </c>
      <c r="H340" s="7">
        <v>70</v>
      </c>
      <c r="I340" s="7">
        <v>90</v>
      </c>
      <c r="J340" s="7">
        <v>75</v>
      </c>
      <c r="K340" s="7">
        <v>70</v>
      </c>
    </row>
    <row r="341" spans="1:11" ht="43.2" x14ac:dyDescent="0.3">
      <c r="A341" s="1">
        <v>45</v>
      </c>
      <c r="B341" s="1">
        <v>2024</v>
      </c>
      <c r="C341" s="3">
        <v>45364</v>
      </c>
      <c r="D341" s="8" t="s">
        <v>38</v>
      </c>
      <c r="E341" s="9" t="s">
        <v>54</v>
      </c>
      <c r="F341" s="9" t="s">
        <v>40</v>
      </c>
      <c r="G341" s="10"/>
      <c r="H341" s="11">
        <v>80</v>
      </c>
      <c r="I341" s="11">
        <v>85</v>
      </c>
      <c r="J341" s="11" t="s">
        <v>168</v>
      </c>
      <c r="K341" s="11" t="s">
        <v>168</v>
      </c>
    </row>
    <row r="342" spans="1:11" ht="43.2" x14ac:dyDescent="0.3">
      <c r="A342" s="1">
        <v>45</v>
      </c>
      <c r="B342" s="1">
        <v>2024</v>
      </c>
      <c r="C342" s="3">
        <v>45364</v>
      </c>
      <c r="D342" s="4" t="s">
        <v>38</v>
      </c>
      <c r="E342" s="5" t="s">
        <v>56</v>
      </c>
      <c r="F342" s="5" t="s">
        <v>43</v>
      </c>
      <c r="G342" s="7">
        <v>60</v>
      </c>
      <c r="H342" s="7">
        <v>60</v>
      </c>
      <c r="I342" s="7">
        <v>60</v>
      </c>
      <c r="J342" s="7">
        <v>60</v>
      </c>
      <c r="K342" s="7">
        <v>60</v>
      </c>
    </row>
    <row r="343" spans="1:11" ht="43.2" x14ac:dyDescent="0.3">
      <c r="A343" s="1">
        <v>45</v>
      </c>
      <c r="B343" s="1">
        <v>2024</v>
      </c>
      <c r="C343" s="3">
        <v>45364</v>
      </c>
      <c r="D343" s="8" t="s">
        <v>38</v>
      </c>
      <c r="E343" s="9" t="s">
        <v>57</v>
      </c>
      <c r="F343" s="9" t="s">
        <v>40</v>
      </c>
      <c r="G343" s="11">
        <v>70</v>
      </c>
      <c r="H343" s="11">
        <v>70</v>
      </c>
      <c r="I343" s="11">
        <v>70</v>
      </c>
      <c r="J343" s="11">
        <v>70</v>
      </c>
      <c r="K343" s="11">
        <v>70</v>
      </c>
    </row>
    <row r="344" spans="1:11" ht="43.2" x14ac:dyDescent="0.3">
      <c r="A344" s="1">
        <v>45</v>
      </c>
      <c r="B344" s="1">
        <v>2024</v>
      </c>
      <c r="C344" s="3">
        <v>45364</v>
      </c>
      <c r="D344" s="4" t="s">
        <v>38</v>
      </c>
      <c r="E344" s="5" t="s">
        <v>58</v>
      </c>
      <c r="F344" s="5" t="s">
        <v>40</v>
      </c>
      <c r="G344" s="6"/>
      <c r="H344" s="7">
        <v>80</v>
      </c>
      <c r="I344" s="7">
        <v>135</v>
      </c>
      <c r="J344" s="7" t="s">
        <v>169</v>
      </c>
      <c r="K344" s="7">
        <v>105</v>
      </c>
    </row>
    <row r="345" spans="1:11" ht="43.2" x14ac:dyDescent="0.3">
      <c r="A345" s="1">
        <v>45</v>
      </c>
      <c r="B345" s="1">
        <v>2024</v>
      </c>
      <c r="C345" s="3">
        <v>45364</v>
      </c>
      <c r="D345" s="8" t="s">
        <v>38</v>
      </c>
      <c r="E345" s="9" t="s">
        <v>59</v>
      </c>
      <c r="F345" s="9" t="s">
        <v>45</v>
      </c>
      <c r="G345" s="11">
        <v>60</v>
      </c>
      <c r="H345" s="11">
        <v>45</v>
      </c>
      <c r="I345" s="11">
        <v>70</v>
      </c>
      <c r="J345" s="11" t="s">
        <v>101</v>
      </c>
      <c r="K345" s="11">
        <v>60</v>
      </c>
    </row>
    <row r="346" spans="1:11" ht="43.2" x14ac:dyDescent="0.3">
      <c r="A346" s="1">
        <v>45</v>
      </c>
      <c r="B346" s="1">
        <v>2024</v>
      </c>
      <c r="C346" s="3">
        <v>45364</v>
      </c>
      <c r="D346" s="4" t="s">
        <v>38</v>
      </c>
      <c r="E346" s="5" t="s">
        <v>60</v>
      </c>
      <c r="F346" s="5" t="s">
        <v>61</v>
      </c>
      <c r="G346" s="6"/>
      <c r="H346" s="7">
        <v>50</v>
      </c>
      <c r="I346" s="7">
        <v>70</v>
      </c>
      <c r="J346" s="7">
        <v>60</v>
      </c>
      <c r="K346" s="7">
        <v>60</v>
      </c>
    </row>
    <row r="347" spans="1:11" ht="43.2" x14ac:dyDescent="0.3">
      <c r="A347" s="1">
        <v>45</v>
      </c>
      <c r="B347" s="1">
        <v>2024</v>
      </c>
      <c r="C347" s="3">
        <v>45364</v>
      </c>
      <c r="D347" s="8" t="s">
        <v>38</v>
      </c>
      <c r="E347" s="9" t="s">
        <v>63</v>
      </c>
      <c r="F347" s="9" t="s">
        <v>40</v>
      </c>
      <c r="G347" s="11">
        <v>150</v>
      </c>
      <c r="H347" s="11">
        <v>110</v>
      </c>
      <c r="I347" s="11">
        <v>150</v>
      </c>
      <c r="J347" s="11" t="s">
        <v>170</v>
      </c>
      <c r="K347" s="11">
        <v>145</v>
      </c>
    </row>
    <row r="348" spans="1:11" ht="43.2" x14ac:dyDescent="0.3">
      <c r="A348" s="1">
        <v>45</v>
      </c>
      <c r="B348" s="1">
        <v>2024</v>
      </c>
      <c r="C348" s="3">
        <v>45364</v>
      </c>
      <c r="D348" s="4" t="s">
        <v>38</v>
      </c>
      <c r="E348" s="5" t="s">
        <v>64</v>
      </c>
      <c r="F348" s="5" t="s">
        <v>40</v>
      </c>
      <c r="G348" s="6"/>
      <c r="H348" s="7">
        <v>120</v>
      </c>
      <c r="I348" s="7">
        <v>150</v>
      </c>
      <c r="J348" s="7" t="s">
        <v>171</v>
      </c>
      <c r="K348" s="7">
        <v>140</v>
      </c>
    </row>
    <row r="349" spans="1:11" x14ac:dyDescent="0.3">
      <c r="A349" s="1">
        <v>45</v>
      </c>
      <c r="B349" s="1">
        <v>2024</v>
      </c>
      <c r="C349" s="3">
        <v>45364</v>
      </c>
      <c r="D349" s="8" t="s">
        <v>65</v>
      </c>
      <c r="E349" s="9" t="s">
        <v>66</v>
      </c>
      <c r="F349" s="9" t="s">
        <v>45</v>
      </c>
      <c r="G349" s="10"/>
      <c r="H349" s="11">
        <v>110</v>
      </c>
      <c r="I349" s="11">
        <v>110</v>
      </c>
      <c r="J349" s="11">
        <v>110</v>
      </c>
      <c r="K349" s="11">
        <v>110</v>
      </c>
    </row>
    <row r="350" spans="1:11" x14ac:dyDescent="0.3">
      <c r="A350" s="1">
        <v>45</v>
      </c>
      <c r="B350" s="1">
        <v>2024</v>
      </c>
      <c r="C350" s="3">
        <v>45364</v>
      </c>
      <c r="D350" s="4" t="s">
        <v>65</v>
      </c>
      <c r="E350" s="5" t="s">
        <v>67</v>
      </c>
      <c r="F350" s="5" t="s">
        <v>45</v>
      </c>
      <c r="G350" s="6"/>
      <c r="H350" s="7">
        <v>70</v>
      </c>
      <c r="I350" s="7">
        <v>70</v>
      </c>
      <c r="J350" s="7">
        <v>70</v>
      </c>
      <c r="K350" s="7">
        <v>70</v>
      </c>
    </row>
    <row r="351" spans="1:11" x14ac:dyDescent="0.3">
      <c r="A351" s="1">
        <v>45</v>
      </c>
      <c r="B351" s="1">
        <v>2024</v>
      </c>
      <c r="C351" s="3">
        <v>45364</v>
      </c>
      <c r="D351" s="8" t="s">
        <v>65</v>
      </c>
      <c r="E351" s="9" t="s">
        <v>68</v>
      </c>
      <c r="F351" s="9" t="s">
        <v>45</v>
      </c>
      <c r="G351" s="10"/>
      <c r="H351" s="11">
        <v>40</v>
      </c>
      <c r="I351" s="11">
        <v>40</v>
      </c>
      <c r="J351" s="11">
        <v>40</v>
      </c>
      <c r="K351" s="11">
        <v>40</v>
      </c>
    </row>
    <row r="352" spans="1:11" x14ac:dyDescent="0.3">
      <c r="A352" s="1">
        <v>45</v>
      </c>
      <c r="B352" s="1">
        <v>2024</v>
      </c>
      <c r="C352" s="3">
        <v>45364</v>
      </c>
      <c r="D352" s="4" t="s">
        <v>65</v>
      </c>
      <c r="E352" s="5" t="s">
        <v>69</v>
      </c>
      <c r="F352" s="5" t="s">
        <v>45</v>
      </c>
      <c r="G352" s="6"/>
      <c r="H352" s="7">
        <v>50</v>
      </c>
      <c r="I352" s="7">
        <v>50</v>
      </c>
      <c r="J352" s="7">
        <v>50</v>
      </c>
      <c r="K352" s="7">
        <v>50</v>
      </c>
    </row>
    <row r="353" spans="1:11" x14ac:dyDescent="0.3">
      <c r="A353" s="1">
        <v>45</v>
      </c>
      <c r="B353" s="1">
        <v>2024</v>
      </c>
      <c r="C353" s="3">
        <v>45364</v>
      </c>
      <c r="D353" s="8" t="s">
        <v>65</v>
      </c>
      <c r="E353" s="9" t="s">
        <v>70</v>
      </c>
      <c r="F353" s="9" t="s">
        <v>71</v>
      </c>
      <c r="G353" s="10"/>
      <c r="H353" s="10"/>
      <c r="I353" s="10"/>
      <c r="J353" s="10"/>
      <c r="K353" s="10"/>
    </row>
    <row r="354" spans="1:11" ht="28.8" x14ac:dyDescent="0.3">
      <c r="A354" s="1">
        <v>46</v>
      </c>
      <c r="B354" s="1">
        <v>2024</v>
      </c>
      <c r="C354" s="3">
        <v>45371</v>
      </c>
      <c r="D354" s="4" t="s">
        <v>11</v>
      </c>
      <c r="E354" s="5" t="s">
        <v>12</v>
      </c>
      <c r="F354" s="5" t="s">
        <v>13</v>
      </c>
      <c r="G354" s="7">
        <v>60</v>
      </c>
      <c r="H354" s="7">
        <v>60</v>
      </c>
      <c r="I354" s="7">
        <v>84</v>
      </c>
      <c r="J354" s="7">
        <v>68</v>
      </c>
      <c r="K354" s="7">
        <v>60</v>
      </c>
    </row>
    <row r="355" spans="1:11" ht="28.8" x14ac:dyDescent="0.3">
      <c r="A355" s="1">
        <v>46</v>
      </c>
      <c r="B355" s="1">
        <v>2024</v>
      </c>
      <c r="C355" s="3">
        <v>45371</v>
      </c>
      <c r="D355" s="8" t="s">
        <v>11</v>
      </c>
      <c r="E355" s="9" t="s">
        <v>14</v>
      </c>
      <c r="F355" s="9" t="s">
        <v>13</v>
      </c>
      <c r="G355" s="10"/>
      <c r="H355" s="11">
        <v>32</v>
      </c>
      <c r="I355" s="11">
        <v>84</v>
      </c>
      <c r="J355" s="11" t="s">
        <v>172</v>
      </c>
      <c r="K355" s="11">
        <v>72</v>
      </c>
    </row>
    <row r="356" spans="1:11" ht="28.8" x14ac:dyDescent="0.3">
      <c r="A356" s="1">
        <v>46</v>
      </c>
      <c r="B356" s="1">
        <v>2024</v>
      </c>
      <c r="C356" s="3">
        <v>45371</v>
      </c>
      <c r="D356" s="4" t="s">
        <v>11</v>
      </c>
      <c r="E356" s="5" t="s">
        <v>15</v>
      </c>
      <c r="F356" s="5" t="s">
        <v>13</v>
      </c>
      <c r="G356" s="7">
        <v>45</v>
      </c>
      <c r="H356" s="7">
        <v>45</v>
      </c>
      <c r="I356" s="7">
        <v>60</v>
      </c>
      <c r="J356" s="7" t="s">
        <v>173</v>
      </c>
      <c r="K356" s="7" t="s">
        <v>174</v>
      </c>
    </row>
    <row r="357" spans="1:11" ht="28.8" x14ac:dyDescent="0.3">
      <c r="A357" s="1">
        <v>46</v>
      </c>
      <c r="B357" s="1">
        <v>2024</v>
      </c>
      <c r="C357" s="3">
        <v>45371</v>
      </c>
      <c r="D357" s="8" t="s">
        <v>11</v>
      </c>
      <c r="E357" s="9" t="s">
        <v>16</v>
      </c>
      <c r="F357" s="9" t="s">
        <v>13</v>
      </c>
      <c r="G357" s="10"/>
      <c r="H357" s="11">
        <v>30</v>
      </c>
      <c r="I357" s="11">
        <v>60</v>
      </c>
      <c r="J357" s="11" t="s">
        <v>175</v>
      </c>
      <c r="K357" s="11" t="s">
        <v>176</v>
      </c>
    </row>
    <row r="358" spans="1:11" ht="28.8" x14ac:dyDescent="0.3">
      <c r="A358" s="1">
        <v>46</v>
      </c>
      <c r="B358" s="1">
        <v>2024</v>
      </c>
      <c r="C358" s="3">
        <v>45371</v>
      </c>
      <c r="D358" s="4" t="s">
        <v>11</v>
      </c>
      <c r="E358" s="5" t="s">
        <v>17</v>
      </c>
      <c r="F358" s="5" t="s">
        <v>13</v>
      </c>
      <c r="G358" s="6"/>
      <c r="H358" s="7">
        <v>35</v>
      </c>
      <c r="I358" s="7">
        <v>60</v>
      </c>
      <c r="J358" s="7" t="s">
        <v>177</v>
      </c>
      <c r="K358" s="7">
        <v>42</v>
      </c>
    </row>
    <row r="359" spans="1:11" ht="28.8" x14ac:dyDescent="0.3">
      <c r="A359" s="1">
        <v>46</v>
      </c>
      <c r="B359" s="1">
        <v>2024</v>
      </c>
      <c r="C359" s="3">
        <v>45371</v>
      </c>
      <c r="D359" s="8" t="s">
        <v>11</v>
      </c>
      <c r="E359" s="9" t="s">
        <v>18</v>
      </c>
      <c r="F359" s="9" t="s">
        <v>13</v>
      </c>
      <c r="G359" s="11">
        <v>60</v>
      </c>
      <c r="H359" s="11">
        <v>54</v>
      </c>
      <c r="I359" s="11">
        <v>60</v>
      </c>
      <c r="J359" s="11">
        <v>58</v>
      </c>
      <c r="K359" s="11">
        <v>60</v>
      </c>
    </row>
    <row r="360" spans="1:11" ht="28.8" x14ac:dyDescent="0.3">
      <c r="A360" s="1">
        <v>46</v>
      </c>
      <c r="B360" s="1">
        <v>2024</v>
      </c>
      <c r="C360" s="3">
        <v>45371</v>
      </c>
      <c r="D360" s="4" t="s">
        <v>11</v>
      </c>
      <c r="E360" s="5" t="s">
        <v>19</v>
      </c>
      <c r="F360" s="5" t="s">
        <v>13</v>
      </c>
      <c r="G360" s="7">
        <v>60</v>
      </c>
      <c r="H360" s="7">
        <v>60</v>
      </c>
      <c r="I360" s="7">
        <v>78</v>
      </c>
      <c r="J360" s="7" t="s">
        <v>178</v>
      </c>
      <c r="K360" s="7">
        <v>60</v>
      </c>
    </row>
    <row r="361" spans="1:11" ht="28.8" x14ac:dyDescent="0.3">
      <c r="A361" s="1">
        <v>46</v>
      </c>
      <c r="B361" s="1">
        <v>2024</v>
      </c>
      <c r="C361" s="3">
        <v>45371</v>
      </c>
      <c r="D361" s="8" t="s">
        <v>11</v>
      </c>
      <c r="E361" s="9" t="s">
        <v>20</v>
      </c>
      <c r="F361" s="9" t="s">
        <v>13</v>
      </c>
      <c r="G361" s="11">
        <v>84</v>
      </c>
      <c r="H361" s="11">
        <v>72</v>
      </c>
      <c r="I361" s="11">
        <v>96</v>
      </c>
      <c r="J361" s="11">
        <v>84</v>
      </c>
      <c r="K361" s="11">
        <v>84</v>
      </c>
    </row>
    <row r="362" spans="1:11" ht="28.8" x14ac:dyDescent="0.3">
      <c r="A362" s="1">
        <v>46</v>
      </c>
      <c r="B362" s="1">
        <v>2024</v>
      </c>
      <c r="C362" s="3">
        <v>45371</v>
      </c>
      <c r="D362" s="4" t="s">
        <v>11</v>
      </c>
      <c r="E362" s="5" t="s">
        <v>21</v>
      </c>
      <c r="F362" s="5" t="s">
        <v>13</v>
      </c>
      <c r="G362" s="7">
        <v>30</v>
      </c>
      <c r="H362" s="7">
        <v>24</v>
      </c>
      <c r="I362" s="7">
        <v>30</v>
      </c>
      <c r="J362" s="7" t="s">
        <v>179</v>
      </c>
      <c r="K362" s="7">
        <v>30</v>
      </c>
    </row>
    <row r="363" spans="1:11" ht="28.8" x14ac:dyDescent="0.3">
      <c r="A363" s="1">
        <v>46</v>
      </c>
      <c r="B363" s="1">
        <v>2024</v>
      </c>
      <c r="C363" s="3">
        <v>45371</v>
      </c>
      <c r="D363" s="8" t="s">
        <v>11</v>
      </c>
      <c r="E363" s="9" t="s">
        <v>73</v>
      </c>
      <c r="F363" s="9" t="s">
        <v>13</v>
      </c>
      <c r="G363" s="10"/>
      <c r="H363" s="11">
        <v>84</v>
      </c>
      <c r="I363" s="11">
        <v>120</v>
      </c>
      <c r="J363" s="11">
        <v>100</v>
      </c>
      <c r="K363" s="11">
        <v>96</v>
      </c>
    </row>
    <row r="364" spans="1:11" ht="28.8" x14ac:dyDescent="0.3">
      <c r="A364" s="1">
        <v>46</v>
      </c>
      <c r="B364" s="1">
        <v>2024</v>
      </c>
      <c r="C364" s="3">
        <v>45371</v>
      </c>
      <c r="D364" s="4" t="s">
        <v>11</v>
      </c>
      <c r="E364" s="5" t="s">
        <v>23</v>
      </c>
      <c r="F364" s="5" t="s">
        <v>13</v>
      </c>
      <c r="G364" s="6"/>
      <c r="H364" s="7">
        <v>30</v>
      </c>
      <c r="I364" s="7">
        <v>42</v>
      </c>
      <c r="J364" s="7" t="s">
        <v>180</v>
      </c>
      <c r="K364" s="7">
        <v>35</v>
      </c>
    </row>
    <row r="365" spans="1:11" ht="28.8" x14ac:dyDescent="0.3">
      <c r="A365" s="1">
        <v>46</v>
      </c>
      <c r="B365" s="1">
        <v>2024</v>
      </c>
      <c r="C365" s="3">
        <v>45371</v>
      </c>
      <c r="D365" s="8" t="s">
        <v>11</v>
      </c>
      <c r="E365" s="9" t="s">
        <v>24</v>
      </c>
      <c r="F365" s="9" t="s">
        <v>13</v>
      </c>
      <c r="G365" s="11">
        <v>84</v>
      </c>
      <c r="H365" s="11">
        <v>72</v>
      </c>
      <c r="I365" s="11">
        <v>84</v>
      </c>
      <c r="J365" s="11">
        <v>80</v>
      </c>
      <c r="K365" s="11">
        <v>84</v>
      </c>
    </row>
    <row r="366" spans="1:11" ht="28.8" x14ac:dyDescent="0.3">
      <c r="A366" s="1">
        <v>46</v>
      </c>
      <c r="B366" s="1">
        <v>2024</v>
      </c>
      <c r="C366" s="3">
        <v>45371</v>
      </c>
      <c r="D366" s="4" t="s">
        <v>11</v>
      </c>
      <c r="E366" s="5" t="s">
        <v>25</v>
      </c>
      <c r="F366" s="5" t="s">
        <v>26</v>
      </c>
      <c r="G366" s="6"/>
      <c r="H366" s="7">
        <v>48</v>
      </c>
      <c r="I366" s="7">
        <v>78</v>
      </c>
      <c r="J366" s="7" t="s">
        <v>178</v>
      </c>
      <c r="K366" s="7">
        <v>66</v>
      </c>
    </row>
    <row r="367" spans="1:11" ht="28.8" x14ac:dyDescent="0.3">
      <c r="A367" s="1">
        <v>46</v>
      </c>
      <c r="B367" s="1">
        <v>2024</v>
      </c>
      <c r="C367" s="3">
        <v>45371</v>
      </c>
      <c r="D367" s="8" t="s">
        <v>11</v>
      </c>
      <c r="E367" s="9" t="s">
        <v>27</v>
      </c>
      <c r="F367" s="9" t="s">
        <v>13</v>
      </c>
      <c r="G367" s="10"/>
      <c r="H367" s="11">
        <v>50</v>
      </c>
      <c r="I367" s="11">
        <v>80</v>
      </c>
      <c r="J367" s="11" t="s">
        <v>181</v>
      </c>
      <c r="K367" s="11">
        <v>72</v>
      </c>
    </row>
    <row r="368" spans="1:11" ht="28.8" x14ac:dyDescent="0.3">
      <c r="A368" s="1">
        <v>46</v>
      </c>
      <c r="B368" s="1">
        <v>2024</v>
      </c>
      <c r="C368" s="3">
        <v>45371</v>
      </c>
      <c r="D368" s="4" t="s">
        <v>11</v>
      </c>
      <c r="E368" s="5" t="s">
        <v>28</v>
      </c>
      <c r="F368" s="5" t="s">
        <v>13</v>
      </c>
      <c r="G368" s="7">
        <v>50</v>
      </c>
      <c r="H368" s="7">
        <v>50</v>
      </c>
      <c r="I368" s="7">
        <v>60</v>
      </c>
      <c r="J368" s="7">
        <v>55</v>
      </c>
      <c r="K368" s="7">
        <v>55</v>
      </c>
    </row>
    <row r="369" spans="1:11" ht="28.8" x14ac:dyDescent="0.3">
      <c r="A369" s="1">
        <v>46</v>
      </c>
      <c r="B369" s="1">
        <v>2024</v>
      </c>
      <c r="C369" s="3">
        <v>45371</v>
      </c>
      <c r="D369" s="8" t="s">
        <v>11</v>
      </c>
      <c r="E369" s="9" t="s">
        <v>29</v>
      </c>
      <c r="F369" s="9" t="s">
        <v>13</v>
      </c>
      <c r="G369" s="10"/>
      <c r="H369" s="11">
        <v>42</v>
      </c>
      <c r="I369" s="11">
        <v>54</v>
      </c>
      <c r="J369" s="11">
        <v>48</v>
      </c>
      <c r="K369" s="11">
        <v>48</v>
      </c>
    </row>
    <row r="370" spans="1:11" ht="28.8" x14ac:dyDescent="0.3">
      <c r="A370" s="1">
        <v>46</v>
      </c>
      <c r="B370" s="1">
        <v>2024</v>
      </c>
      <c r="C370" s="3">
        <v>45371</v>
      </c>
      <c r="D370" s="4" t="s">
        <v>30</v>
      </c>
      <c r="E370" s="5" t="s">
        <v>31</v>
      </c>
      <c r="F370" s="5" t="s">
        <v>32</v>
      </c>
      <c r="G370" s="7">
        <v>5</v>
      </c>
      <c r="H370" s="7">
        <v>4</v>
      </c>
      <c r="I370" s="7">
        <v>5</v>
      </c>
      <c r="J370" s="7" t="s">
        <v>149</v>
      </c>
      <c r="K370" s="7" t="s">
        <v>150</v>
      </c>
    </row>
    <row r="371" spans="1:11" ht="28.8" x14ac:dyDescent="0.3">
      <c r="A371" s="1">
        <v>46</v>
      </c>
      <c r="B371" s="1">
        <v>2024</v>
      </c>
      <c r="C371" s="3">
        <v>45371</v>
      </c>
      <c r="D371" s="8" t="s">
        <v>30</v>
      </c>
      <c r="E371" s="9" t="s">
        <v>34</v>
      </c>
      <c r="F371" s="9" t="s">
        <v>35</v>
      </c>
      <c r="G371" s="11">
        <v>20</v>
      </c>
      <c r="H371" s="11">
        <v>15</v>
      </c>
      <c r="I371" s="11">
        <v>25</v>
      </c>
      <c r="J371" s="11" t="s">
        <v>182</v>
      </c>
      <c r="K371" s="11">
        <v>20</v>
      </c>
    </row>
    <row r="372" spans="1:11" ht="28.8" x14ac:dyDescent="0.3">
      <c r="A372" s="1">
        <v>46</v>
      </c>
      <c r="B372" s="1">
        <v>2024</v>
      </c>
      <c r="C372" s="3">
        <v>45371</v>
      </c>
      <c r="D372" s="4" t="s">
        <v>30</v>
      </c>
      <c r="E372" s="5" t="s">
        <v>36</v>
      </c>
      <c r="F372" s="5" t="s">
        <v>35</v>
      </c>
      <c r="G372" s="6"/>
      <c r="H372" s="7">
        <v>30</v>
      </c>
      <c r="I372" s="7">
        <v>45</v>
      </c>
      <c r="J372" s="7" t="s">
        <v>86</v>
      </c>
      <c r="K372" s="7" t="s">
        <v>86</v>
      </c>
    </row>
    <row r="373" spans="1:11" ht="43.2" x14ac:dyDescent="0.3">
      <c r="A373" s="1">
        <v>46</v>
      </c>
      <c r="B373" s="1">
        <v>2024</v>
      </c>
      <c r="C373" s="3">
        <v>45371</v>
      </c>
      <c r="D373" s="8" t="s">
        <v>38</v>
      </c>
      <c r="E373" s="9" t="s">
        <v>153</v>
      </c>
      <c r="F373" s="9" t="s">
        <v>154</v>
      </c>
      <c r="G373" s="10"/>
      <c r="H373" s="11">
        <v>100</v>
      </c>
      <c r="I373" s="11">
        <v>105</v>
      </c>
      <c r="J373" s="11" t="s">
        <v>183</v>
      </c>
      <c r="K373" s="11" t="s">
        <v>183</v>
      </c>
    </row>
    <row r="374" spans="1:11" ht="43.2" x14ac:dyDescent="0.3">
      <c r="A374" s="1">
        <v>46</v>
      </c>
      <c r="B374" s="1">
        <v>2024</v>
      </c>
      <c r="C374" s="3">
        <v>45371</v>
      </c>
      <c r="D374" s="4" t="s">
        <v>38</v>
      </c>
      <c r="E374" s="5" t="s">
        <v>39</v>
      </c>
      <c r="F374" s="5" t="s">
        <v>40</v>
      </c>
      <c r="G374" s="7">
        <v>70</v>
      </c>
      <c r="H374" s="7">
        <v>50</v>
      </c>
      <c r="I374" s="7">
        <v>80</v>
      </c>
      <c r="J374" s="7" t="s">
        <v>84</v>
      </c>
      <c r="K374" s="7">
        <v>70</v>
      </c>
    </row>
    <row r="375" spans="1:11" ht="43.2" x14ac:dyDescent="0.3">
      <c r="A375" s="1">
        <v>46</v>
      </c>
      <c r="B375" s="1">
        <v>2024</v>
      </c>
      <c r="C375" s="3">
        <v>45371</v>
      </c>
      <c r="D375" s="8" t="s">
        <v>38</v>
      </c>
      <c r="E375" s="9" t="s">
        <v>42</v>
      </c>
      <c r="F375" s="9" t="s">
        <v>43</v>
      </c>
      <c r="G375" s="11">
        <v>70</v>
      </c>
      <c r="H375" s="11">
        <v>50</v>
      </c>
      <c r="I375" s="11">
        <v>75</v>
      </c>
      <c r="J375" s="11">
        <v>65</v>
      </c>
      <c r="K375" s="11">
        <v>70</v>
      </c>
    </row>
    <row r="376" spans="1:11" ht="43.2" x14ac:dyDescent="0.3">
      <c r="A376" s="1">
        <v>46</v>
      </c>
      <c r="B376" s="1">
        <v>2024</v>
      </c>
      <c r="C376" s="3">
        <v>45371</v>
      </c>
      <c r="D376" s="4" t="s">
        <v>38</v>
      </c>
      <c r="E376" s="5" t="s">
        <v>44</v>
      </c>
      <c r="F376" s="5" t="s">
        <v>45</v>
      </c>
      <c r="G376" s="7">
        <v>35</v>
      </c>
      <c r="H376" s="7">
        <v>35</v>
      </c>
      <c r="I376" s="7">
        <v>50</v>
      </c>
      <c r="J376" s="7" t="s">
        <v>47</v>
      </c>
      <c r="K376" s="7" t="s">
        <v>47</v>
      </c>
    </row>
    <row r="377" spans="1:11" ht="43.2" x14ac:dyDescent="0.3">
      <c r="A377" s="1">
        <v>46</v>
      </c>
      <c r="B377" s="1">
        <v>2024</v>
      </c>
      <c r="C377" s="3">
        <v>45371</v>
      </c>
      <c r="D377" s="8" t="s">
        <v>38</v>
      </c>
      <c r="E377" s="9" t="s">
        <v>48</v>
      </c>
      <c r="F377" s="9" t="s">
        <v>45</v>
      </c>
      <c r="G377" s="10"/>
      <c r="H377" s="11">
        <v>100</v>
      </c>
      <c r="I377" s="11">
        <v>120</v>
      </c>
      <c r="J377" s="11">
        <v>110</v>
      </c>
      <c r="K377" s="11">
        <v>110</v>
      </c>
    </row>
    <row r="378" spans="1:11" ht="43.2" x14ac:dyDescent="0.3">
      <c r="A378" s="1">
        <v>46</v>
      </c>
      <c r="B378" s="1">
        <v>2024</v>
      </c>
      <c r="C378" s="3">
        <v>45371</v>
      </c>
      <c r="D378" s="4" t="s">
        <v>38</v>
      </c>
      <c r="E378" s="5" t="s">
        <v>49</v>
      </c>
      <c r="F378" s="5" t="s">
        <v>50</v>
      </c>
      <c r="G378" s="7">
        <v>100</v>
      </c>
      <c r="H378" s="7">
        <v>70</v>
      </c>
      <c r="I378" s="7">
        <v>130</v>
      </c>
      <c r="J378" s="7">
        <v>106</v>
      </c>
      <c r="K378" s="7">
        <v>100</v>
      </c>
    </row>
    <row r="379" spans="1:11" ht="43.2" x14ac:dyDescent="0.3">
      <c r="A379" s="1">
        <v>46</v>
      </c>
      <c r="B379" s="1">
        <v>2024</v>
      </c>
      <c r="C379" s="3">
        <v>45371</v>
      </c>
      <c r="D379" s="8" t="s">
        <v>38</v>
      </c>
      <c r="E379" s="9" t="s">
        <v>52</v>
      </c>
      <c r="F379" s="9" t="s">
        <v>43</v>
      </c>
      <c r="G379" s="10"/>
      <c r="H379" s="11">
        <v>60</v>
      </c>
      <c r="I379" s="11">
        <v>140</v>
      </c>
      <c r="J379" s="11" t="s">
        <v>184</v>
      </c>
      <c r="K379" s="11">
        <v>90</v>
      </c>
    </row>
    <row r="380" spans="1:11" ht="43.2" x14ac:dyDescent="0.3">
      <c r="A380" s="1">
        <v>46</v>
      </c>
      <c r="B380" s="1">
        <v>2024</v>
      </c>
      <c r="C380" s="3">
        <v>45371</v>
      </c>
      <c r="D380" s="4" t="s">
        <v>38</v>
      </c>
      <c r="E380" s="5" t="s">
        <v>53</v>
      </c>
      <c r="F380" s="5" t="s">
        <v>43</v>
      </c>
      <c r="G380" s="6"/>
      <c r="H380" s="7">
        <v>50</v>
      </c>
      <c r="I380" s="7">
        <v>95</v>
      </c>
      <c r="J380" s="7">
        <v>68</v>
      </c>
      <c r="K380" s="7">
        <v>65</v>
      </c>
    </row>
    <row r="381" spans="1:11" ht="43.2" x14ac:dyDescent="0.3">
      <c r="A381" s="1">
        <v>46</v>
      </c>
      <c r="B381" s="1">
        <v>2024</v>
      </c>
      <c r="C381" s="3">
        <v>45371</v>
      </c>
      <c r="D381" s="8" t="s">
        <v>38</v>
      </c>
      <c r="E381" s="9" t="s">
        <v>54</v>
      </c>
      <c r="F381" s="9" t="s">
        <v>40</v>
      </c>
      <c r="G381" s="10"/>
      <c r="H381" s="11">
        <v>90</v>
      </c>
      <c r="I381" s="11">
        <v>90</v>
      </c>
      <c r="J381" s="11">
        <v>90</v>
      </c>
      <c r="K381" s="11">
        <v>90</v>
      </c>
    </row>
    <row r="382" spans="1:11" ht="43.2" x14ac:dyDescent="0.3">
      <c r="A382" s="1">
        <v>46</v>
      </c>
      <c r="B382" s="1">
        <v>2024</v>
      </c>
      <c r="C382" s="3">
        <v>45371</v>
      </c>
      <c r="D382" s="4" t="s">
        <v>38</v>
      </c>
      <c r="E382" s="5" t="s">
        <v>56</v>
      </c>
      <c r="F382" s="5" t="s">
        <v>43</v>
      </c>
      <c r="G382" s="6"/>
      <c r="H382" s="7">
        <v>80</v>
      </c>
      <c r="I382" s="7">
        <v>90</v>
      </c>
      <c r="J382" s="7">
        <v>85</v>
      </c>
      <c r="K382" s="7">
        <v>85</v>
      </c>
    </row>
    <row r="383" spans="1:11" ht="43.2" x14ac:dyDescent="0.3">
      <c r="A383" s="1">
        <v>46</v>
      </c>
      <c r="B383" s="1">
        <v>2024</v>
      </c>
      <c r="C383" s="3">
        <v>45371</v>
      </c>
      <c r="D383" s="8" t="s">
        <v>38</v>
      </c>
      <c r="E383" s="9" t="s">
        <v>57</v>
      </c>
      <c r="F383" s="9" t="s">
        <v>40</v>
      </c>
      <c r="G383" s="10"/>
      <c r="H383" s="11">
        <v>42</v>
      </c>
      <c r="I383" s="11">
        <v>110</v>
      </c>
      <c r="J383" s="11">
        <v>84</v>
      </c>
      <c r="K383" s="11">
        <v>100</v>
      </c>
    </row>
    <row r="384" spans="1:11" ht="43.2" x14ac:dyDescent="0.3">
      <c r="A384" s="1">
        <v>46</v>
      </c>
      <c r="B384" s="1">
        <v>2024</v>
      </c>
      <c r="C384" s="3">
        <v>45371</v>
      </c>
      <c r="D384" s="4" t="s">
        <v>38</v>
      </c>
      <c r="E384" s="5" t="s">
        <v>58</v>
      </c>
      <c r="F384" s="5" t="s">
        <v>40</v>
      </c>
      <c r="G384" s="7">
        <v>100</v>
      </c>
      <c r="H384" s="7">
        <v>75</v>
      </c>
      <c r="I384" s="7">
        <v>120</v>
      </c>
      <c r="J384" s="7">
        <v>95</v>
      </c>
      <c r="K384" s="7">
        <v>100</v>
      </c>
    </row>
    <row r="385" spans="1:11" ht="43.2" x14ac:dyDescent="0.3">
      <c r="A385" s="1">
        <v>46</v>
      </c>
      <c r="B385" s="1">
        <v>2024</v>
      </c>
      <c r="C385" s="3">
        <v>45371</v>
      </c>
      <c r="D385" s="8" t="s">
        <v>38</v>
      </c>
      <c r="E385" s="9" t="s">
        <v>59</v>
      </c>
      <c r="F385" s="9" t="s">
        <v>45</v>
      </c>
      <c r="G385" s="11">
        <v>60</v>
      </c>
      <c r="H385" s="11">
        <v>40</v>
      </c>
      <c r="I385" s="11">
        <v>80</v>
      </c>
      <c r="J385" s="11">
        <v>60</v>
      </c>
      <c r="K385" s="11">
        <v>60</v>
      </c>
    </row>
    <row r="386" spans="1:11" ht="43.2" x14ac:dyDescent="0.3">
      <c r="A386" s="1">
        <v>46</v>
      </c>
      <c r="B386" s="1">
        <v>2024</v>
      </c>
      <c r="C386" s="3">
        <v>45371</v>
      </c>
      <c r="D386" s="4" t="s">
        <v>38</v>
      </c>
      <c r="E386" s="5" t="s">
        <v>60</v>
      </c>
      <c r="F386" s="5" t="s">
        <v>61</v>
      </c>
      <c r="G386" s="7">
        <v>60</v>
      </c>
      <c r="H386" s="7">
        <v>60</v>
      </c>
      <c r="I386" s="7">
        <v>130</v>
      </c>
      <c r="J386" s="7">
        <v>77</v>
      </c>
      <c r="K386" s="7">
        <v>65</v>
      </c>
    </row>
    <row r="387" spans="1:11" ht="43.2" x14ac:dyDescent="0.3">
      <c r="A387" s="1">
        <v>46</v>
      </c>
      <c r="B387" s="1">
        <v>2024</v>
      </c>
      <c r="C387" s="3">
        <v>45371</v>
      </c>
      <c r="D387" s="8" t="s">
        <v>38</v>
      </c>
      <c r="E387" s="9" t="s">
        <v>63</v>
      </c>
      <c r="F387" s="9" t="s">
        <v>40</v>
      </c>
      <c r="G387" s="10"/>
      <c r="H387" s="11">
        <v>65</v>
      </c>
      <c r="I387" s="11">
        <v>140</v>
      </c>
      <c r="J387" s="11">
        <v>107</v>
      </c>
      <c r="K387" s="11">
        <v>110</v>
      </c>
    </row>
    <row r="388" spans="1:11" ht="43.2" x14ac:dyDescent="0.3">
      <c r="A388" s="1">
        <v>46</v>
      </c>
      <c r="B388" s="1">
        <v>2024</v>
      </c>
      <c r="C388" s="3">
        <v>45371</v>
      </c>
      <c r="D388" s="4" t="s">
        <v>38</v>
      </c>
      <c r="E388" s="5" t="s">
        <v>64</v>
      </c>
      <c r="F388" s="5" t="s">
        <v>40</v>
      </c>
      <c r="G388" s="7">
        <v>120</v>
      </c>
      <c r="H388" s="7">
        <v>100</v>
      </c>
      <c r="I388" s="7">
        <v>120</v>
      </c>
      <c r="J388" s="7">
        <v>115</v>
      </c>
      <c r="K388" s="7">
        <v>120</v>
      </c>
    </row>
    <row r="389" spans="1:11" x14ac:dyDescent="0.3">
      <c r="A389" s="1">
        <v>46</v>
      </c>
      <c r="B389" s="1">
        <v>2024</v>
      </c>
      <c r="C389" s="3">
        <v>45371</v>
      </c>
      <c r="D389" s="8" t="s">
        <v>65</v>
      </c>
      <c r="E389" s="9" t="s">
        <v>66</v>
      </c>
      <c r="F389" s="9" t="s">
        <v>45</v>
      </c>
      <c r="G389" s="10"/>
      <c r="H389" s="11">
        <v>80</v>
      </c>
      <c r="I389" s="11">
        <v>80</v>
      </c>
      <c r="J389" s="11">
        <v>80</v>
      </c>
      <c r="K389" s="11">
        <v>80</v>
      </c>
    </row>
    <row r="390" spans="1:11" x14ac:dyDescent="0.3">
      <c r="A390" s="1">
        <v>46</v>
      </c>
      <c r="B390" s="1">
        <v>2024</v>
      </c>
      <c r="C390" s="3">
        <v>45371</v>
      </c>
      <c r="D390" s="4" t="s">
        <v>65</v>
      </c>
      <c r="E390" s="5" t="s">
        <v>67</v>
      </c>
      <c r="F390" s="5" t="s">
        <v>45</v>
      </c>
      <c r="G390" s="6"/>
      <c r="H390" s="7">
        <v>60</v>
      </c>
      <c r="I390" s="7">
        <v>60</v>
      </c>
      <c r="J390" s="7">
        <v>60</v>
      </c>
      <c r="K390" s="7">
        <v>60</v>
      </c>
    </row>
    <row r="391" spans="1:11" x14ac:dyDescent="0.3">
      <c r="A391" s="1">
        <v>46</v>
      </c>
      <c r="B391" s="1">
        <v>2024</v>
      </c>
      <c r="C391" s="3">
        <v>45371</v>
      </c>
      <c r="D391" s="8" t="s">
        <v>65</v>
      </c>
      <c r="E391" s="9" t="s">
        <v>68</v>
      </c>
      <c r="F391" s="9" t="s">
        <v>45</v>
      </c>
      <c r="G391" s="10"/>
      <c r="H391" s="11">
        <v>45</v>
      </c>
      <c r="I391" s="11">
        <v>60</v>
      </c>
      <c r="J391" s="11" t="s">
        <v>78</v>
      </c>
      <c r="K391" s="11" t="s">
        <v>78</v>
      </c>
    </row>
    <row r="392" spans="1:11" x14ac:dyDescent="0.3">
      <c r="A392" s="1">
        <v>46</v>
      </c>
      <c r="B392" s="1">
        <v>2024</v>
      </c>
      <c r="C392" s="3">
        <v>45371</v>
      </c>
      <c r="D392" s="4" t="s">
        <v>65</v>
      </c>
      <c r="E392" s="5" t="s">
        <v>69</v>
      </c>
      <c r="F392" s="5" t="s">
        <v>45</v>
      </c>
      <c r="G392" s="6"/>
      <c r="H392" s="7">
        <v>48</v>
      </c>
      <c r="I392" s="7">
        <v>48</v>
      </c>
      <c r="J392" s="7">
        <v>48</v>
      </c>
      <c r="K392" s="7">
        <v>48</v>
      </c>
    </row>
    <row r="393" spans="1:11" x14ac:dyDescent="0.3">
      <c r="A393" s="1">
        <v>46</v>
      </c>
      <c r="B393" s="1">
        <v>2024</v>
      </c>
      <c r="C393" s="3">
        <v>45371</v>
      </c>
      <c r="D393" s="8" t="s">
        <v>65</v>
      </c>
      <c r="E393" s="9" t="s">
        <v>70</v>
      </c>
      <c r="F393" s="9" t="s">
        <v>71</v>
      </c>
      <c r="G393" s="11">
        <v>90</v>
      </c>
      <c r="H393" s="11">
        <v>90</v>
      </c>
      <c r="I393" s="11">
        <v>90</v>
      </c>
      <c r="J393" s="11">
        <v>90</v>
      </c>
      <c r="K393" s="11">
        <v>90</v>
      </c>
    </row>
    <row r="394" spans="1:11" ht="28.8" x14ac:dyDescent="0.3">
      <c r="A394" s="1">
        <v>47</v>
      </c>
      <c r="B394" s="1">
        <v>2024</v>
      </c>
      <c r="C394" s="3">
        <v>45385</v>
      </c>
      <c r="D394" s="4" t="s">
        <v>11</v>
      </c>
      <c r="E394" s="5" t="s">
        <v>12</v>
      </c>
      <c r="F394" s="5" t="s">
        <v>13</v>
      </c>
      <c r="G394" s="6"/>
      <c r="H394" s="7">
        <v>48</v>
      </c>
      <c r="I394" s="7">
        <v>60</v>
      </c>
      <c r="J394" s="7">
        <v>54</v>
      </c>
      <c r="K394" s="7">
        <v>54</v>
      </c>
    </row>
    <row r="395" spans="1:11" ht="28.8" x14ac:dyDescent="0.3">
      <c r="A395" s="1">
        <v>47</v>
      </c>
      <c r="B395" s="1">
        <v>2024</v>
      </c>
      <c r="C395" s="3">
        <v>45385</v>
      </c>
      <c r="D395" s="8" t="s">
        <v>11</v>
      </c>
      <c r="E395" s="9" t="s">
        <v>14</v>
      </c>
      <c r="F395" s="9" t="s">
        <v>13</v>
      </c>
      <c r="G395" s="11">
        <v>72</v>
      </c>
      <c r="H395" s="11">
        <v>72</v>
      </c>
      <c r="I395" s="11">
        <v>84</v>
      </c>
      <c r="J395" s="11">
        <v>76</v>
      </c>
      <c r="K395" s="11">
        <v>72</v>
      </c>
    </row>
    <row r="396" spans="1:11" ht="28.8" x14ac:dyDescent="0.3">
      <c r="A396" s="1">
        <v>47</v>
      </c>
      <c r="B396" s="1">
        <v>2024</v>
      </c>
      <c r="C396" s="3">
        <v>45385</v>
      </c>
      <c r="D396" s="4" t="s">
        <v>11</v>
      </c>
      <c r="E396" s="5" t="s">
        <v>15</v>
      </c>
      <c r="F396" s="5" t="s">
        <v>13</v>
      </c>
      <c r="G396" s="7">
        <v>48</v>
      </c>
      <c r="H396" s="7">
        <v>48</v>
      </c>
      <c r="I396" s="7">
        <v>60</v>
      </c>
      <c r="J396" s="7">
        <v>52</v>
      </c>
      <c r="K396" s="7">
        <v>48</v>
      </c>
    </row>
    <row r="397" spans="1:11" ht="28.8" x14ac:dyDescent="0.3">
      <c r="A397" s="1">
        <v>47</v>
      </c>
      <c r="B397" s="1">
        <v>2024</v>
      </c>
      <c r="C397" s="3">
        <v>45385</v>
      </c>
      <c r="D397" s="8" t="s">
        <v>11</v>
      </c>
      <c r="E397" s="9" t="s">
        <v>16</v>
      </c>
      <c r="F397" s="9" t="s">
        <v>13</v>
      </c>
      <c r="G397" s="10"/>
      <c r="H397" s="11">
        <v>35</v>
      </c>
      <c r="I397" s="11">
        <v>50</v>
      </c>
      <c r="J397" s="11" t="s">
        <v>185</v>
      </c>
      <c r="K397" s="11">
        <v>42</v>
      </c>
    </row>
    <row r="398" spans="1:11" ht="28.8" x14ac:dyDescent="0.3">
      <c r="A398" s="1">
        <v>47</v>
      </c>
      <c r="B398" s="1">
        <v>2024</v>
      </c>
      <c r="C398" s="3">
        <v>45385</v>
      </c>
      <c r="D398" s="4" t="s">
        <v>11</v>
      </c>
      <c r="E398" s="5" t="s">
        <v>17</v>
      </c>
      <c r="F398" s="5" t="s">
        <v>13</v>
      </c>
      <c r="G398" s="6"/>
      <c r="H398" s="7">
        <v>35</v>
      </c>
      <c r="I398" s="7">
        <v>50</v>
      </c>
      <c r="J398" s="7" t="s">
        <v>185</v>
      </c>
      <c r="K398" s="7">
        <v>42</v>
      </c>
    </row>
    <row r="399" spans="1:11" ht="28.8" x14ac:dyDescent="0.3">
      <c r="A399" s="1">
        <v>47</v>
      </c>
      <c r="B399" s="1">
        <v>2024</v>
      </c>
      <c r="C399" s="3">
        <v>45385</v>
      </c>
      <c r="D399" s="8" t="s">
        <v>11</v>
      </c>
      <c r="E399" s="9" t="s">
        <v>18</v>
      </c>
      <c r="F399" s="9" t="s">
        <v>13</v>
      </c>
      <c r="G399" s="11">
        <v>72</v>
      </c>
      <c r="H399" s="11">
        <v>60</v>
      </c>
      <c r="I399" s="11">
        <v>72</v>
      </c>
      <c r="J399" s="11">
        <v>68</v>
      </c>
      <c r="K399" s="11">
        <v>72</v>
      </c>
    </row>
    <row r="400" spans="1:11" ht="28.8" x14ac:dyDescent="0.3">
      <c r="A400" s="1">
        <v>47</v>
      </c>
      <c r="B400" s="1">
        <v>2024</v>
      </c>
      <c r="C400" s="3">
        <v>45385</v>
      </c>
      <c r="D400" s="4" t="s">
        <v>11</v>
      </c>
      <c r="E400" s="5" t="s">
        <v>19</v>
      </c>
      <c r="F400" s="5" t="s">
        <v>13</v>
      </c>
      <c r="G400" s="6"/>
      <c r="H400" s="7">
        <v>72</v>
      </c>
      <c r="I400" s="7">
        <v>96</v>
      </c>
      <c r="J400" s="7">
        <v>86</v>
      </c>
      <c r="K400" s="7">
        <v>90</v>
      </c>
    </row>
    <row r="401" spans="1:11" ht="28.8" x14ac:dyDescent="0.3">
      <c r="A401" s="1">
        <v>47</v>
      </c>
      <c r="B401" s="1">
        <v>2024</v>
      </c>
      <c r="C401" s="3">
        <v>45385</v>
      </c>
      <c r="D401" s="8" t="s">
        <v>11</v>
      </c>
      <c r="E401" s="9" t="s">
        <v>20</v>
      </c>
      <c r="F401" s="9" t="s">
        <v>13</v>
      </c>
      <c r="G401" s="10"/>
      <c r="H401" s="11">
        <v>120</v>
      </c>
      <c r="I401" s="11">
        <v>120</v>
      </c>
      <c r="J401" s="11">
        <v>120</v>
      </c>
      <c r="K401" s="11">
        <v>120</v>
      </c>
    </row>
    <row r="402" spans="1:11" ht="28.8" x14ac:dyDescent="0.3">
      <c r="A402" s="1">
        <v>47</v>
      </c>
      <c r="B402" s="1">
        <v>2024</v>
      </c>
      <c r="C402" s="3">
        <v>45385</v>
      </c>
      <c r="D402" s="4" t="s">
        <v>11</v>
      </c>
      <c r="E402" s="5" t="s">
        <v>21</v>
      </c>
      <c r="F402" s="5" t="s">
        <v>13</v>
      </c>
      <c r="G402" s="7">
        <v>30</v>
      </c>
      <c r="H402" s="7">
        <v>30</v>
      </c>
      <c r="I402" s="7">
        <v>36</v>
      </c>
      <c r="J402" s="7">
        <v>32</v>
      </c>
      <c r="K402" s="7">
        <v>30</v>
      </c>
    </row>
    <row r="403" spans="1:11" ht="28.8" x14ac:dyDescent="0.3">
      <c r="A403" s="1">
        <v>47</v>
      </c>
      <c r="B403" s="1">
        <v>2024</v>
      </c>
      <c r="C403" s="3">
        <v>45385</v>
      </c>
      <c r="D403" s="8" t="s">
        <v>11</v>
      </c>
      <c r="E403" s="9" t="s">
        <v>73</v>
      </c>
      <c r="F403" s="9" t="s">
        <v>13</v>
      </c>
      <c r="G403" s="11">
        <v>120</v>
      </c>
      <c r="H403" s="11">
        <v>120</v>
      </c>
      <c r="I403" s="11">
        <v>120</v>
      </c>
      <c r="J403" s="11">
        <v>120</v>
      </c>
      <c r="K403" s="11">
        <v>120</v>
      </c>
    </row>
    <row r="404" spans="1:11" ht="28.8" x14ac:dyDescent="0.3">
      <c r="A404" s="1">
        <v>47</v>
      </c>
      <c r="B404" s="1">
        <v>2024</v>
      </c>
      <c r="C404" s="3">
        <v>45385</v>
      </c>
      <c r="D404" s="4" t="s">
        <v>11</v>
      </c>
      <c r="E404" s="5" t="s">
        <v>23</v>
      </c>
      <c r="F404" s="5" t="s">
        <v>13</v>
      </c>
      <c r="G404" s="6"/>
      <c r="H404" s="7">
        <v>30</v>
      </c>
      <c r="I404" s="7">
        <v>42</v>
      </c>
      <c r="J404" s="7">
        <v>36</v>
      </c>
      <c r="K404" s="7">
        <v>36</v>
      </c>
    </row>
    <row r="405" spans="1:11" ht="28.8" x14ac:dyDescent="0.3">
      <c r="A405" s="1">
        <v>47</v>
      </c>
      <c r="B405" s="1">
        <v>2024</v>
      </c>
      <c r="C405" s="3">
        <v>45385</v>
      </c>
      <c r="D405" s="8" t="s">
        <v>11</v>
      </c>
      <c r="E405" s="9" t="s">
        <v>24</v>
      </c>
      <c r="F405" s="9" t="s">
        <v>13</v>
      </c>
      <c r="G405" s="10"/>
      <c r="H405" s="11">
        <v>78</v>
      </c>
      <c r="I405" s="11">
        <v>96</v>
      </c>
      <c r="J405" s="11">
        <v>86</v>
      </c>
      <c r="K405" s="11">
        <v>84</v>
      </c>
    </row>
    <row r="406" spans="1:11" ht="28.8" x14ac:dyDescent="0.3">
      <c r="A406" s="1">
        <v>47</v>
      </c>
      <c r="B406" s="1">
        <v>2024</v>
      </c>
      <c r="C406" s="3">
        <v>45385</v>
      </c>
      <c r="D406" s="4" t="s">
        <v>11</v>
      </c>
      <c r="E406" s="5" t="s">
        <v>25</v>
      </c>
      <c r="F406" s="5" t="s">
        <v>26</v>
      </c>
      <c r="G406" s="6"/>
      <c r="H406" s="7">
        <v>60</v>
      </c>
      <c r="I406" s="7">
        <v>78</v>
      </c>
      <c r="J406" s="7">
        <v>70</v>
      </c>
      <c r="K406" s="7">
        <v>72</v>
      </c>
    </row>
    <row r="407" spans="1:11" ht="28.8" x14ac:dyDescent="0.3">
      <c r="A407" s="1">
        <v>47</v>
      </c>
      <c r="B407" s="1">
        <v>2024</v>
      </c>
      <c r="C407" s="3">
        <v>45385</v>
      </c>
      <c r="D407" s="8" t="s">
        <v>11</v>
      </c>
      <c r="E407" s="9" t="s">
        <v>27</v>
      </c>
      <c r="F407" s="9" t="s">
        <v>13</v>
      </c>
      <c r="G407" s="10"/>
      <c r="H407" s="11">
        <v>60</v>
      </c>
      <c r="I407" s="11">
        <v>120</v>
      </c>
      <c r="J407" s="11" t="s">
        <v>186</v>
      </c>
      <c r="K407" s="11">
        <v>75</v>
      </c>
    </row>
    <row r="408" spans="1:11" ht="28.8" x14ac:dyDescent="0.3">
      <c r="A408" s="1">
        <v>47</v>
      </c>
      <c r="B408" s="1">
        <v>2024</v>
      </c>
      <c r="C408" s="3">
        <v>45385</v>
      </c>
      <c r="D408" s="4" t="s">
        <v>11</v>
      </c>
      <c r="E408" s="5" t="s">
        <v>28</v>
      </c>
      <c r="F408" s="5" t="s">
        <v>13</v>
      </c>
      <c r="G408" s="7">
        <v>60</v>
      </c>
      <c r="H408" s="7">
        <v>50</v>
      </c>
      <c r="I408" s="7">
        <v>84</v>
      </c>
      <c r="J408" s="7" t="s">
        <v>187</v>
      </c>
      <c r="K408" s="7">
        <v>60</v>
      </c>
    </row>
    <row r="409" spans="1:11" ht="28.8" x14ac:dyDescent="0.3">
      <c r="A409" s="1">
        <v>47</v>
      </c>
      <c r="B409" s="1">
        <v>2024</v>
      </c>
      <c r="C409" s="3">
        <v>45385</v>
      </c>
      <c r="D409" s="8" t="s">
        <v>11</v>
      </c>
      <c r="E409" s="9" t="s">
        <v>29</v>
      </c>
      <c r="F409" s="9" t="s">
        <v>13</v>
      </c>
      <c r="G409" s="11">
        <v>54</v>
      </c>
      <c r="H409" s="11">
        <v>48</v>
      </c>
      <c r="I409" s="11">
        <v>54</v>
      </c>
      <c r="J409" s="11">
        <v>52</v>
      </c>
      <c r="K409" s="11">
        <v>54</v>
      </c>
    </row>
    <row r="410" spans="1:11" ht="28.8" x14ac:dyDescent="0.3">
      <c r="A410" s="1">
        <v>47</v>
      </c>
      <c r="B410" s="1">
        <v>2024</v>
      </c>
      <c r="C410" s="3">
        <v>45385</v>
      </c>
      <c r="D410" s="4" t="s">
        <v>30</v>
      </c>
      <c r="E410" s="5" t="s">
        <v>31</v>
      </c>
      <c r="F410" s="5" t="s">
        <v>32</v>
      </c>
      <c r="G410" s="6"/>
      <c r="H410" s="7" t="s">
        <v>97</v>
      </c>
      <c r="I410" s="7">
        <v>5</v>
      </c>
      <c r="J410" s="7" t="s">
        <v>150</v>
      </c>
      <c r="K410" s="7" t="s">
        <v>150</v>
      </c>
    </row>
    <row r="411" spans="1:11" ht="28.8" x14ac:dyDescent="0.3">
      <c r="A411" s="1">
        <v>47</v>
      </c>
      <c r="B411" s="1">
        <v>2024</v>
      </c>
      <c r="C411" s="3">
        <v>45385</v>
      </c>
      <c r="D411" s="8" t="s">
        <v>30</v>
      </c>
      <c r="E411" s="9" t="s">
        <v>34</v>
      </c>
      <c r="F411" s="9" t="s">
        <v>35</v>
      </c>
      <c r="G411" s="10"/>
      <c r="H411" s="11">
        <v>25</v>
      </c>
      <c r="I411" s="11">
        <v>40</v>
      </c>
      <c r="J411" s="11" t="s">
        <v>107</v>
      </c>
      <c r="K411" s="11" t="s">
        <v>107</v>
      </c>
    </row>
    <row r="412" spans="1:11" ht="28.8" x14ac:dyDescent="0.3">
      <c r="A412" s="1">
        <v>47</v>
      </c>
      <c r="B412" s="1">
        <v>2024</v>
      </c>
      <c r="C412" s="3">
        <v>45385</v>
      </c>
      <c r="D412" s="4" t="s">
        <v>30</v>
      </c>
      <c r="E412" s="5" t="s">
        <v>36</v>
      </c>
      <c r="F412" s="5" t="s">
        <v>35</v>
      </c>
      <c r="G412" s="6"/>
      <c r="H412" s="7">
        <v>40</v>
      </c>
      <c r="I412" s="7">
        <v>45</v>
      </c>
      <c r="J412" s="7" t="s">
        <v>47</v>
      </c>
      <c r="K412" s="7" t="s">
        <v>47</v>
      </c>
    </row>
    <row r="413" spans="1:11" ht="43.2" x14ac:dyDescent="0.3">
      <c r="A413" s="1">
        <v>47</v>
      </c>
      <c r="B413" s="1">
        <v>2024</v>
      </c>
      <c r="C413" s="3">
        <v>45385</v>
      </c>
      <c r="D413" s="8" t="s">
        <v>38</v>
      </c>
      <c r="E413" s="9" t="s">
        <v>153</v>
      </c>
      <c r="F413" s="9" t="s">
        <v>154</v>
      </c>
      <c r="G413" s="11">
        <v>120</v>
      </c>
      <c r="H413" s="11">
        <v>110</v>
      </c>
      <c r="I413" s="11">
        <v>120</v>
      </c>
      <c r="J413" s="11" t="s">
        <v>188</v>
      </c>
      <c r="K413" s="11" t="s">
        <v>140</v>
      </c>
    </row>
    <row r="414" spans="1:11" ht="43.2" x14ac:dyDescent="0.3">
      <c r="A414" s="1">
        <v>47</v>
      </c>
      <c r="B414" s="1">
        <v>2024</v>
      </c>
      <c r="C414" s="3">
        <v>45385</v>
      </c>
      <c r="D414" s="4" t="s">
        <v>38</v>
      </c>
      <c r="E414" s="5" t="s">
        <v>39</v>
      </c>
      <c r="F414" s="5" t="s">
        <v>40</v>
      </c>
      <c r="G414" s="7">
        <v>90</v>
      </c>
      <c r="H414" s="7">
        <v>70</v>
      </c>
      <c r="I414" s="7">
        <v>100</v>
      </c>
      <c r="J414" s="7" t="s">
        <v>189</v>
      </c>
      <c r="K414" s="7">
        <v>90</v>
      </c>
    </row>
    <row r="415" spans="1:11" ht="43.2" x14ac:dyDescent="0.3">
      <c r="A415" s="1">
        <v>47</v>
      </c>
      <c r="B415" s="1">
        <v>2024</v>
      </c>
      <c r="C415" s="3">
        <v>45385</v>
      </c>
      <c r="D415" s="8" t="s">
        <v>38</v>
      </c>
      <c r="E415" s="9" t="s">
        <v>42</v>
      </c>
      <c r="F415" s="9" t="s">
        <v>43</v>
      </c>
      <c r="G415" s="11">
        <v>50</v>
      </c>
      <c r="H415" s="11">
        <v>50</v>
      </c>
      <c r="I415" s="11">
        <v>80</v>
      </c>
      <c r="J415" s="11" t="s">
        <v>130</v>
      </c>
      <c r="K415" s="11">
        <v>75</v>
      </c>
    </row>
    <row r="416" spans="1:11" ht="43.2" x14ac:dyDescent="0.3">
      <c r="A416" s="1">
        <v>47</v>
      </c>
      <c r="B416" s="1">
        <v>2024</v>
      </c>
      <c r="C416" s="3">
        <v>45385</v>
      </c>
      <c r="D416" s="4" t="s">
        <v>38</v>
      </c>
      <c r="E416" s="5" t="s">
        <v>44</v>
      </c>
      <c r="F416" s="5" t="s">
        <v>45</v>
      </c>
      <c r="G416" s="7">
        <v>50</v>
      </c>
      <c r="H416" s="7">
        <v>35</v>
      </c>
      <c r="I416" s="7">
        <v>60</v>
      </c>
      <c r="J416" s="7">
        <v>45</v>
      </c>
      <c r="K416" s="7">
        <v>45</v>
      </c>
    </row>
    <row r="417" spans="1:11" ht="43.2" x14ac:dyDescent="0.3">
      <c r="A417" s="1">
        <v>47</v>
      </c>
      <c r="B417" s="1">
        <v>2024</v>
      </c>
      <c r="C417" s="3">
        <v>45385</v>
      </c>
      <c r="D417" s="8" t="s">
        <v>38</v>
      </c>
      <c r="E417" s="9" t="s">
        <v>48</v>
      </c>
      <c r="F417" s="9" t="s">
        <v>45</v>
      </c>
      <c r="G417" s="10"/>
      <c r="H417" s="11">
        <v>65</v>
      </c>
      <c r="I417" s="11">
        <v>120</v>
      </c>
      <c r="J417" s="11">
        <v>95</v>
      </c>
      <c r="K417" s="11">
        <v>100</v>
      </c>
    </row>
    <row r="418" spans="1:11" ht="43.2" x14ac:dyDescent="0.3">
      <c r="A418" s="1">
        <v>47</v>
      </c>
      <c r="B418" s="1">
        <v>2024</v>
      </c>
      <c r="C418" s="3">
        <v>45385</v>
      </c>
      <c r="D418" s="4" t="s">
        <v>38</v>
      </c>
      <c r="E418" s="5" t="s">
        <v>49</v>
      </c>
      <c r="F418" s="5" t="s">
        <v>50</v>
      </c>
      <c r="G418" s="7">
        <v>100</v>
      </c>
      <c r="H418" s="7">
        <v>80</v>
      </c>
      <c r="I418" s="7">
        <v>130</v>
      </c>
      <c r="J418" s="7">
        <v>110</v>
      </c>
      <c r="K418" s="7">
        <v>110</v>
      </c>
    </row>
    <row r="419" spans="1:11" ht="43.2" x14ac:dyDescent="0.3">
      <c r="A419" s="1">
        <v>47</v>
      </c>
      <c r="B419" s="1">
        <v>2024</v>
      </c>
      <c r="C419" s="3">
        <v>45385</v>
      </c>
      <c r="D419" s="8" t="s">
        <v>38</v>
      </c>
      <c r="E419" s="9" t="s">
        <v>52</v>
      </c>
      <c r="F419" s="9" t="s">
        <v>43</v>
      </c>
      <c r="G419" s="11">
        <v>80</v>
      </c>
      <c r="H419" s="11">
        <v>80</v>
      </c>
      <c r="I419" s="11">
        <v>150</v>
      </c>
      <c r="J419" s="11" t="s">
        <v>190</v>
      </c>
      <c r="K419" s="11">
        <v>120</v>
      </c>
    </row>
    <row r="420" spans="1:11" ht="43.2" x14ac:dyDescent="0.3">
      <c r="A420" s="1">
        <v>47</v>
      </c>
      <c r="B420" s="1">
        <v>2024</v>
      </c>
      <c r="C420" s="3">
        <v>45385</v>
      </c>
      <c r="D420" s="4" t="s">
        <v>38</v>
      </c>
      <c r="E420" s="5" t="s">
        <v>53</v>
      </c>
      <c r="F420" s="5" t="s">
        <v>43</v>
      </c>
      <c r="G420" s="7">
        <v>60</v>
      </c>
      <c r="H420" s="7">
        <v>50</v>
      </c>
      <c r="I420" s="7">
        <v>70</v>
      </c>
      <c r="J420" s="7">
        <v>60</v>
      </c>
      <c r="K420" s="7">
        <v>60</v>
      </c>
    </row>
    <row r="421" spans="1:11" ht="43.2" x14ac:dyDescent="0.3">
      <c r="A421" s="1">
        <v>47</v>
      </c>
      <c r="B421" s="1">
        <v>2024</v>
      </c>
      <c r="C421" s="3">
        <v>45385</v>
      </c>
      <c r="D421" s="8" t="s">
        <v>38</v>
      </c>
      <c r="E421" s="9" t="s">
        <v>54</v>
      </c>
      <c r="F421" s="9" t="s">
        <v>40</v>
      </c>
      <c r="G421" s="11">
        <v>100</v>
      </c>
      <c r="H421" s="11">
        <v>80</v>
      </c>
      <c r="I421" s="11">
        <v>100</v>
      </c>
      <c r="J421" s="11">
        <v>94</v>
      </c>
      <c r="K421" s="11">
        <v>100</v>
      </c>
    </row>
    <row r="422" spans="1:11" ht="43.2" x14ac:dyDescent="0.3">
      <c r="A422" s="1">
        <v>47</v>
      </c>
      <c r="B422" s="1">
        <v>2024</v>
      </c>
      <c r="C422" s="3">
        <v>45385</v>
      </c>
      <c r="D422" s="4" t="s">
        <v>38</v>
      </c>
      <c r="E422" s="5" t="s">
        <v>56</v>
      </c>
      <c r="F422" s="5" t="s">
        <v>43</v>
      </c>
      <c r="G422" s="6"/>
      <c r="H422" s="7">
        <v>60</v>
      </c>
      <c r="I422" s="7">
        <v>75</v>
      </c>
      <c r="J422" s="7" t="s">
        <v>84</v>
      </c>
      <c r="K422" s="7" t="s">
        <v>84</v>
      </c>
    </row>
    <row r="423" spans="1:11" ht="43.2" x14ac:dyDescent="0.3">
      <c r="A423" s="1">
        <v>47</v>
      </c>
      <c r="B423" s="1">
        <v>2024</v>
      </c>
      <c r="C423" s="3">
        <v>45385</v>
      </c>
      <c r="D423" s="8" t="s">
        <v>38</v>
      </c>
      <c r="E423" s="9" t="s">
        <v>57</v>
      </c>
      <c r="F423" s="9" t="s">
        <v>40</v>
      </c>
      <c r="G423" s="11">
        <v>80</v>
      </c>
      <c r="H423" s="11">
        <v>60</v>
      </c>
      <c r="I423" s="11">
        <v>100</v>
      </c>
      <c r="J423" s="11" t="s">
        <v>191</v>
      </c>
      <c r="K423" s="11">
        <v>80</v>
      </c>
    </row>
    <row r="424" spans="1:11" ht="43.2" x14ac:dyDescent="0.3">
      <c r="A424" s="1">
        <v>47</v>
      </c>
      <c r="B424" s="1">
        <v>2024</v>
      </c>
      <c r="C424" s="3">
        <v>45385</v>
      </c>
      <c r="D424" s="4" t="s">
        <v>38</v>
      </c>
      <c r="E424" s="5" t="s">
        <v>58</v>
      </c>
      <c r="F424" s="5" t="s">
        <v>40</v>
      </c>
      <c r="G424" s="7">
        <v>120</v>
      </c>
      <c r="H424" s="7">
        <v>80</v>
      </c>
      <c r="I424" s="7">
        <v>140</v>
      </c>
      <c r="J424" s="7">
        <v>115</v>
      </c>
      <c r="K424" s="7">
        <v>120</v>
      </c>
    </row>
    <row r="425" spans="1:11" ht="43.2" x14ac:dyDescent="0.3">
      <c r="A425" s="1">
        <v>47</v>
      </c>
      <c r="B425" s="1">
        <v>2024</v>
      </c>
      <c r="C425" s="3">
        <v>45385</v>
      </c>
      <c r="D425" s="8" t="s">
        <v>38</v>
      </c>
      <c r="E425" s="9" t="s">
        <v>59</v>
      </c>
      <c r="F425" s="9" t="s">
        <v>45</v>
      </c>
      <c r="G425" s="11">
        <v>80</v>
      </c>
      <c r="H425" s="11">
        <v>60</v>
      </c>
      <c r="I425" s="11">
        <v>100</v>
      </c>
      <c r="J425" s="11" t="s">
        <v>192</v>
      </c>
      <c r="K425" s="11">
        <v>80</v>
      </c>
    </row>
    <row r="426" spans="1:11" ht="43.2" x14ac:dyDescent="0.3">
      <c r="A426" s="1">
        <v>47</v>
      </c>
      <c r="B426" s="1">
        <v>2024</v>
      </c>
      <c r="C426" s="3">
        <v>45385</v>
      </c>
      <c r="D426" s="4" t="s">
        <v>38</v>
      </c>
      <c r="E426" s="5" t="s">
        <v>60</v>
      </c>
      <c r="F426" s="5" t="s">
        <v>61</v>
      </c>
      <c r="G426" s="7">
        <v>150</v>
      </c>
      <c r="H426" s="7">
        <v>100</v>
      </c>
      <c r="I426" s="7">
        <v>150</v>
      </c>
      <c r="J426" s="7">
        <v>130</v>
      </c>
      <c r="K426" s="7">
        <v>130</v>
      </c>
    </row>
    <row r="427" spans="1:11" ht="43.2" x14ac:dyDescent="0.3">
      <c r="A427" s="1">
        <v>47</v>
      </c>
      <c r="B427" s="1">
        <v>2024</v>
      </c>
      <c r="C427" s="3">
        <v>45385</v>
      </c>
      <c r="D427" s="8" t="s">
        <v>38</v>
      </c>
      <c r="E427" s="9" t="s">
        <v>63</v>
      </c>
      <c r="F427" s="9" t="s">
        <v>40</v>
      </c>
      <c r="G427" s="11">
        <v>220</v>
      </c>
      <c r="H427" s="11">
        <v>150</v>
      </c>
      <c r="I427" s="11">
        <v>250</v>
      </c>
      <c r="J427" s="11" t="s">
        <v>193</v>
      </c>
      <c r="K427" s="11">
        <v>230</v>
      </c>
    </row>
    <row r="428" spans="1:11" ht="43.2" x14ac:dyDescent="0.3">
      <c r="A428" s="1">
        <v>47</v>
      </c>
      <c r="B428" s="1">
        <v>2024</v>
      </c>
      <c r="C428" s="3">
        <v>45385</v>
      </c>
      <c r="D428" s="4" t="s">
        <v>38</v>
      </c>
      <c r="E428" s="5" t="s">
        <v>64</v>
      </c>
      <c r="F428" s="5" t="s">
        <v>40</v>
      </c>
      <c r="G428" s="7">
        <v>140</v>
      </c>
      <c r="H428" s="7">
        <v>120</v>
      </c>
      <c r="I428" s="7">
        <v>200</v>
      </c>
      <c r="J428" s="7" t="s">
        <v>194</v>
      </c>
      <c r="K428" s="7">
        <v>140</v>
      </c>
    </row>
    <row r="429" spans="1:11" x14ac:dyDescent="0.3">
      <c r="A429" s="1">
        <v>47</v>
      </c>
      <c r="B429" s="1">
        <v>2024</v>
      </c>
      <c r="C429" s="3">
        <v>45385</v>
      </c>
      <c r="D429" s="8" t="s">
        <v>65</v>
      </c>
      <c r="E429" s="9" t="s">
        <v>66</v>
      </c>
      <c r="F429" s="9" t="s">
        <v>45</v>
      </c>
      <c r="G429" s="11">
        <v>100</v>
      </c>
      <c r="H429" s="11">
        <v>100</v>
      </c>
      <c r="I429" s="11">
        <v>100</v>
      </c>
      <c r="J429" s="11">
        <v>100</v>
      </c>
      <c r="K429" s="11">
        <v>100</v>
      </c>
    </row>
    <row r="430" spans="1:11" x14ac:dyDescent="0.3">
      <c r="A430" s="1">
        <v>47</v>
      </c>
      <c r="B430" s="1">
        <v>2024</v>
      </c>
      <c r="C430" s="3">
        <v>45385</v>
      </c>
      <c r="D430" s="4" t="s">
        <v>65</v>
      </c>
      <c r="E430" s="5" t="s">
        <v>67</v>
      </c>
      <c r="F430" s="5" t="s">
        <v>45</v>
      </c>
      <c r="G430" s="7">
        <v>80</v>
      </c>
      <c r="H430" s="7">
        <v>80</v>
      </c>
      <c r="I430" s="7">
        <v>80</v>
      </c>
      <c r="J430" s="7">
        <v>80</v>
      </c>
      <c r="K430" s="7">
        <v>80</v>
      </c>
    </row>
    <row r="431" spans="1:11" x14ac:dyDescent="0.3">
      <c r="A431" s="1">
        <v>47</v>
      </c>
      <c r="B431" s="1">
        <v>2024</v>
      </c>
      <c r="C431" s="3">
        <v>45385</v>
      </c>
      <c r="D431" s="8" t="s">
        <v>65</v>
      </c>
      <c r="E431" s="9" t="s">
        <v>68</v>
      </c>
      <c r="F431" s="9" t="s">
        <v>45</v>
      </c>
      <c r="G431" s="11">
        <v>45</v>
      </c>
      <c r="H431" s="11">
        <v>45</v>
      </c>
      <c r="I431" s="11">
        <v>45</v>
      </c>
      <c r="J431" s="11">
        <v>45</v>
      </c>
      <c r="K431" s="11">
        <v>45</v>
      </c>
    </row>
    <row r="432" spans="1:11" x14ac:dyDescent="0.3">
      <c r="A432" s="1">
        <v>47</v>
      </c>
      <c r="B432" s="1">
        <v>2024</v>
      </c>
      <c r="C432" s="3">
        <v>45385</v>
      </c>
      <c r="D432" s="4" t="s">
        <v>65</v>
      </c>
      <c r="E432" s="5" t="s">
        <v>69</v>
      </c>
      <c r="F432" s="5" t="s">
        <v>45</v>
      </c>
      <c r="G432" s="7">
        <v>45</v>
      </c>
      <c r="H432" s="7">
        <v>45</v>
      </c>
      <c r="I432" s="7">
        <v>45</v>
      </c>
      <c r="J432" s="7">
        <v>45</v>
      </c>
      <c r="K432" s="7">
        <v>45</v>
      </c>
    </row>
    <row r="433" spans="1:11" x14ac:dyDescent="0.3">
      <c r="A433" s="1">
        <v>47</v>
      </c>
      <c r="B433" s="1">
        <v>2024</v>
      </c>
      <c r="C433" s="3">
        <v>45385</v>
      </c>
      <c r="D433" s="8" t="s">
        <v>65</v>
      </c>
      <c r="E433" s="9" t="s">
        <v>70</v>
      </c>
      <c r="F433" s="9" t="s">
        <v>71</v>
      </c>
      <c r="G433" s="11">
        <v>85</v>
      </c>
      <c r="H433" s="11">
        <v>85</v>
      </c>
      <c r="I433" s="11">
        <v>85</v>
      </c>
      <c r="J433" s="11">
        <v>85</v>
      </c>
      <c r="K433" s="11">
        <v>85</v>
      </c>
    </row>
    <row r="434" spans="1:11" ht="28.8" x14ac:dyDescent="0.3">
      <c r="A434" s="1">
        <v>48</v>
      </c>
      <c r="B434" s="1">
        <v>2024</v>
      </c>
      <c r="C434" s="3">
        <v>45392</v>
      </c>
      <c r="D434" s="4" t="s">
        <v>11</v>
      </c>
      <c r="E434" s="5" t="s">
        <v>12</v>
      </c>
      <c r="F434" s="5" t="s">
        <v>13</v>
      </c>
      <c r="G434" s="7">
        <v>60</v>
      </c>
      <c r="H434" s="7">
        <v>60</v>
      </c>
      <c r="I434" s="7">
        <v>78</v>
      </c>
      <c r="J434" s="7">
        <v>66</v>
      </c>
      <c r="K434" s="7">
        <v>60</v>
      </c>
    </row>
    <row r="435" spans="1:11" ht="28.8" x14ac:dyDescent="0.3">
      <c r="A435" s="1">
        <v>48</v>
      </c>
      <c r="B435" s="1">
        <v>2024</v>
      </c>
      <c r="C435" s="3">
        <v>45392</v>
      </c>
      <c r="D435" s="8" t="s">
        <v>11</v>
      </c>
      <c r="E435" s="9" t="s">
        <v>14</v>
      </c>
      <c r="F435" s="9" t="s">
        <v>13</v>
      </c>
      <c r="G435" s="10"/>
      <c r="H435" s="11">
        <v>44</v>
      </c>
      <c r="I435" s="11">
        <v>78</v>
      </c>
      <c r="J435" s="11" t="s">
        <v>83</v>
      </c>
      <c r="K435" s="11">
        <v>72</v>
      </c>
    </row>
    <row r="436" spans="1:11" ht="28.8" x14ac:dyDescent="0.3">
      <c r="A436" s="1">
        <v>48</v>
      </c>
      <c r="B436" s="1">
        <v>2024</v>
      </c>
      <c r="C436" s="3">
        <v>45392</v>
      </c>
      <c r="D436" s="4" t="s">
        <v>11</v>
      </c>
      <c r="E436" s="5" t="s">
        <v>15</v>
      </c>
      <c r="F436" s="5" t="s">
        <v>13</v>
      </c>
      <c r="G436" s="6"/>
      <c r="H436" s="7">
        <v>42</v>
      </c>
      <c r="I436" s="7">
        <v>60</v>
      </c>
      <c r="J436" s="7">
        <v>50</v>
      </c>
      <c r="K436" s="7">
        <v>48</v>
      </c>
    </row>
    <row r="437" spans="1:11" ht="28.8" x14ac:dyDescent="0.3">
      <c r="A437" s="1">
        <v>48</v>
      </c>
      <c r="B437" s="1">
        <v>2024</v>
      </c>
      <c r="C437" s="3">
        <v>45392</v>
      </c>
      <c r="D437" s="8" t="s">
        <v>11</v>
      </c>
      <c r="E437" s="9" t="s">
        <v>16</v>
      </c>
      <c r="F437" s="9" t="s">
        <v>13</v>
      </c>
      <c r="G437" s="10"/>
      <c r="H437" s="11">
        <v>30</v>
      </c>
      <c r="I437" s="11">
        <v>42</v>
      </c>
      <c r="J437" s="11" t="s">
        <v>180</v>
      </c>
      <c r="K437" s="11">
        <v>35</v>
      </c>
    </row>
    <row r="438" spans="1:11" ht="28.8" x14ac:dyDescent="0.3">
      <c r="A438" s="1">
        <v>48</v>
      </c>
      <c r="B438" s="1">
        <v>2024</v>
      </c>
      <c r="C438" s="3">
        <v>45392</v>
      </c>
      <c r="D438" s="4" t="s">
        <v>11</v>
      </c>
      <c r="E438" s="5" t="s">
        <v>17</v>
      </c>
      <c r="F438" s="5" t="s">
        <v>13</v>
      </c>
      <c r="G438" s="6"/>
      <c r="H438" s="7">
        <v>30</v>
      </c>
      <c r="I438" s="7">
        <v>42</v>
      </c>
      <c r="J438" s="7" t="s">
        <v>180</v>
      </c>
      <c r="K438" s="7">
        <v>35</v>
      </c>
    </row>
    <row r="439" spans="1:11" ht="28.8" x14ac:dyDescent="0.3">
      <c r="A439" s="1">
        <v>48</v>
      </c>
      <c r="B439" s="1">
        <v>2024</v>
      </c>
      <c r="C439" s="3">
        <v>45392</v>
      </c>
      <c r="D439" s="8" t="s">
        <v>11</v>
      </c>
      <c r="E439" s="9" t="s">
        <v>18</v>
      </c>
      <c r="F439" s="9" t="s">
        <v>13</v>
      </c>
      <c r="G439" s="10"/>
      <c r="H439" s="11">
        <v>48</v>
      </c>
      <c r="I439" s="11">
        <v>96</v>
      </c>
      <c r="J439" s="11">
        <v>69</v>
      </c>
      <c r="K439" s="11">
        <v>66</v>
      </c>
    </row>
    <row r="440" spans="1:11" ht="28.8" x14ac:dyDescent="0.3">
      <c r="A440" s="1">
        <v>48</v>
      </c>
      <c r="B440" s="1">
        <v>2024</v>
      </c>
      <c r="C440" s="3">
        <v>45392</v>
      </c>
      <c r="D440" s="4" t="s">
        <v>11</v>
      </c>
      <c r="E440" s="5" t="s">
        <v>19</v>
      </c>
      <c r="F440" s="5" t="s">
        <v>13</v>
      </c>
      <c r="G440" s="6"/>
      <c r="H440" s="7">
        <v>96</v>
      </c>
      <c r="I440" s="7">
        <v>108</v>
      </c>
      <c r="J440" s="7" t="s">
        <v>195</v>
      </c>
      <c r="K440" s="7">
        <v>100</v>
      </c>
    </row>
    <row r="441" spans="1:11" ht="28.8" x14ac:dyDescent="0.3">
      <c r="A441" s="1">
        <v>48</v>
      </c>
      <c r="B441" s="1">
        <v>2024</v>
      </c>
      <c r="C441" s="3">
        <v>45392</v>
      </c>
      <c r="D441" s="8" t="s">
        <v>11</v>
      </c>
      <c r="E441" s="9" t="s">
        <v>20</v>
      </c>
      <c r="F441" s="9" t="s">
        <v>13</v>
      </c>
      <c r="G441" s="10"/>
      <c r="H441" s="11">
        <v>84</v>
      </c>
      <c r="I441" s="11">
        <v>100</v>
      </c>
      <c r="J441" s="11" t="s">
        <v>196</v>
      </c>
      <c r="K441" s="11">
        <v>96</v>
      </c>
    </row>
    <row r="442" spans="1:11" ht="28.8" x14ac:dyDescent="0.3">
      <c r="A442" s="1">
        <v>48</v>
      </c>
      <c r="B442" s="1">
        <v>2024</v>
      </c>
      <c r="C442" s="3">
        <v>45392</v>
      </c>
      <c r="D442" s="4" t="s">
        <v>11</v>
      </c>
      <c r="E442" s="5" t="s">
        <v>21</v>
      </c>
      <c r="F442" s="5" t="s">
        <v>13</v>
      </c>
      <c r="G442" s="7">
        <v>30</v>
      </c>
      <c r="H442" s="7">
        <v>30</v>
      </c>
      <c r="I442" s="7">
        <v>96</v>
      </c>
      <c r="J442" s="7">
        <v>48</v>
      </c>
      <c r="K442" s="7">
        <v>33</v>
      </c>
    </row>
    <row r="443" spans="1:11" ht="28.8" x14ac:dyDescent="0.3">
      <c r="A443" s="1">
        <v>48</v>
      </c>
      <c r="B443" s="1">
        <v>2024</v>
      </c>
      <c r="C443" s="3">
        <v>45392</v>
      </c>
      <c r="D443" s="8" t="s">
        <v>11</v>
      </c>
      <c r="E443" s="9" t="s">
        <v>73</v>
      </c>
      <c r="F443" s="9" t="s">
        <v>13</v>
      </c>
      <c r="G443" s="10"/>
      <c r="H443" s="11">
        <v>108</v>
      </c>
      <c r="I443" s="11">
        <v>120</v>
      </c>
      <c r="J443" s="11">
        <v>114</v>
      </c>
      <c r="K443" s="11">
        <v>114</v>
      </c>
    </row>
    <row r="444" spans="1:11" ht="28.8" x14ac:dyDescent="0.3">
      <c r="A444" s="1">
        <v>48</v>
      </c>
      <c r="B444" s="1">
        <v>2024</v>
      </c>
      <c r="C444" s="3">
        <v>45392</v>
      </c>
      <c r="D444" s="4" t="s">
        <v>11</v>
      </c>
      <c r="E444" s="5" t="s">
        <v>23</v>
      </c>
      <c r="F444" s="5" t="s">
        <v>13</v>
      </c>
      <c r="G444" s="6"/>
      <c r="H444" s="7">
        <v>30</v>
      </c>
      <c r="I444" s="7">
        <v>42</v>
      </c>
      <c r="J444" s="7">
        <v>36</v>
      </c>
      <c r="K444" s="7">
        <v>36</v>
      </c>
    </row>
    <row r="445" spans="1:11" ht="28.8" x14ac:dyDescent="0.3">
      <c r="A445" s="1">
        <v>48</v>
      </c>
      <c r="B445" s="1">
        <v>2024</v>
      </c>
      <c r="C445" s="3">
        <v>45392</v>
      </c>
      <c r="D445" s="8" t="s">
        <v>11</v>
      </c>
      <c r="E445" s="9" t="s">
        <v>24</v>
      </c>
      <c r="F445" s="9" t="s">
        <v>13</v>
      </c>
      <c r="G445" s="10"/>
      <c r="H445" s="11">
        <v>72</v>
      </c>
      <c r="I445" s="11">
        <v>84</v>
      </c>
      <c r="J445" s="11">
        <v>78</v>
      </c>
      <c r="K445" s="11">
        <v>78</v>
      </c>
    </row>
    <row r="446" spans="1:11" ht="28.8" x14ac:dyDescent="0.3">
      <c r="A446" s="1">
        <v>48</v>
      </c>
      <c r="B446" s="1">
        <v>2024</v>
      </c>
      <c r="C446" s="3">
        <v>45392</v>
      </c>
      <c r="D446" s="4" t="s">
        <v>11</v>
      </c>
      <c r="E446" s="5" t="s">
        <v>25</v>
      </c>
      <c r="F446" s="5" t="s">
        <v>26</v>
      </c>
      <c r="G446" s="6"/>
      <c r="H446" s="7">
        <v>32</v>
      </c>
      <c r="I446" s="7">
        <v>84</v>
      </c>
      <c r="J446" s="7" t="s">
        <v>172</v>
      </c>
      <c r="K446" s="7">
        <v>72</v>
      </c>
    </row>
    <row r="447" spans="1:11" ht="28.8" x14ac:dyDescent="0.3">
      <c r="A447" s="1">
        <v>48</v>
      </c>
      <c r="B447" s="1">
        <v>2024</v>
      </c>
      <c r="C447" s="3">
        <v>45392</v>
      </c>
      <c r="D447" s="8" t="s">
        <v>11</v>
      </c>
      <c r="E447" s="9" t="s">
        <v>27</v>
      </c>
      <c r="F447" s="9" t="s">
        <v>13</v>
      </c>
      <c r="G447" s="11">
        <v>60</v>
      </c>
      <c r="H447" s="11">
        <v>60</v>
      </c>
      <c r="I447" s="11">
        <v>80</v>
      </c>
      <c r="J447" s="11" t="s">
        <v>102</v>
      </c>
      <c r="K447" s="11">
        <v>60</v>
      </c>
    </row>
    <row r="448" spans="1:11" ht="28.8" x14ac:dyDescent="0.3">
      <c r="A448" s="1">
        <v>48</v>
      </c>
      <c r="B448" s="1">
        <v>2024</v>
      </c>
      <c r="C448" s="3">
        <v>45392</v>
      </c>
      <c r="D448" s="4" t="s">
        <v>11</v>
      </c>
      <c r="E448" s="5" t="s">
        <v>28</v>
      </c>
      <c r="F448" s="5" t="s">
        <v>13</v>
      </c>
      <c r="G448" s="6"/>
      <c r="H448" s="7">
        <v>50</v>
      </c>
      <c r="I448" s="7">
        <v>75</v>
      </c>
      <c r="J448" s="7" t="s">
        <v>197</v>
      </c>
      <c r="K448" s="7">
        <v>54</v>
      </c>
    </row>
    <row r="449" spans="1:11" ht="28.8" x14ac:dyDescent="0.3">
      <c r="A449" s="1">
        <v>48</v>
      </c>
      <c r="B449" s="1">
        <v>2024</v>
      </c>
      <c r="C449" s="3">
        <v>45392</v>
      </c>
      <c r="D449" s="8" t="s">
        <v>11</v>
      </c>
      <c r="E449" s="9" t="s">
        <v>29</v>
      </c>
      <c r="F449" s="9" t="s">
        <v>13</v>
      </c>
      <c r="G449" s="10"/>
      <c r="H449" s="11">
        <v>42</v>
      </c>
      <c r="I449" s="11">
        <v>54</v>
      </c>
      <c r="J449" s="11">
        <v>48</v>
      </c>
      <c r="K449" s="11">
        <v>48</v>
      </c>
    </row>
    <row r="450" spans="1:11" ht="28.8" x14ac:dyDescent="0.3">
      <c r="A450" s="1">
        <v>48</v>
      </c>
      <c r="B450" s="1">
        <v>2024</v>
      </c>
      <c r="C450" s="3">
        <v>45392</v>
      </c>
      <c r="D450" s="4" t="s">
        <v>30</v>
      </c>
      <c r="E450" s="5" t="s">
        <v>31</v>
      </c>
      <c r="F450" s="5" t="s">
        <v>32</v>
      </c>
      <c r="G450" s="7">
        <v>5</v>
      </c>
      <c r="H450" s="7" t="s">
        <v>97</v>
      </c>
      <c r="I450" s="7">
        <v>5</v>
      </c>
      <c r="J450" s="7" t="s">
        <v>164</v>
      </c>
      <c r="K450" s="7">
        <v>5</v>
      </c>
    </row>
    <row r="451" spans="1:11" ht="28.8" x14ac:dyDescent="0.3">
      <c r="A451" s="1">
        <v>48</v>
      </c>
      <c r="B451" s="1">
        <v>2024</v>
      </c>
      <c r="C451" s="3">
        <v>45392</v>
      </c>
      <c r="D451" s="8" t="s">
        <v>30</v>
      </c>
      <c r="E451" s="9" t="s">
        <v>34</v>
      </c>
      <c r="F451" s="9" t="s">
        <v>35</v>
      </c>
      <c r="G451" s="10"/>
      <c r="H451" s="11">
        <v>20</v>
      </c>
      <c r="I451" s="11">
        <v>30</v>
      </c>
      <c r="J451" s="11">
        <v>25</v>
      </c>
      <c r="K451" s="11">
        <v>25</v>
      </c>
    </row>
    <row r="452" spans="1:11" ht="28.8" x14ac:dyDescent="0.3">
      <c r="A452" s="1">
        <v>48</v>
      </c>
      <c r="B452" s="1">
        <v>2024</v>
      </c>
      <c r="C452" s="3">
        <v>45392</v>
      </c>
      <c r="D452" s="4" t="s">
        <v>30</v>
      </c>
      <c r="E452" s="5" t="s">
        <v>36</v>
      </c>
      <c r="F452" s="5" t="s">
        <v>35</v>
      </c>
      <c r="G452" s="6"/>
      <c r="H452" s="7">
        <v>30</v>
      </c>
      <c r="I452" s="7">
        <v>40</v>
      </c>
      <c r="J452" s="7">
        <v>35</v>
      </c>
      <c r="K452" s="7">
        <v>35</v>
      </c>
    </row>
    <row r="453" spans="1:11" ht="43.2" x14ac:dyDescent="0.3">
      <c r="A453" s="1">
        <v>48</v>
      </c>
      <c r="B453" s="1">
        <v>2024</v>
      </c>
      <c r="C453" s="3">
        <v>45392</v>
      </c>
      <c r="D453" s="8" t="s">
        <v>38</v>
      </c>
      <c r="E453" s="9" t="s">
        <v>153</v>
      </c>
      <c r="F453" s="9" t="s">
        <v>154</v>
      </c>
      <c r="G453" s="11">
        <v>120</v>
      </c>
      <c r="H453" s="11">
        <v>115</v>
      </c>
      <c r="I453" s="11">
        <v>120</v>
      </c>
      <c r="J453" s="11" t="s">
        <v>198</v>
      </c>
      <c r="K453" s="11">
        <v>120</v>
      </c>
    </row>
    <row r="454" spans="1:11" ht="43.2" x14ac:dyDescent="0.3">
      <c r="A454" s="1">
        <v>48</v>
      </c>
      <c r="B454" s="1">
        <v>2024</v>
      </c>
      <c r="C454" s="3">
        <v>45392</v>
      </c>
      <c r="D454" s="4" t="s">
        <v>38</v>
      </c>
      <c r="E454" s="5" t="s">
        <v>39</v>
      </c>
      <c r="F454" s="5" t="s">
        <v>40</v>
      </c>
      <c r="G454" s="6"/>
      <c r="H454" s="7">
        <v>80</v>
      </c>
      <c r="I454" s="7">
        <v>100</v>
      </c>
      <c r="J454" s="7">
        <v>90</v>
      </c>
      <c r="K454" s="7">
        <v>90</v>
      </c>
    </row>
    <row r="455" spans="1:11" ht="43.2" x14ac:dyDescent="0.3">
      <c r="A455" s="1">
        <v>48</v>
      </c>
      <c r="B455" s="1">
        <v>2024</v>
      </c>
      <c r="C455" s="3">
        <v>45392</v>
      </c>
      <c r="D455" s="8" t="s">
        <v>38</v>
      </c>
      <c r="E455" s="9" t="s">
        <v>42</v>
      </c>
      <c r="F455" s="9" t="s">
        <v>43</v>
      </c>
      <c r="G455" s="11">
        <v>75</v>
      </c>
      <c r="H455" s="11">
        <v>45</v>
      </c>
      <c r="I455" s="11">
        <v>80</v>
      </c>
      <c r="J455" s="11" t="s">
        <v>199</v>
      </c>
      <c r="K455" s="11" t="s">
        <v>200</v>
      </c>
    </row>
    <row r="456" spans="1:11" ht="43.2" x14ac:dyDescent="0.3">
      <c r="A456" s="1">
        <v>48</v>
      </c>
      <c r="B456" s="1">
        <v>2024</v>
      </c>
      <c r="C456" s="3">
        <v>45392</v>
      </c>
      <c r="D456" s="4" t="s">
        <v>38</v>
      </c>
      <c r="E456" s="5" t="s">
        <v>44</v>
      </c>
      <c r="F456" s="5" t="s">
        <v>45</v>
      </c>
      <c r="G456" s="7">
        <v>50</v>
      </c>
      <c r="H456" s="7">
        <v>35</v>
      </c>
      <c r="I456" s="7">
        <v>50</v>
      </c>
      <c r="J456" s="7" t="s">
        <v>98</v>
      </c>
      <c r="K456" s="7" t="s">
        <v>47</v>
      </c>
    </row>
    <row r="457" spans="1:11" ht="43.2" x14ac:dyDescent="0.3">
      <c r="A457" s="1">
        <v>48</v>
      </c>
      <c r="B457" s="1">
        <v>2024</v>
      </c>
      <c r="C457" s="3">
        <v>45392</v>
      </c>
      <c r="D457" s="8" t="s">
        <v>38</v>
      </c>
      <c r="E457" s="9" t="s">
        <v>48</v>
      </c>
      <c r="F457" s="9" t="s">
        <v>45</v>
      </c>
      <c r="G457" s="10"/>
      <c r="H457" s="11">
        <v>65</v>
      </c>
      <c r="I457" s="11">
        <v>65</v>
      </c>
      <c r="J457" s="11">
        <v>65</v>
      </c>
      <c r="K457" s="11">
        <v>65</v>
      </c>
    </row>
    <row r="458" spans="1:11" ht="43.2" x14ac:dyDescent="0.3">
      <c r="A458" s="1">
        <v>48</v>
      </c>
      <c r="B458" s="1">
        <v>2024</v>
      </c>
      <c r="C458" s="3">
        <v>45392</v>
      </c>
      <c r="D458" s="4" t="s">
        <v>38</v>
      </c>
      <c r="E458" s="5" t="s">
        <v>49</v>
      </c>
      <c r="F458" s="5" t="s">
        <v>50</v>
      </c>
      <c r="G458" s="7">
        <v>130</v>
      </c>
      <c r="H458" s="7">
        <v>100</v>
      </c>
      <c r="I458" s="7">
        <v>130</v>
      </c>
      <c r="J458" s="7" t="s">
        <v>201</v>
      </c>
      <c r="K458" s="7">
        <v>115</v>
      </c>
    </row>
    <row r="459" spans="1:11" ht="43.2" x14ac:dyDescent="0.3">
      <c r="A459" s="1">
        <v>48</v>
      </c>
      <c r="B459" s="1">
        <v>2024</v>
      </c>
      <c r="C459" s="3">
        <v>45392</v>
      </c>
      <c r="D459" s="8" t="s">
        <v>38</v>
      </c>
      <c r="E459" s="9" t="s">
        <v>52</v>
      </c>
      <c r="F459" s="9" t="s">
        <v>43</v>
      </c>
      <c r="G459" s="11">
        <v>90</v>
      </c>
      <c r="H459" s="11">
        <v>90</v>
      </c>
      <c r="I459" s="11">
        <v>150</v>
      </c>
      <c r="J459" s="11">
        <v>122</v>
      </c>
      <c r="K459" s="11">
        <v>140</v>
      </c>
    </row>
    <row r="460" spans="1:11" ht="43.2" x14ac:dyDescent="0.3">
      <c r="A460" s="1">
        <v>48</v>
      </c>
      <c r="B460" s="1">
        <v>2024</v>
      </c>
      <c r="C460" s="3">
        <v>45392</v>
      </c>
      <c r="D460" s="4" t="s">
        <v>38</v>
      </c>
      <c r="E460" s="5" t="s">
        <v>53</v>
      </c>
      <c r="F460" s="5" t="s">
        <v>43</v>
      </c>
      <c r="G460" s="7">
        <v>60</v>
      </c>
      <c r="H460" s="7">
        <v>50</v>
      </c>
      <c r="I460" s="7">
        <v>60</v>
      </c>
      <c r="J460" s="7" t="s">
        <v>202</v>
      </c>
      <c r="K460" s="7">
        <v>59</v>
      </c>
    </row>
    <row r="461" spans="1:11" ht="43.2" x14ac:dyDescent="0.3">
      <c r="A461" s="1">
        <v>48</v>
      </c>
      <c r="B461" s="1">
        <v>2024</v>
      </c>
      <c r="C461" s="3">
        <v>45392</v>
      </c>
      <c r="D461" s="8" t="s">
        <v>38</v>
      </c>
      <c r="E461" s="9" t="s">
        <v>54</v>
      </c>
      <c r="F461" s="9" t="s">
        <v>40</v>
      </c>
      <c r="G461" s="11">
        <v>100</v>
      </c>
      <c r="H461" s="11">
        <v>100</v>
      </c>
      <c r="I461" s="11">
        <v>110</v>
      </c>
      <c r="J461" s="11" t="s">
        <v>114</v>
      </c>
      <c r="K461" s="11">
        <v>100</v>
      </c>
    </row>
    <row r="462" spans="1:11" ht="43.2" x14ac:dyDescent="0.3">
      <c r="A462" s="1">
        <v>48</v>
      </c>
      <c r="B462" s="1">
        <v>2024</v>
      </c>
      <c r="C462" s="3">
        <v>45392</v>
      </c>
      <c r="D462" s="4" t="s">
        <v>38</v>
      </c>
      <c r="E462" s="5" t="s">
        <v>56</v>
      </c>
      <c r="F462" s="5" t="s">
        <v>43</v>
      </c>
      <c r="G462" s="6"/>
      <c r="H462" s="7">
        <v>50</v>
      </c>
      <c r="I462" s="7">
        <v>78</v>
      </c>
      <c r="J462" s="7">
        <v>64</v>
      </c>
      <c r="K462" s="7">
        <v>64</v>
      </c>
    </row>
    <row r="463" spans="1:11" ht="43.2" x14ac:dyDescent="0.3">
      <c r="A463" s="1">
        <v>48</v>
      </c>
      <c r="B463" s="1">
        <v>2024</v>
      </c>
      <c r="C463" s="3">
        <v>45392</v>
      </c>
      <c r="D463" s="8" t="s">
        <v>38</v>
      </c>
      <c r="E463" s="9" t="s">
        <v>57</v>
      </c>
      <c r="F463" s="9" t="s">
        <v>40</v>
      </c>
      <c r="G463" s="11">
        <v>70</v>
      </c>
      <c r="H463" s="11">
        <v>70</v>
      </c>
      <c r="I463" s="11">
        <v>85</v>
      </c>
      <c r="J463" s="11">
        <v>75</v>
      </c>
      <c r="K463" s="11" t="s">
        <v>200</v>
      </c>
    </row>
    <row r="464" spans="1:11" ht="43.2" x14ac:dyDescent="0.3">
      <c r="A464" s="1">
        <v>48</v>
      </c>
      <c r="B464" s="1">
        <v>2024</v>
      </c>
      <c r="C464" s="3">
        <v>45392</v>
      </c>
      <c r="D464" s="4" t="s">
        <v>38</v>
      </c>
      <c r="E464" s="5" t="s">
        <v>58</v>
      </c>
      <c r="F464" s="5" t="s">
        <v>40</v>
      </c>
      <c r="G464" s="7">
        <v>100</v>
      </c>
      <c r="H464" s="7">
        <v>90</v>
      </c>
      <c r="I464" s="7">
        <v>110</v>
      </c>
      <c r="J464" s="7" t="s">
        <v>203</v>
      </c>
      <c r="K464" s="7">
        <v>100</v>
      </c>
    </row>
    <row r="465" spans="1:11" ht="43.2" x14ac:dyDescent="0.3">
      <c r="A465" s="1">
        <v>48</v>
      </c>
      <c r="B465" s="1">
        <v>2024</v>
      </c>
      <c r="C465" s="3">
        <v>45392</v>
      </c>
      <c r="D465" s="8" t="s">
        <v>38</v>
      </c>
      <c r="E465" s="9" t="s">
        <v>59</v>
      </c>
      <c r="F465" s="9" t="s">
        <v>45</v>
      </c>
      <c r="G465" s="11">
        <v>70</v>
      </c>
      <c r="H465" s="11">
        <v>60</v>
      </c>
      <c r="I465" s="11">
        <v>90</v>
      </c>
      <c r="J465" s="11">
        <v>74</v>
      </c>
      <c r="K465" s="11">
        <v>70</v>
      </c>
    </row>
    <row r="466" spans="1:11" ht="43.2" x14ac:dyDescent="0.3">
      <c r="A466" s="1">
        <v>48</v>
      </c>
      <c r="B466" s="1">
        <v>2024</v>
      </c>
      <c r="C466" s="3">
        <v>45392</v>
      </c>
      <c r="D466" s="4" t="s">
        <v>38</v>
      </c>
      <c r="E466" s="5" t="s">
        <v>60</v>
      </c>
      <c r="F466" s="5" t="s">
        <v>61</v>
      </c>
      <c r="G466" s="7">
        <v>120</v>
      </c>
      <c r="H466" s="7">
        <v>100</v>
      </c>
      <c r="I466" s="7">
        <v>130</v>
      </c>
      <c r="J466" s="7" t="s">
        <v>140</v>
      </c>
      <c r="K466" s="7">
        <v>120</v>
      </c>
    </row>
    <row r="467" spans="1:11" ht="43.2" x14ac:dyDescent="0.3">
      <c r="A467" s="1">
        <v>48</v>
      </c>
      <c r="B467" s="1">
        <v>2024</v>
      </c>
      <c r="C467" s="3">
        <v>45392</v>
      </c>
      <c r="D467" s="8" t="s">
        <v>38</v>
      </c>
      <c r="E467" s="9" t="s">
        <v>63</v>
      </c>
      <c r="F467" s="9" t="s">
        <v>40</v>
      </c>
      <c r="G467" s="11">
        <v>150</v>
      </c>
      <c r="H467" s="11">
        <v>100</v>
      </c>
      <c r="I467" s="11">
        <v>190</v>
      </c>
      <c r="J467" s="11">
        <v>150</v>
      </c>
      <c r="K467" s="11">
        <v>150</v>
      </c>
    </row>
    <row r="468" spans="1:11" ht="43.2" x14ac:dyDescent="0.3">
      <c r="A468" s="1">
        <v>48</v>
      </c>
      <c r="B468" s="1">
        <v>2024</v>
      </c>
      <c r="C468" s="3">
        <v>45392</v>
      </c>
      <c r="D468" s="4" t="s">
        <v>38</v>
      </c>
      <c r="E468" s="5" t="s">
        <v>64</v>
      </c>
      <c r="F468" s="5" t="s">
        <v>40</v>
      </c>
      <c r="G468" s="7">
        <v>180</v>
      </c>
      <c r="H468" s="7">
        <v>160</v>
      </c>
      <c r="I468" s="7">
        <v>180</v>
      </c>
      <c r="J468" s="7" t="s">
        <v>204</v>
      </c>
      <c r="K468" s="7">
        <v>175</v>
      </c>
    </row>
    <row r="469" spans="1:11" x14ac:dyDescent="0.3">
      <c r="A469" s="1">
        <v>48</v>
      </c>
      <c r="B469" s="1">
        <v>2024</v>
      </c>
      <c r="C469" s="3">
        <v>45392</v>
      </c>
      <c r="D469" s="8" t="s">
        <v>65</v>
      </c>
      <c r="E469" s="9" t="s">
        <v>66</v>
      </c>
      <c r="F469" s="9" t="s">
        <v>45</v>
      </c>
      <c r="G469" s="10"/>
      <c r="H469" s="11">
        <v>130</v>
      </c>
      <c r="I469" s="11">
        <v>130</v>
      </c>
      <c r="J469" s="11">
        <v>130</v>
      </c>
      <c r="K469" s="11">
        <v>130</v>
      </c>
    </row>
    <row r="470" spans="1:11" x14ac:dyDescent="0.3">
      <c r="A470" s="1">
        <v>48</v>
      </c>
      <c r="B470" s="1">
        <v>2024</v>
      </c>
      <c r="C470" s="3">
        <v>45392</v>
      </c>
      <c r="D470" s="4" t="s">
        <v>65</v>
      </c>
      <c r="E470" s="5" t="s">
        <v>67</v>
      </c>
      <c r="F470" s="5" t="s">
        <v>45</v>
      </c>
      <c r="G470" s="6"/>
      <c r="H470" s="7">
        <v>60</v>
      </c>
      <c r="I470" s="7">
        <v>75</v>
      </c>
      <c r="J470" s="7" t="s">
        <v>84</v>
      </c>
      <c r="K470" s="7" t="s">
        <v>84</v>
      </c>
    </row>
    <row r="471" spans="1:11" x14ac:dyDescent="0.3">
      <c r="A471" s="1">
        <v>48</v>
      </c>
      <c r="B471" s="1">
        <v>2024</v>
      </c>
      <c r="C471" s="3">
        <v>45392</v>
      </c>
      <c r="D471" s="8" t="s">
        <v>65</v>
      </c>
      <c r="E471" s="9" t="s">
        <v>68</v>
      </c>
      <c r="F471" s="9" t="s">
        <v>45</v>
      </c>
      <c r="G471" s="10"/>
      <c r="H471" s="11">
        <v>40</v>
      </c>
      <c r="I471" s="11">
        <v>45</v>
      </c>
      <c r="J471" s="11" t="s">
        <v>47</v>
      </c>
      <c r="K471" s="11" t="s">
        <v>47</v>
      </c>
    </row>
    <row r="472" spans="1:11" x14ac:dyDescent="0.3">
      <c r="A472" s="1">
        <v>48</v>
      </c>
      <c r="B472" s="1">
        <v>2024</v>
      </c>
      <c r="C472" s="3">
        <v>45392</v>
      </c>
      <c r="D472" s="4" t="s">
        <v>65</v>
      </c>
      <c r="E472" s="5" t="s">
        <v>69</v>
      </c>
      <c r="F472" s="5" t="s">
        <v>45</v>
      </c>
      <c r="G472" s="6"/>
      <c r="H472" s="7">
        <v>48</v>
      </c>
      <c r="I472" s="7">
        <v>48</v>
      </c>
      <c r="J472" s="7">
        <v>48</v>
      </c>
      <c r="K472" s="7">
        <v>48</v>
      </c>
    </row>
    <row r="473" spans="1:11" x14ac:dyDescent="0.3">
      <c r="A473" s="1">
        <v>48</v>
      </c>
      <c r="B473" s="1">
        <v>2024</v>
      </c>
      <c r="C473" s="3">
        <v>45392</v>
      </c>
      <c r="D473" s="8" t="s">
        <v>65</v>
      </c>
      <c r="E473" s="9" t="s">
        <v>70</v>
      </c>
      <c r="F473" s="9" t="s">
        <v>71</v>
      </c>
      <c r="G473" s="10"/>
      <c r="H473" s="11">
        <v>75</v>
      </c>
      <c r="I473" s="11">
        <v>75</v>
      </c>
      <c r="J473" s="11">
        <v>75</v>
      </c>
      <c r="K473" s="11">
        <v>75</v>
      </c>
    </row>
    <row r="474" spans="1:11" ht="28.8" x14ac:dyDescent="0.3">
      <c r="A474" s="1">
        <v>49</v>
      </c>
      <c r="B474" s="1">
        <v>2024</v>
      </c>
      <c r="C474" s="3">
        <v>45399</v>
      </c>
      <c r="D474" s="4" t="s">
        <v>11</v>
      </c>
      <c r="E474" s="5" t="s">
        <v>12</v>
      </c>
      <c r="F474" s="5" t="s">
        <v>13</v>
      </c>
      <c r="G474" s="7">
        <v>60</v>
      </c>
      <c r="H474" s="7">
        <v>28</v>
      </c>
      <c r="I474" s="7">
        <v>60</v>
      </c>
      <c r="J474" s="7" t="s">
        <v>205</v>
      </c>
      <c r="K474" s="7">
        <v>60</v>
      </c>
    </row>
    <row r="475" spans="1:11" ht="28.8" x14ac:dyDescent="0.3">
      <c r="A475" s="1">
        <v>49</v>
      </c>
      <c r="B475" s="1">
        <v>2024</v>
      </c>
      <c r="C475" s="3">
        <v>45399</v>
      </c>
      <c r="D475" s="8" t="s">
        <v>11</v>
      </c>
      <c r="E475" s="9" t="s">
        <v>14</v>
      </c>
      <c r="F475" s="9" t="s">
        <v>13</v>
      </c>
      <c r="G475" s="10"/>
      <c r="H475" s="11">
        <v>72</v>
      </c>
      <c r="I475" s="11">
        <v>84</v>
      </c>
      <c r="J475" s="11" t="s">
        <v>206</v>
      </c>
      <c r="K475" s="11">
        <v>80</v>
      </c>
    </row>
    <row r="476" spans="1:11" ht="28.8" x14ac:dyDescent="0.3">
      <c r="A476" s="1">
        <v>49</v>
      </c>
      <c r="B476" s="1">
        <v>2024</v>
      </c>
      <c r="C476" s="3">
        <v>45399</v>
      </c>
      <c r="D476" s="4" t="s">
        <v>11</v>
      </c>
      <c r="E476" s="5" t="s">
        <v>15</v>
      </c>
      <c r="F476" s="5" t="s">
        <v>13</v>
      </c>
      <c r="G476" s="6"/>
      <c r="H476" s="7">
        <v>42</v>
      </c>
      <c r="I476" s="7">
        <v>60</v>
      </c>
      <c r="J476" s="7">
        <v>50</v>
      </c>
      <c r="K476" s="7">
        <v>48</v>
      </c>
    </row>
    <row r="477" spans="1:11" ht="28.8" x14ac:dyDescent="0.3">
      <c r="A477" s="1">
        <v>49</v>
      </c>
      <c r="B477" s="1">
        <v>2024</v>
      </c>
      <c r="C477" s="3">
        <v>45399</v>
      </c>
      <c r="D477" s="8" t="s">
        <v>11</v>
      </c>
      <c r="E477" s="9" t="s">
        <v>16</v>
      </c>
      <c r="F477" s="9" t="s">
        <v>13</v>
      </c>
      <c r="G477" s="11">
        <v>30</v>
      </c>
      <c r="H477" s="11">
        <v>30</v>
      </c>
      <c r="I477" s="11">
        <v>36</v>
      </c>
      <c r="J477" s="11" t="s">
        <v>207</v>
      </c>
      <c r="K477" s="11" t="s">
        <v>107</v>
      </c>
    </row>
    <row r="478" spans="1:11" ht="28.8" x14ac:dyDescent="0.3">
      <c r="A478" s="1">
        <v>49</v>
      </c>
      <c r="B478" s="1">
        <v>2024</v>
      </c>
      <c r="C478" s="3">
        <v>45399</v>
      </c>
      <c r="D478" s="4" t="s">
        <v>11</v>
      </c>
      <c r="E478" s="5" t="s">
        <v>17</v>
      </c>
      <c r="F478" s="5" t="s">
        <v>13</v>
      </c>
      <c r="G478" s="6"/>
      <c r="H478" s="7">
        <v>30</v>
      </c>
      <c r="I478" s="7">
        <v>36</v>
      </c>
      <c r="J478" s="7" t="s">
        <v>208</v>
      </c>
      <c r="K478" s="7">
        <v>35</v>
      </c>
    </row>
    <row r="479" spans="1:11" ht="28.8" x14ac:dyDescent="0.3">
      <c r="A479" s="1">
        <v>49</v>
      </c>
      <c r="B479" s="1">
        <v>2024</v>
      </c>
      <c r="C479" s="3">
        <v>45399</v>
      </c>
      <c r="D479" s="8" t="s">
        <v>11</v>
      </c>
      <c r="E479" s="9" t="s">
        <v>18</v>
      </c>
      <c r="F479" s="9" t="s">
        <v>13</v>
      </c>
      <c r="G479" s="11">
        <v>60</v>
      </c>
      <c r="H479" s="11">
        <v>60</v>
      </c>
      <c r="I479" s="11">
        <v>60</v>
      </c>
      <c r="J479" s="11">
        <v>60</v>
      </c>
      <c r="K479" s="11">
        <v>60</v>
      </c>
    </row>
    <row r="480" spans="1:11" ht="28.8" x14ac:dyDescent="0.3">
      <c r="A480" s="1">
        <v>49</v>
      </c>
      <c r="B480" s="1">
        <v>2024</v>
      </c>
      <c r="C480" s="3">
        <v>45399</v>
      </c>
      <c r="D480" s="4" t="s">
        <v>11</v>
      </c>
      <c r="E480" s="5" t="s">
        <v>19</v>
      </c>
      <c r="F480" s="5" t="s">
        <v>13</v>
      </c>
      <c r="G480" s="7">
        <v>84</v>
      </c>
      <c r="H480" s="7">
        <v>84</v>
      </c>
      <c r="I480" s="7">
        <v>96</v>
      </c>
      <c r="J480" s="7">
        <v>88</v>
      </c>
      <c r="K480" s="7">
        <v>84</v>
      </c>
    </row>
    <row r="481" spans="1:11" ht="28.8" x14ac:dyDescent="0.3">
      <c r="A481" s="1">
        <v>49</v>
      </c>
      <c r="B481" s="1">
        <v>2024</v>
      </c>
      <c r="C481" s="3">
        <v>45399</v>
      </c>
      <c r="D481" s="8" t="s">
        <v>11</v>
      </c>
      <c r="E481" s="9" t="s">
        <v>20</v>
      </c>
      <c r="F481" s="9" t="s">
        <v>13</v>
      </c>
      <c r="G481" s="11">
        <v>96</v>
      </c>
      <c r="H481" s="11">
        <v>96</v>
      </c>
      <c r="I481" s="11">
        <v>96</v>
      </c>
      <c r="J481" s="11">
        <v>96</v>
      </c>
      <c r="K481" s="11">
        <v>96</v>
      </c>
    </row>
    <row r="482" spans="1:11" ht="28.8" x14ac:dyDescent="0.3">
      <c r="A482" s="1">
        <v>49</v>
      </c>
      <c r="B482" s="1">
        <v>2024</v>
      </c>
      <c r="C482" s="3">
        <v>45399</v>
      </c>
      <c r="D482" s="4" t="s">
        <v>11</v>
      </c>
      <c r="E482" s="5" t="s">
        <v>21</v>
      </c>
      <c r="F482" s="5" t="s">
        <v>13</v>
      </c>
      <c r="G482" s="7">
        <v>30</v>
      </c>
      <c r="H482" s="7">
        <v>30</v>
      </c>
      <c r="I482" s="7">
        <v>36</v>
      </c>
      <c r="J482" s="7" t="s">
        <v>209</v>
      </c>
      <c r="K482" s="7">
        <v>30</v>
      </c>
    </row>
    <row r="483" spans="1:11" ht="28.8" x14ac:dyDescent="0.3">
      <c r="A483" s="1">
        <v>49</v>
      </c>
      <c r="B483" s="1">
        <v>2024</v>
      </c>
      <c r="C483" s="3">
        <v>45399</v>
      </c>
      <c r="D483" s="8" t="s">
        <v>11</v>
      </c>
      <c r="E483" s="9" t="s">
        <v>73</v>
      </c>
      <c r="F483" s="9" t="s">
        <v>13</v>
      </c>
      <c r="G483" s="10"/>
      <c r="H483" s="11">
        <v>90</v>
      </c>
      <c r="I483" s="11">
        <v>108</v>
      </c>
      <c r="J483" s="11">
        <v>98</v>
      </c>
      <c r="K483" s="11">
        <v>96</v>
      </c>
    </row>
    <row r="484" spans="1:11" ht="28.8" x14ac:dyDescent="0.3">
      <c r="A484" s="1">
        <v>49</v>
      </c>
      <c r="B484" s="1">
        <v>2024</v>
      </c>
      <c r="C484" s="3">
        <v>45399</v>
      </c>
      <c r="D484" s="4" t="s">
        <v>11</v>
      </c>
      <c r="E484" s="5" t="s">
        <v>23</v>
      </c>
      <c r="F484" s="5" t="s">
        <v>13</v>
      </c>
      <c r="G484" s="6"/>
      <c r="H484" s="7">
        <v>30</v>
      </c>
      <c r="I484" s="7">
        <v>36</v>
      </c>
      <c r="J484" s="7" t="s">
        <v>208</v>
      </c>
      <c r="K484" s="7">
        <v>35</v>
      </c>
    </row>
    <row r="485" spans="1:11" ht="28.8" x14ac:dyDescent="0.3">
      <c r="A485" s="1">
        <v>49</v>
      </c>
      <c r="B485" s="1">
        <v>2024</v>
      </c>
      <c r="C485" s="3">
        <v>45399</v>
      </c>
      <c r="D485" s="8" t="s">
        <v>11</v>
      </c>
      <c r="E485" s="9" t="s">
        <v>24</v>
      </c>
      <c r="F485" s="9" t="s">
        <v>13</v>
      </c>
      <c r="G485" s="11">
        <v>84</v>
      </c>
      <c r="H485" s="11">
        <v>84</v>
      </c>
      <c r="I485" s="11">
        <v>84</v>
      </c>
      <c r="J485" s="11">
        <v>84</v>
      </c>
      <c r="K485" s="11">
        <v>84</v>
      </c>
    </row>
    <row r="486" spans="1:11" ht="28.8" x14ac:dyDescent="0.3">
      <c r="A486" s="1">
        <v>49</v>
      </c>
      <c r="B486" s="1">
        <v>2024</v>
      </c>
      <c r="C486" s="3">
        <v>45399</v>
      </c>
      <c r="D486" s="4" t="s">
        <v>11</v>
      </c>
      <c r="E486" s="5" t="s">
        <v>25</v>
      </c>
      <c r="F486" s="5" t="s">
        <v>26</v>
      </c>
      <c r="G486" s="6"/>
      <c r="H486" s="7">
        <v>60</v>
      </c>
      <c r="I486" s="7">
        <v>72</v>
      </c>
      <c r="J486" s="7" t="s">
        <v>83</v>
      </c>
      <c r="K486" s="7">
        <v>62</v>
      </c>
    </row>
    <row r="487" spans="1:11" ht="28.8" x14ac:dyDescent="0.3">
      <c r="A487" s="1">
        <v>49</v>
      </c>
      <c r="B487" s="1">
        <v>2024</v>
      </c>
      <c r="C487" s="3">
        <v>45399</v>
      </c>
      <c r="D487" s="8" t="s">
        <v>11</v>
      </c>
      <c r="E487" s="9" t="s">
        <v>27</v>
      </c>
      <c r="F487" s="9" t="s">
        <v>13</v>
      </c>
      <c r="G487" s="10"/>
      <c r="H487" s="11">
        <v>60</v>
      </c>
      <c r="I487" s="11">
        <v>100</v>
      </c>
      <c r="J487" s="11" t="s">
        <v>158</v>
      </c>
      <c r="K487" s="11">
        <v>70</v>
      </c>
    </row>
    <row r="488" spans="1:11" ht="28.8" x14ac:dyDescent="0.3">
      <c r="A488" s="1">
        <v>49</v>
      </c>
      <c r="B488" s="1">
        <v>2024</v>
      </c>
      <c r="C488" s="3">
        <v>45399</v>
      </c>
      <c r="D488" s="4" t="s">
        <v>11</v>
      </c>
      <c r="E488" s="5" t="s">
        <v>28</v>
      </c>
      <c r="F488" s="5" t="s">
        <v>13</v>
      </c>
      <c r="G488" s="6"/>
      <c r="H488" s="7">
        <v>48</v>
      </c>
      <c r="I488" s="7">
        <v>60</v>
      </c>
      <c r="J488" s="7" t="s">
        <v>210</v>
      </c>
      <c r="K488" s="7">
        <v>55</v>
      </c>
    </row>
    <row r="489" spans="1:11" ht="28.8" x14ac:dyDescent="0.3">
      <c r="A489" s="1">
        <v>49</v>
      </c>
      <c r="B489" s="1">
        <v>2024</v>
      </c>
      <c r="C489" s="3">
        <v>45399</v>
      </c>
      <c r="D489" s="8" t="s">
        <v>11</v>
      </c>
      <c r="E489" s="9" t="s">
        <v>29</v>
      </c>
      <c r="F489" s="9" t="s">
        <v>13</v>
      </c>
      <c r="G489" s="10"/>
      <c r="H489" s="11">
        <v>42</v>
      </c>
      <c r="I489" s="11">
        <v>54</v>
      </c>
      <c r="J489" s="11">
        <v>48</v>
      </c>
      <c r="K489" s="11">
        <v>48</v>
      </c>
    </row>
    <row r="490" spans="1:11" ht="28.8" x14ac:dyDescent="0.3">
      <c r="A490" s="1">
        <v>49</v>
      </c>
      <c r="B490" s="1">
        <v>2024</v>
      </c>
      <c r="C490" s="3">
        <v>45399</v>
      </c>
      <c r="D490" s="4" t="s">
        <v>30</v>
      </c>
      <c r="E490" s="5" t="s">
        <v>31</v>
      </c>
      <c r="F490" s="5" t="s">
        <v>32</v>
      </c>
      <c r="G490" s="7">
        <v>6</v>
      </c>
      <c r="H490" s="7" t="s">
        <v>97</v>
      </c>
      <c r="I490" s="7">
        <v>6</v>
      </c>
      <c r="J490" s="7" t="s">
        <v>211</v>
      </c>
      <c r="K490" s="7" t="s">
        <v>212</v>
      </c>
    </row>
    <row r="491" spans="1:11" ht="28.8" x14ac:dyDescent="0.3">
      <c r="A491" s="1">
        <v>49</v>
      </c>
      <c r="B491" s="1">
        <v>2024</v>
      </c>
      <c r="C491" s="3">
        <v>45399</v>
      </c>
      <c r="D491" s="8" t="s">
        <v>30</v>
      </c>
      <c r="E491" s="9" t="s">
        <v>34</v>
      </c>
      <c r="F491" s="9" t="s">
        <v>35</v>
      </c>
      <c r="G491" s="11">
        <v>30</v>
      </c>
      <c r="H491" s="11">
        <v>20</v>
      </c>
      <c r="I491" s="11">
        <v>30</v>
      </c>
      <c r="J491" s="11">
        <v>27</v>
      </c>
      <c r="K491" s="11">
        <v>29</v>
      </c>
    </row>
    <row r="492" spans="1:11" ht="28.8" x14ac:dyDescent="0.3">
      <c r="A492" s="1">
        <v>49</v>
      </c>
      <c r="B492" s="1">
        <v>2024</v>
      </c>
      <c r="C492" s="3">
        <v>45399</v>
      </c>
      <c r="D492" s="4" t="s">
        <v>30</v>
      </c>
      <c r="E492" s="5" t="s">
        <v>36</v>
      </c>
      <c r="F492" s="5" t="s">
        <v>35</v>
      </c>
      <c r="G492" s="7">
        <v>30</v>
      </c>
      <c r="H492" s="7">
        <v>30</v>
      </c>
      <c r="I492" s="7">
        <v>40</v>
      </c>
      <c r="J492" s="7" t="s">
        <v>213</v>
      </c>
      <c r="K492" s="7" t="s">
        <v>107</v>
      </c>
    </row>
    <row r="493" spans="1:11" ht="43.2" x14ac:dyDescent="0.3">
      <c r="A493" s="1">
        <v>49</v>
      </c>
      <c r="B493" s="1">
        <v>2024</v>
      </c>
      <c r="C493" s="3">
        <v>45399</v>
      </c>
      <c r="D493" s="8" t="s">
        <v>38</v>
      </c>
      <c r="E493" s="9" t="s">
        <v>153</v>
      </c>
      <c r="F493" s="9" t="s">
        <v>154</v>
      </c>
      <c r="G493" s="11">
        <v>110</v>
      </c>
      <c r="H493" s="11">
        <v>110</v>
      </c>
      <c r="I493" s="11">
        <v>120</v>
      </c>
      <c r="J493" s="11" t="s">
        <v>214</v>
      </c>
      <c r="K493" s="11">
        <v>110</v>
      </c>
    </row>
    <row r="494" spans="1:11" ht="43.2" x14ac:dyDescent="0.3">
      <c r="A494" s="1">
        <v>49</v>
      </c>
      <c r="B494" s="1">
        <v>2024</v>
      </c>
      <c r="C494" s="3">
        <v>45399</v>
      </c>
      <c r="D494" s="4" t="s">
        <v>38</v>
      </c>
      <c r="E494" s="5" t="s">
        <v>39</v>
      </c>
      <c r="F494" s="5" t="s">
        <v>40</v>
      </c>
      <c r="G494" s="6"/>
      <c r="H494" s="7">
        <v>60</v>
      </c>
      <c r="I494" s="7">
        <v>80</v>
      </c>
      <c r="J494" s="7" t="s">
        <v>94</v>
      </c>
      <c r="K494" s="7" t="s">
        <v>84</v>
      </c>
    </row>
    <row r="495" spans="1:11" ht="43.2" x14ac:dyDescent="0.3">
      <c r="A495" s="1">
        <v>49</v>
      </c>
      <c r="B495" s="1">
        <v>2024</v>
      </c>
      <c r="C495" s="3">
        <v>45399</v>
      </c>
      <c r="D495" s="8" t="s">
        <v>38</v>
      </c>
      <c r="E495" s="9" t="s">
        <v>42</v>
      </c>
      <c r="F495" s="9" t="s">
        <v>43</v>
      </c>
      <c r="G495" s="11">
        <v>75</v>
      </c>
      <c r="H495" s="11">
        <v>50</v>
      </c>
      <c r="I495" s="11">
        <v>75</v>
      </c>
      <c r="J495" s="11">
        <v>69</v>
      </c>
      <c r="K495" s="11">
        <v>75</v>
      </c>
    </row>
    <row r="496" spans="1:11" ht="43.2" x14ac:dyDescent="0.3">
      <c r="A496" s="1">
        <v>49</v>
      </c>
      <c r="B496" s="1">
        <v>2024</v>
      </c>
      <c r="C496" s="3">
        <v>45399</v>
      </c>
      <c r="D496" s="4" t="s">
        <v>38</v>
      </c>
      <c r="E496" s="5" t="s">
        <v>44</v>
      </c>
      <c r="F496" s="5" t="s">
        <v>45</v>
      </c>
      <c r="G496" s="7">
        <v>45</v>
      </c>
      <c r="H496" s="7">
        <v>30</v>
      </c>
      <c r="I496" s="7">
        <v>50</v>
      </c>
      <c r="J496" s="7">
        <v>44</v>
      </c>
      <c r="K496" s="7">
        <v>45</v>
      </c>
    </row>
    <row r="497" spans="1:11" ht="43.2" x14ac:dyDescent="0.3">
      <c r="A497" s="1">
        <v>49</v>
      </c>
      <c r="B497" s="1">
        <v>2024</v>
      </c>
      <c r="C497" s="3">
        <v>45399</v>
      </c>
      <c r="D497" s="8" t="s">
        <v>38</v>
      </c>
      <c r="E497" s="9" t="s">
        <v>48</v>
      </c>
      <c r="F497" s="9" t="s">
        <v>45</v>
      </c>
      <c r="G497" s="10"/>
      <c r="H497" s="11">
        <v>110</v>
      </c>
      <c r="I497" s="11">
        <v>110</v>
      </c>
      <c r="J497" s="11">
        <v>110</v>
      </c>
      <c r="K497" s="11">
        <v>110</v>
      </c>
    </row>
    <row r="498" spans="1:11" ht="43.2" x14ac:dyDescent="0.3">
      <c r="A498" s="1">
        <v>49</v>
      </c>
      <c r="B498" s="1">
        <v>2024</v>
      </c>
      <c r="C498" s="3">
        <v>45399</v>
      </c>
      <c r="D498" s="4" t="s">
        <v>38</v>
      </c>
      <c r="E498" s="5" t="s">
        <v>49</v>
      </c>
      <c r="F498" s="5" t="s">
        <v>50</v>
      </c>
      <c r="G498" s="7">
        <v>130</v>
      </c>
      <c r="H498" s="7">
        <v>80</v>
      </c>
      <c r="I498" s="7">
        <v>150</v>
      </c>
      <c r="J498" s="7" t="s">
        <v>167</v>
      </c>
      <c r="K498" s="7">
        <v>130</v>
      </c>
    </row>
    <row r="499" spans="1:11" ht="43.2" x14ac:dyDescent="0.3">
      <c r="A499" s="1">
        <v>49</v>
      </c>
      <c r="B499" s="1">
        <v>2024</v>
      </c>
      <c r="C499" s="3">
        <v>45399</v>
      </c>
      <c r="D499" s="8" t="s">
        <v>38</v>
      </c>
      <c r="E499" s="9" t="s">
        <v>52</v>
      </c>
      <c r="F499" s="9" t="s">
        <v>43</v>
      </c>
      <c r="G499" s="11">
        <v>140</v>
      </c>
      <c r="H499" s="11">
        <v>80</v>
      </c>
      <c r="I499" s="11">
        <v>170</v>
      </c>
      <c r="J499" s="11">
        <v>138</v>
      </c>
      <c r="K499" s="11">
        <v>140</v>
      </c>
    </row>
    <row r="500" spans="1:11" ht="43.2" x14ac:dyDescent="0.3">
      <c r="A500" s="1">
        <v>49</v>
      </c>
      <c r="B500" s="1">
        <v>2024</v>
      </c>
      <c r="C500" s="3">
        <v>45399</v>
      </c>
      <c r="D500" s="4" t="s">
        <v>38</v>
      </c>
      <c r="E500" s="5" t="s">
        <v>53</v>
      </c>
      <c r="F500" s="5" t="s">
        <v>43</v>
      </c>
      <c r="G500" s="7">
        <v>60</v>
      </c>
      <c r="H500" s="7">
        <v>50</v>
      </c>
      <c r="I500" s="7">
        <v>70</v>
      </c>
      <c r="J500" s="7">
        <v>59</v>
      </c>
      <c r="K500" s="7">
        <v>60</v>
      </c>
    </row>
    <row r="501" spans="1:11" ht="43.2" x14ac:dyDescent="0.3">
      <c r="A501" s="1">
        <v>49</v>
      </c>
      <c r="B501" s="1">
        <v>2024</v>
      </c>
      <c r="C501" s="3">
        <v>45399</v>
      </c>
      <c r="D501" s="8" t="s">
        <v>38</v>
      </c>
      <c r="E501" s="9" t="s">
        <v>54</v>
      </c>
      <c r="F501" s="9" t="s">
        <v>40</v>
      </c>
      <c r="G501" s="10"/>
      <c r="H501" s="11">
        <v>80</v>
      </c>
      <c r="I501" s="11">
        <v>120</v>
      </c>
      <c r="J501" s="11" t="s">
        <v>184</v>
      </c>
      <c r="K501" s="11">
        <v>90</v>
      </c>
    </row>
    <row r="502" spans="1:11" ht="43.2" x14ac:dyDescent="0.3">
      <c r="A502" s="1">
        <v>49</v>
      </c>
      <c r="B502" s="1">
        <v>2024</v>
      </c>
      <c r="C502" s="3">
        <v>45399</v>
      </c>
      <c r="D502" s="4" t="s">
        <v>38</v>
      </c>
      <c r="E502" s="5" t="s">
        <v>56</v>
      </c>
      <c r="F502" s="5" t="s">
        <v>43</v>
      </c>
      <c r="G502" s="6"/>
      <c r="H502" s="6"/>
      <c r="I502" s="6"/>
      <c r="J502" s="6"/>
      <c r="K502" s="6"/>
    </row>
    <row r="503" spans="1:11" ht="43.2" x14ac:dyDescent="0.3">
      <c r="A503" s="1">
        <v>49</v>
      </c>
      <c r="B503" s="1">
        <v>2024</v>
      </c>
      <c r="C503" s="3">
        <v>45399</v>
      </c>
      <c r="D503" s="8" t="s">
        <v>38</v>
      </c>
      <c r="E503" s="9" t="s">
        <v>57</v>
      </c>
      <c r="F503" s="9" t="s">
        <v>40</v>
      </c>
      <c r="G503" s="11">
        <v>70</v>
      </c>
      <c r="H503" s="11">
        <v>60</v>
      </c>
      <c r="I503" s="11">
        <v>80</v>
      </c>
      <c r="J503" s="11">
        <v>70</v>
      </c>
      <c r="K503" s="11">
        <v>70</v>
      </c>
    </row>
    <row r="504" spans="1:11" ht="43.2" x14ac:dyDescent="0.3">
      <c r="A504" s="1">
        <v>49</v>
      </c>
      <c r="B504" s="1">
        <v>2024</v>
      </c>
      <c r="C504" s="3">
        <v>45399</v>
      </c>
      <c r="D504" s="4" t="s">
        <v>38</v>
      </c>
      <c r="E504" s="5" t="s">
        <v>58</v>
      </c>
      <c r="F504" s="5" t="s">
        <v>40</v>
      </c>
      <c r="G504" s="7">
        <v>90</v>
      </c>
      <c r="H504" s="7">
        <v>80</v>
      </c>
      <c r="I504" s="7">
        <v>100</v>
      </c>
      <c r="J504" s="7">
        <v>89</v>
      </c>
      <c r="K504" s="7">
        <v>90</v>
      </c>
    </row>
    <row r="505" spans="1:11" ht="43.2" x14ac:dyDescent="0.3">
      <c r="A505" s="1">
        <v>49</v>
      </c>
      <c r="B505" s="1">
        <v>2024</v>
      </c>
      <c r="C505" s="3">
        <v>45399</v>
      </c>
      <c r="D505" s="8" t="s">
        <v>38</v>
      </c>
      <c r="E505" s="9" t="s">
        <v>59</v>
      </c>
      <c r="F505" s="9" t="s">
        <v>45</v>
      </c>
      <c r="G505" s="11">
        <v>70</v>
      </c>
      <c r="H505" s="11">
        <v>45</v>
      </c>
      <c r="I505" s="11">
        <v>100</v>
      </c>
      <c r="J505" s="11" t="s">
        <v>215</v>
      </c>
      <c r="K505" s="11">
        <v>70</v>
      </c>
    </row>
    <row r="506" spans="1:11" ht="43.2" x14ac:dyDescent="0.3">
      <c r="A506" s="1">
        <v>49</v>
      </c>
      <c r="B506" s="1">
        <v>2024</v>
      </c>
      <c r="C506" s="3">
        <v>45399</v>
      </c>
      <c r="D506" s="4" t="s">
        <v>38</v>
      </c>
      <c r="E506" s="5" t="s">
        <v>60</v>
      </c>
      <c r="F506" s="5" t="s">
        <v>61</v>
      </c>
      <c r="G506" s="7">
        <v>120</v>
      </c>
      <c r="H506" s="7">
        <v>100</v>
      </c>
      <c r="I506" s="7">
        <v>120</v>
      </c>
      <c r="J506" s="7">
        <v>112</v>
      </c>
      <c r="K506" s="7">
        <v>120</v>
      </c>
    </row>
    <row r="507" spans="1:11" ht="43.2" x14ac:dyDescent="0.3">
      <c r="A507" s="1">
        <v>49</v>
      </c>
      <c r="B507" s="1">
        <v>2024</v>
      </c>
      <c r="C507" s="3">
        <v>45399</v>
      </c>
      <c r="D507" s="8" t="s">
        <v>38</v>
      </c>
      <c r="E507" s="9" t="s">
        <v>63</v>
      </c>
      <c r="F507" s="9" t="s">
        <v>40</v>
      </c>
      <c r="G507" s="10"/>
      <c r="H507" s="11">
        <v>65</v>
      </c>
      <c r="I507" s="11">
        <v>130</v>
      </c>
      <c r="J507" s="11" t="s">
        <v>216</v>
      </c>
      <c r="K507" s="11">
        <v>85</v>
      </c>
    </row>
    <row r="508" spans="1:11" ht="43.2" x14ac:dyDescent="0.3">
      <c r="A508" s="1">
        <v>49</v>
      </c>
      <c r="B508" s="1">
        <v>2024</v>
      </c>
      <c r="C508" s="3">
        <v>45399</v>
      </c>
      <c r="D508" s="4" t="s">
        <v>38</v>
      </c>
      <c r="E508" s="5" t="s">
        <v>64</v>
      </c>
      <c r="F508" s="5" t="s">
        <v>40</v>
      </c>
      <c r="G508" s="7">
        <v>130</v>
      </c>
      <c r="H508" s="7">
        <v>130</v>
      </c>
      <c r="I508" s="7">
        <v>150</v>
      </c>
      <c r="J508" s="7" t="s">
        <v>171</v>
      </c>
      <c r="K508" s="7">
        <v>130</v>
      </c>
    </row>
    <row r="509" spans="1:11" x14ac:dyDescent="0.3">
      <c r="A509" s="1">
        <v>49</v>
      </c>
      <c r="B509" s="1">
        <v>2024</v>
      </c>
      <c r="C509" s="3">
        <v>45399</v>
      </c>
      <c r="D509" s="8" t="s">
        <v>65</v>
      </c>
      <c r="E509" s="9" t="s">
        <v>66</v>
      </c>
      <c r="F509" s="9" t="s">
        <v>45</v>
      </c>
      <c r="G509" s="10"/>
      <c r="H509" s="11">
        <v>65</v>
      </c>
      <c r="I509" s="11">
        <v>65</v>
      </c>
      <c r="J509" s="11">
        <v>65</v>
      </c>
      <c r="K509" s="11">
        <v>65</v>
      </c>
    </row>
    <row r="510" spans="1:11" x14ac:dyDescent="0.3">
      <c r="A510" s="1">
        <v>49</v>
      </c>
      <c r="B510" s="1">
        <v>2024</v>
      </c>
      <c r="C510" s="3">
        <v>45399</v>
      </c>
      <c r="D510" s="4" t="s">
        <v>65</v>
      </c>
      <c r="E510" s="5" t="s">
        <v>67</v>
      </c>
      <c r="F510" s="5" t="s">
        <v>45</v>
      </c>
      <c r="G510" s="6"/>
      <c r="H510" s="7">
        <v>75</v>
      </c>
      <c r="I510" s="7">
        <v>124</v>
      </c>
      <c r="J510" s="7" t="s">
        <v>217</v>
      </c>
      <c r="K510" s="7" t="s">
        <v>217</v>
      </c>
    </row>
    <row r="511" spans="1:11" x14ac:dyDescent="0.3">
      <c r="A511" s="1">
        <v>49</v>
      </c>
      <c r="B511" s="1">
        <v>2024</v>
      </c>
      <c r="C511" s="3">
        <v>45399</v>
      </c>
      <c r="D511" s="8" t="s">
        <v>65</v>
      </c>
      <c r="E511" s="9" t="s">
        <v>68</v>
      </c>
      <c r="F511" s="9" t="s">
        <v>45</v>
      </c>
      <c r="G511" s="10"/>
      <c r="H511" s="11">
        <v>45</v>
      </c>
      <c r="I511" s="11">
        <v>70</v>
      </c>
      <c r="J511" s="11" t="s">
        <v>41</v>
      </c>
      <c r="K511" s="11" t="s">
        <v>41</v>
      </c>
    </row>
    <row r="512" spans="1:11" x14ac:dyDescent="0.3">
      <c r="A512" s="1">
        <v>49</v>
      </c>
      <c r="B512" s="1">
        <v>2024</v>
      </c>
      <c r="C512" s="3">
        <v>45399</v>
      </c>
      <c r="D512" s="4" t="s">
        <v>65</v>
      </c>
      <c r="E512" s="5" t="s">
        <v>69</v>
      </c>
      <c r="F512" s="5" t="s">
        <v>45</v>
      </c>
      <c r="G512" s="6"/>
      <c r="H512" s="7">
        <v>50</v>
      </c>
      <c r="I512" s="7">
        <v>50</v>
      </c>
      <c r="J512" s="7">
        <v>50</v>
      </c>
      <c r="K512" s="7">
        <v>50</v>
      </c>
    </row>
    <row r="513" spans="1:11" x14ac:dyDescent="0.3">
      <c r="A513" s="1">
        <v>49</v>
      </c>
      <c r="B513" s="1">
        <v>2024</v>
      </c>
      <c r="C513" s="3">
        <v>45399</v>
      </c>
      <c r="D513" s="8" t="s">
        <v>65</v>
      </c>
      <c r="E513" s="9" t="s">
        <v>70</v>
      </c>
      <c r="F513" s="9" t="s">
        <v>71</v>
      </c>
      <c r="G513" s="10"/>
      <c r="H513" s="11">
        <v>75</v>
      </c>
      <c r="I513" s="11">
        <v>88</v>
      </c>
      <c r="J513" s="11" t="s">
        <v>218</v>
      </c>
      <c r="K513" s="11" t="s">
        <v>218</v>
      </c>
    </row>
    <row r="514" spans="1:11" ht="28.8" x14ac:dyDescent="0.3">
      <c r="A514" s="1">
        <v>50</v>
      </c>
      <c r="B514" s="1">
        <v>2024</v>
      </c>
      <c r="C514" s="3">
        <v>45406</v>
      </c>
      <c r="D514" s="4" t="s">
        <v>11</v>
      </c>
      <c r="E514" s="5" t="s">
        <v>12</v>
      </c>
      <c r="F514" s="5" t="s">
        <v>13</v>
      </c>
      <c r="G514" s="6"/>
      <c r="H514" s="7">
        <v>48</v>
      </c>
      <c r="I514" s="7">
        <v>72</v>
      </c>
      <c r="J514" s="7">
        <v>60</v>
      </c>
      <c r="K514" s="7">
        <v>60</v>
      </c>
    </row>
    <row r="515" spans="1:11" ht="28.8" x14ac:dyDescent="0.3">
      <c r="A515" s="1">
        <v>50</v>
      </c>
      <c r="B515" s="1">
        <v>2024</v>
      </c>
      <c r="C515" s="3">
        <v>45406</v>
      </c>
      <c r="D515" s="8" t="s">
        <v>11</v>
      </c>
      <c r="E515" s="9" t="s">
        <v>14</v>
      </c>
      <c r="F515" s="9" t="s">
        <v>13</v>
      </c>
      <c r="G515" s="11">
        <v>84</v>
      </c>
      <c r="H515" s="11">
        <v>72</v>
      </c>
      <c r="I515" s="11">
        <v>84</v>
      </c>
      <c r="J515" s="11">
        <v>80</v>
      </c>
      <c r="K515" s="11">
        <v>84</v>
      </c>
    </row>
    <row r="516" spans="1:11" ht="28.8" x14ac:dyDescent="0.3">
      <c r="A516" s="1">
        <v>50</v>
      </c>
      <c r="B516" s="1">
        <v>2024</v>
      </c>
      <c r="C516" s="3">
        <v>45406</v>
      </c>
      <c r="D516" s="4" t="s">
        <v>11</v>
      </c>
      <c r="E516" s="5" t="s">
        <v>15</v>
      </c>
      <c r="F516" s="5" t="s">
        <v>13</v>
      </c>
      <c r="G516" s="6"/>
      <c r="H516" s="7">
        <v>42</v>
      </c>
      <c r="I516" s="7">
        <v>60</v>
      </c>
      <c r="J516" s="7">
        <v>50</v>
      </c>
      <c r="K516" s="7">
        <v>48</v>
      </c>
    </row>
    <row r="517" spans="1:11" ht="28.8" x14ac:dyDescent="0.3">
      <c r="A517" s="1">
        <v>50</v>
      </c>
      <c r="B517" s="1">
        <v>2024</v>
      </c>
      <c r="C517" s="3">
        <v>45406</v>
      </c>
      <c r="D517" s="8" t="s">
        <v>11</v>
      </c>
      <c r="E517" s="9" t="s">
        <v>16</v>
      </c>
      <c r="F517" s="9" t="s">
        <v>13</v>
      </c>
      <c r="G517" s="11">
        <v>36</v>
      </c>
      <c r="H517" s="11">
        <v>30</v>
      </c>
      <c r="I517" s="11">
        <v>36</v>
      </c>
      <c r="J517" s="11">
        <v>34</v>
      </c>
      <c r="K517" s="11">
        <v>36</v>
      </c>
    </row>
    <row r="518" spans="1:11" ht="28.8" x14ac:dyDescent="0.3">
      <c r="A518" s="1">
        <v>50</v>
      </c>
      <c r="B518" s="1">
        <v>2024</v>
      </c>
      <c r="C518" s="3">
        <v>45406</v>
      </c>
      <c r="D518" s="4" t="s">
        <v>11</v>
      </c>
      <c r="E518" s="5" t="s">
        <v>17</v>
      </c>
      <c r="F518" s="5" t="s">
        <v>13</v>
      </c>
      <c r="G518" s="7">
        <v>36</v>
      </c>
      <c r="H518" s="7">
        <v>30</v>
      </c>
      <c r="I518" s="7">
        <v>36</v>
      </c>
      <c r="J518" s="7">
        <v>34</v>
      </c>
      <c r="K518" s="7">
        <v>36</v>
      </c>
    </row>
    <row r="519" spans="1:11" ht="28.8" x14ac:dyDescent="0.3">
      <c r="A519" s="1">
        <v>50</v>
      </c>
      <c r="B519" s="1">
        <v>2024</v>
      </c>
      <c r="C519" s="3">
        <v>45406</v>
      </c>
      <c r="D519" s="8" t="s">
        <v>11</v>
      </c>
      <c r="E519" s="9" t="s">
        <v>18</v>
      </c>
      <c r="F519" s="9" t="s">
        <v>13</v>
      </c>
      <c r="G519" s="11">
        <v>72</v>
      </c>
      <c r="H519" s="11">
        <v>48</v>
      </c>
      <c r="I519" s="11">
        <v>72</v>
      </c>
      <c r="J519" s="11">
        <v>64</v>
      </c>
      <c r="K519" s="11">
        <v>72</v>
      </c>
    </row>
    <row r="520" spans="1:11" ht="28.8" x14ac:dyDescent="0.3">
      <c r="A520" s="1">
        <v>50</v>
      </c>
      <c r="B520" s="1">
        <v>2024</v>
      </c>
      <c r="C520" s="3">
        <v>45406</v>
      </c>
      <c r="D520" s="4" t="s">
        <v>11</v>
      </c>
      <c r="E520" s="5" t="s">
        <v>19</v>
      </c>
      <c r="F520" s="5" t="s">
        <v>13</v>
      </c>
      <c r="G520" s="6"/>
      <c r="H520" s="7">
        <v>72</v>
      </c>
      <c r="I520" s="7">
        <v>96</v>
      </c>
      <c r="J520" s="7">
        <v>82</v>
      </c>
      <c r="K520" s="7">
        <v>78</v>
      </c>
    </row>
    <row r="521" spans="1:11" ht="28.8" x14ac:dyDescent="0.3">
      <c r="A521" s="1">
        <v>50</v>
      </c>
      <c r="B521" s="1">
        <v>2024</v>
      </c>
      <c r="C521" s="3">
        <v>45406</v>
      </c>
      <c r="D521" s="8" t="s">
        <v>11</v>
      </c>
      <c r="E521" s="9" t="s">
        <v>20</v>
      </c>
      <c r="F521" s="9" t="s">
        <v>13</v>
      </c>
      <c r="G521" s="11">
        <v>96</v>
      </c>
      <c r="H521" s="11">
        <v>96</v>
      </c>
      <c r="I521" s="11">
        <v>96</v>
      </c>
      <c r="J521" s="11">
        <v>96</v>
      </c>
      <c r="K521" s="11">
        <v>96</v>
      </c>
    </row>
    <row r="522" spans="1:11" ht="28.8" x14ac:dyDescent="0.3">
      <c r="A522" s="1">
        <v>50</v>
      </c>
      <c r="B522" s="1">
        <v>2024</v>
      </c>
      <c r="C522" s="3">
        <v>45406</v>
      </c>
      <c r="D522" s="4" t="s">
        <v>11</v>
      </c>
      <c r="E522" s="5" t="s">
        <v>21</v>
      </c>
      <c r="F522" s="5" t="s">
        <v>13</v>
      </c>
      <c r="G522" s="6"/>
      <c r="H522" s="7">
        <v>24</v>
      </c>
      <c r="I522" s="7">
        <v>36</v>
      </c>
      <c r="J522" s="7">
        <v>30</v>
      </c>
      <c r="K522" s="7">
        <v>30</v>
      </c>
    </row>
    <row r="523" spans="1:11" ht="28.8" x14ac:dyDescent="0.3">
      <c r="A523" s="1">
        <v>50</v>
      </c>
      <c r="B523" s="1">
        <v>2024</v>
      </c>
      <c r="C523" s="3">
        <v>45406</v>
      </c>
      <c r="D523" s="8" t="s">
        <v>11</v>
      </c>
      <c r="E523" s="9" t="s">
        <v>73</v>
      </c>
      <c r="F523" s="9" t="s">
        <v>13</v>
      </c>
      <c r="G523" s="11">
        <v>96</v>
      </c>
      <c r="H523" s="11">
        <v>96</v>
      </c>
      <c r="I523" s="11">
        <v>108</v>
      </c>
      <c r="J523" s="11">
        <v>100</v>
      </c>
      <c r="K523" s="11">
        <v>96</v>
      </c>
    </row>
    <row r="524" spans="1:11" ht="28.8" x14ac:dyDescent="0.3">
      <c r="A524" s="1">
        <v>50</v>
      </c>
      <c r="B524" s="1">
        <v>2024</v>
      </c>
      <c r="C524" s="3">
        <v>45406</v>
      </c>
      <c r="D524" s="4" t="s">
        <v>11</v>
      </c>
      <c r="E524" s="5" t="s">
        <v>23</v>
      </c>
      <c r="F524" s="5" t="s">
        <v>13</v>
      </c>
      <c r="G524" s="7">
        <v>36</v>
      </c>
      <c r="H524" s="7">
        <v>24</v>
      </c>
      <c r="I524" s="7">
        <v>36</v>
      </c>
      <c r="J524" s="7">
        <v>32</v>
      </c>
      <c r="K524" s="7">
        <v>36</v>
      </c>
    </row>
    <row r="525" spans="1:11" ht="28.8" x14ac:dyDescent="0.3">
      <c r="A525" s="1">
        <v>50</v>
      </c>
      <c r="B525" s="1">
        <v>2024</v>
      </c>
      <c r="C525" s="3">
        <v>45406</v>
      </c>
      <c r="D525" s="8" t="s">
        <v>11</v>
      </c>
      <c r="E525" s="9" t="s">
        <v>24</v>
      </c>
      <c r="F525" s="9" t="s">
        <v>13</v>
      </c>
      <c r="G525" s="11">
        <v>84</v>
      </c>
      <c r="H525" s="11">
        <v>84</v>
      </c>
      <c r="I525" s="11">
        <v>84</v>
      </c>
      <c r="J525" s="11">
        <v>84</v>
      </c>
      <c r="K525" s="11">
        <v>84</v>
      </c>
    </row>
    <row r="526" spans="1:11" ht="28.8" x14ac:dyDescent="0.3">
      <c r="A526" s="1">
        <v>50</v>
      </c>
      <c r="B526" s="1">
        <v>2024</v>
      </c>
      <c r="C526" s="3">
        <v>45406</v>
      </c>
      <c r="D526" s="4" t="s">
        <v>11</v>
      </c>
      <c r="E526" s="5" t="s">
        <v>25</v>
      </c>
      <c r="F526" s="5" t="s">
        <v>26</v>
      </c>
      <c r="G526" s="7">
        <v>72</v>
      </c>
      <c r="H526" s="7">
        <v>72</v>
      </c>
      <c r="I526" s="7">
        <v>84</v>
      </c>
      <c r="J526" s="7">
        <v>76</v>
      </c>
      <c r="K526" s="7">
        <v>72</v>
      </c>
    </row>
    <row r="527" spans="1:11" ht="28.8" x14ac:dyDescent="0.3">
      <c r="A527" s="1">
        <v>50</v>
      </c>
      <c r="B527" s="1">
        <v>2024</v>
      </c>
      <c r="C527" s="3">
        <v>45406</v>
      </c>
      <c r="D527" s="8" t="s">
        <v>11</v>
      </c>
      <c r="E527" s="9" t="s">
        <v>27</v>
      </c>
      <c r="F527" s="9" t="s">
        <v>13</v>
      </c>
      <c r="G527" s="11">
        <v>60</v>
      </c>
      <c r="H527" s="11">
        <v>60</v>
      </c>
      <c r="I527" s="11">
        <v>96</v>
      </c>
      <c r="J527" s="11">
        <v>72</v>
      </c>
      <c r="K527" s="11">
        <v>60</v>
      </c>
    </row>
    <row r="528" spans="1:11" ht="28.8" x14ac:dyDescent="0.3">
      <c r="A528" s="1">
        <v>50</v>
      </c>
      <c r="B528" s="1">
        <v>2024</v>
      </c>
      <c r="C528" s="3">
        <v>45406</v>
      </c>
      <c r="D528" s="4" t="s">
        <v>11</v>
      </c>
      <c r="E528" s="5" t="s">
        <v>28</v>
      </c>
      <c r="F528" s="5" t="s">
        <v>13</v>
      </c>
      <c r="G528" s="6"/>
      <c r="H528" s="7">
        <v>48</v>
      </c>
      <c r="I528" s="7">
        <v>70</v>
      </c>
      <c r="J528" s="7" t="s">
        <v>219</v>
      </c>
      <c r="K528" s="7">
        <v>60</v>
      </c>
    </row>
    <row r="529" spans="1:11" ht="28.8" x14ac:dyDescent="0.3">
      <c r="A529" s="1">
        <v>50</v>
      </c>
      <c r="B529" s="1">
        <v>2024</v>
      </c>
      <c r="C529" s="3">
        <v>45406</v>
      </c>
      <c r="D529" s="8" t="s">
        <v>11</v>
      </c>
      <c r="E529" s="9" t="s">
        <v>29</v>
      </c>
      <c r="F529" s="9" t="s">
        <v>13</v>
      </c>
      <c r="G529" s="11">
        <v>54</v>
      </c>
      <c r="H529" s="11">
        <v>48</v>
      </c>
      <c r="I529" s="11">
        <v>54</v>
      </c>
      <c r="J529" s="11">
        <v>52</v>
      </c>
      <c r="K529" s="11">
        <v>54</v>
      </c>
    </row>
    <row r="530" spans="1:11" ht="28.8" x14ac:dyDescent="0.3">
      <c r="A530" s="1">
        <v>50</v>
      </c>
      <c r="B530" s="1">
        <v>2024</v>
      </c>
      <c r="C530" s="3">
        <v>45406</v>
      </c>
      <c r="D530" s="4" t="s">
        <v>30</v>
      </c>
      <c r="E530" s="5" t="s">
        <v>31</v>
      </c>
      <c r="F530" s="5" t="s">
        <v>32</v>
      </c>
      <c r="G530" s="7">
        <v>5</v>
      </c>
      <c r="H530" s="7">
        <v>5</v>
      </c>
      <c r="I530" s="7">
        <v>5</v>
      </c>
      <c r="J530" s="7">
        <v>5</v>
      </c>
      <c r="K530" s="7">
        <v>5</v>
      </c>
    </row>
    <row r="531" spans="1:11" ht="28.8" x14ac:dyDescent="0.3">
      <c r="A531" s="1">
        <v>50</v>
      </c>
      <c r="B531" s="1">
        <v>2024</v>
      </c>
      <c r="C531" s="3">
        <v>45406</v>
      </c>
      <c r="D531" s="8" t="s">
        <v>30</v>
      </c>
      <c r="E531" s="9" t="s">
        <v>34</v>
      </c>
      <c r="F531" s="9" t="s">
        <v>35</v>
      </c>
      <c r="G531" s="10"/>
      <c r="H531" s="11">
        <v>25</v>
      </c>
      <c r="I531" s="11">
        <v>30</v>
      </c>
      <c r="J531" s="11" t="s">
        <v>220</v>
      </c>
      <c r="K531" s="11">
        <v>28</v>
      </c>
    </row>
    <row r="532" spans="1:11" ht="28.8" x14ac:dyDescent="0.3">
      <c r="A532" s="1">
        <v>50</v>
      </c>
      <c r="B532" s="1">
        <v>2024</v>
      </c>
      <c r="C532" s="3">
        <v>45406</v>
      </c>
      <c r="D532" s="4" t="s">
        <v>30</v>
      </c>
      <c r="E532" s="5" t="s">
        <v>36</v>
      </c>
      <c r="F532" s="5" t="s">
        <v>35</v>
      </c>
      <c r="G532" s="7">
        <v>35</v>
      </c>
      <c r="H532" s="7">
        <v>30</v>
      </c>
      <c r="I532" s="7">
        <v>35</v>
      </c>
      <c r="J532" s="7" t="s">
        <v>221</v>
      </c>
      <c r="K532" s="7">
        <v>35</v>
      </c>
    </row>
    <row r="533" spans="1:11" ht="43.2" x14ac:dyDescent="0.3">
      <c r="A533" s="1">
        <v>50</v>
      </c>
      <c r="B533" s="1">
        <v>2024</v>
      </c>
      <c r="C533" s="3">
        <v>45406</v>
      </c>
      <c r="D533" s="8" t="s">
        <v>38</v>
      </c>
      <c r="E533" s="9" t="s">
        <v>153</v>
      </c>
      <c r="F533" s="9" t="s">
        <v>154</v>
      </c>
      <c r="G533" s="11">
        <v>110</v>
      </c>
      <c r="H533" s="11">
        <v>80</v>
      </c>
      <c r="I533" s="11">
        <v>110</v>
      </c>
      <c r="J533" s="11">
        <v>98</v>
      </c>
      <c r="K533" s="11">
        <v>100</v>
      </c>
    </row>
    <row r="534" spans="1:11" ht="43.2" x14ac:dyDescent="0.3">
      <c r="A534" s="1">
        <v>50</v>
      </c>
      <c r="B534" s="1">
        <v>2024</v>
      </c>
      <c r="C534" s="3">
        <v>45406</v>
      </c>
      <c r="D534" s="4" t="s">
        <v>38</v>
      </c>
      <c r="E534" s="5" t="s">
        <v>39</v>
      </c>
      <c r="F534" s="5" t="s">
        <v>40</v>
      </c>
      <c r="G534" s="7">
        <v>80</v>
      </c>
      <c r="H534" s="7">
        <v>70</v>
      </c>
      <c r="I534" s="7">
        <v>90</v>
      </c>
      <c r="J534" s="7" t="s">
        <v>155</v>
      </c>
      <c r="K534" s="7">
        <v>80</v>
      </c>
    </row>
    <row r="535" spans="1:11" ht="43.2" x14ac:dyDescent="0.3">
      <c r="A535" s="1">
        <v>50</v>
      </c>
      <c r="B535" s="1">
        <v>2024</v>
      </c>
      <c r="C535" s="3">
        <v>45406</v>
      </c>
      <c r="D535" s="8" t="s">
        <v>38</v>
      </c>
      <c r="E535" s="9" t="s">
        <v>42</v>
      </c>
      <c r="F535" s="9" t="s">
        <v>43</v>
      </c>
      <c r="G535" s="11">
        <v>70</v>
      </c>
      <c r="H535" s="11">
        <v>40</v>
      </c>
      <c r="I535" s="11">
        <v>75</v>
      </c>
      <c r="J535" s="11" t="s">
        <v>222</v>
      </c>
      <c r="K535" s="11">
        <v>70</v>
      </c>
    </row>
    <row r="536" spans="1:11" ht="43.2" x14ac:dyDescent="0.3">
      <c r="A536" s="1">
        <v>50</v>
      </c>
      <c r="B536" s="1">
        <v>2024</v>
      </c>
      <c r="C536" s="3">
        <v>45406</v>
      </c>
      <c r="D536" s="4" t="s">
        <v>38</v>
      </c>
      <c r="E536" s="5" t="s">
        <v>44</v>
      </c>
      <c r="F536" s="5" t="s">
        <v>45</v>
      </c>
      <c r="G536" s="7">
        <v>50</v>
      </c>
      <c r="H536" s="7">
        <v>35</v>
      </c>
      <c r="I536" s="7">
        <v>55</v>
      </c>
      <c r="J536" s="7" t="s">
        <v>223</v>
      </c>
      <c r="K536" s="7">
        <v>45</v>
      </c>
    </row>
    <row r="537" spans="1:11" ht="43.2" x14ac:dyDescent="0.3">
      <c r="A537" s="1">
        <v>50</v>
      </c>
      <c r="B537" s="1">
        <v>2024</v>
      </c>
      <c r="C537" s="3">
        <v>45406</v>
      </c>
      <c r="D537" s="8" t="s">
        <v>38</v>
      </c>
      <c r="E537" s="9" t="s">
        <v>48</v>
      </c>
      <c r="F537" s="9" t="s">
        <v>45</v>
      </c>
      <c r="G537" s="10"/>
      <c r="H537" s="11">
        <v>90</v>
      </c>
      <c r="I537" s="11">
        <v>115</v>
      </c>
      <c r="J537" s="11">
        <v>105</v>
      </c>
      <c r="K537" s="11">
        <v>110</v>
      </c>
    </row>
    <row r="538" spans="1:11" ht="43.2" x14ac:dyDescent="0.3">
      <c r="A538" s="1">
        <v>50</v>
      </c>
      <c r="B538" s="1">
        <v>2024</v>
      </c>
      <c r="C538" s="3">
        <v>45406</v>
      </c>
      <c r="D538" s="4" t="s">
        <v>38</v>
      </c>
      <c r="E538" s="5" t="s">
        <v>49</v>
      </c>
      <c r="F538" s="5" t="s">
        <v>50</v>
      </c>
      <c r="G538" s="7">
        <v>150</v>
      </c>
      <c r="H538" s="7">
        <v>100</v>
      </c>
      <c r="I538" s="7">
        <v>150</v>
      </c>
      <c r="J538" s="7" t="s">
        <v>224</v>
      </c>
      <c r="K538" s="7">
        <v>130</v>
      </c>
    </row>
    <row r="539" spans="1:11" ht="43.2" x14ac:dyDescent="0.3">
      <c r="A539" s="1">
        <v>50</v>
      </c>
      <c r="B539" s="1">
        <v>2024</v>
      </c>
      <c r="C539" s="3">
        <v>45406</v>
      </c>
      <c r="D539" s="8" t="s">
        <v>38</v>
      </c>
      <c r="E539" s="9" t="s">
        <v>52</v>
      </c>
      <c r="F539" s="9" t="s">
        <v>43</v>
      </c>
      <c r="G539" s="11">
        <v>140</v>
      </c>
      <c r="H539" s="11">
        <v>80</v>
      </c>
      <c r="I539" s="11">
        <v>170</v>
      </c>
      <c r="J539" s="11">
        <v>130</v>
      </c>
      <c r="K539" s="11">
        <v>130</v>
      </c>
    </row>
    <row r="540" spans="1:11" ht="43.2" x14ac:dyDescent="0.3">
      <c r="A540" s="1">
        <v>50</v>
      </c>
      <c r="B540" s="1">
        <v>2024</v>
      </c>
      <c r="C540" s="3">
        <v>45406</v>
      </c>
      <c r="D540" s="4" t="s">
        <v>38</v>
      </c>
      <c r="E540" s="5" t="s">
        <v>53</v>
      </c>
      <c r="F540" s="5" t="s">
        <v>43</v>
      </c>
      <c r="G540" s="7">
        <v>60</v>
      </c>
      <c r="H540" s="7">
        <v>40</v>
      </c>
      <c r="I540" s="7">
        <v>80</v>
      </c>
      <c r="J540" s="7" t="s">
        <v>225</v>
      </c>
      <c r="K540" s="7">
        <v>60</v>
      </c>
    </row>
    <row r="541" spans="1:11" ht="43.2" x14ac:dyDescent="0.3">
      <c r="A541" s="1">
        <v>50</v>
      </c>
      <c r="B541" s="1">
        <v>2024</v>
      </c>
      <c r="C541" s="3">
        <v>45406</v>
      </c>
      <c r="D541" s="8" t="s">
        <v>38</v>
      </c>
      <c r="E541" s="9" t="s">
        <v>54</v>
      </c>
      <c r="F541" s="9" t="s">
        <v>40</v>
      </c>
      <c r="G541" s="11">
        <v>100</v>
      </c>
      <c r="H541" s="11">
        <v>60</v>
      </c>
      <c r="I541" s="11">
        <v>120</v>
      </c>
      <c r="J541" s="11" t="s">
        <v>226</v>
      </c>
      <c r="K541" s="11">
        <v>100</v>
      </c>
    </row>
    <row r="542" spans="1:11" ht="43.2" x14ac:dyDescent="0.3">
      <c r="A542" s="1">
        <v>50</v>
      </c>
      <c r="B542" s="1">
        <v>2024</v>
      </c>
      <c r="C542" s="3">
        <v>45406</v>
      </c>
      <c r="D542" s="4" t="s">
        <v>38</v>
      </c>
      <c r="E542" s="5" t="s">
        <v>56</v>
      </c>
      <c r="F542" s="5" t="s">
        <v>43</v>
      </c>
      <c r="G542" s="6"/>
      <c r="H542" s="7">
        <v>50</v>
      </c>
      <c r="I542" s="7">
        <v>78</v>
      </c>
      <c r="J542" s="7" t="s">
        <v>172</v>
      </c>
      <c r="K542" s="7">
        <v>60</v>
      </c>
    </row>
    <row r="543" spans="1:11" ht="43.2" x14ac:dyDescent="0.3">
      <c r="A543" s="1">
        <v>50</v>
      </c>
      <c r="B543" s="1">
        <v>2024</v>
      </c>
      <c r="C543" s="3">
        <v>45406</v>
      </c>
      <c r="D543" s="8" t="s">
        <v>38</v>
      </c>
      <c r="E543" s="9" t="s">
        <v>57</v>
      </c>
      <c r="F543" s="9" t="s">
        <v>40</v>
      </c>
      <c r="G543" s="11">
        <v>70</v>
      </c>
      <c r="H543" s="11">
        <v>50</v>
      </c>
      <c r="I543" s="11">
        <v>75</v>
      </c>
      <c r="J543" s="11" t="s">
        <v>102</v>
      </c>
      <c r="K543" s="11">
        <v>70</v>
      </c>
    </row>
    <row r="544" spans="1:11" ht="43.2" x14ac:dyDescent="0.3">
      <c r="A544" s="1">
        <v>50</v>
      </c>
      <c r="B544" s="1">
        <v>2024</v>
      </c>
      <c r="C544" s="3">
        <v>45406</v>
      </c>
      <c r="D544" s="4" t="s">
        <v>38</v>
      </c>
      <c r="E544" s="5" t="s">
        <v>58</v>
      </c>
      <c r="F544" s="5" t="s">
        <v>40</v>
      </c>
      <c r="G544" s="7">
        <v>100</v>
      </c>
      <c r="H544" s="7">
        <v>70</v>
      </c>
      <c r="I544" s="7">
        <v>110</v>
      </c>
      <c r="J544" s="7" t="s">
        <v>227</v>
      </c>
      <c r="K544" s="7">
        <v>100</v>
      </c>
    </row>
    <row r="545" spans="1:11" ht="43.2" x14ac:dyDescent="0.3">
      <c r="A545" s="1">
        <v>50</v>
      </c>
      <c r="B545" s="1">
        <v>2024</v>
      </c>
      <c r="C545" s="3">
        <v>45406</v>
      </c>
      <c r="D545" s="8" t="s">
        <v>38</v>
      </c>
      <c r="E545" s="9" t="s">
        <v>59</v>
      </c>
      <c r="F545" s="9" t="s">
        <v>45</v>
      </c>
      <c r="G545" s="11">
        <v>70</v>
      </c>
      <c r="H545" s="11">
        <v>70</v>
      </c>
      <c r="I545" s="11">
        <v>80</v>
      </c>
      <c r="J545" s="11" t="s">
        <v>228</v>
      </c>
      <c r="K545" s="11">
        <v>75</v>
      </c>
    </row>
    <row r="546" spans="1:11" ht="43.2" x14ac:dyDescent="0.3">
      <c r="A546" s="1">
        <v>50</v>
      </c>
      <c r="B546" s="1">
        <v>2024</v>
      </c>
      <c r="C546" s="3">
        <v>45406</v>
      </c>
      <c r="D546" s="4" t="s">
        <v>38</v>
      </c>
      <c r="E546" s="5" t="s">
        <v>60</v>
      </c>
      <c r="F546" s="5" t="s">
        <v>61</v>
      </c>
      <c r="G546" s="7">
        <v>120</v>
      </c>
      <c r="H546" s="7">
        <v>100</v>
      </c>
      <c r="I546" s="7">
        <v>140</v>
      </c>
      <c r="J546" s="7" t="s">
        <v>160</v>
      </c>
      <c r="K546" s="7">
        <v>120</v>
      </c>
    </row>
    <row r="547" spans="1:11" ht="43.2" x14ac:dyDescent="0.3">
      <c r="A547" s="1">
        <v>50</v>
      </c>
      <c r="B547" s="1">
        <v>2024</v>
      </c>
      <c r="C547" s="3">
        <v>45406</v>
      </c>
      <c r="D547" s="8" t="s">
        <v>38</v>
      </c>
      <c r="E547" s="9" t="s">
        <v>63</v>
      </c>
      <c r="F547" s="9" t="s">
        <v>40</v>
      </c>
      <c r="G547" s="11">
        <v>90</v>
      </c>
      <c r="H547" s="11">
        <v>90</v>
      </c>
      <c r="I547" s="11">
        <v>120</v>
      </c>
      <c r="J547" s="11" t="s">
        <v>82</v>
      </c>
      <c r="K547" s="11">
        <v>100</v>
      </c>
    </row>
    <row r="548" spans="1:11" ht="43.2" x14ac:dyDescent="0.3">
      <c r="A548" s="1">
        <v>50</v>
      </c>
      <c r="B548" s="1">
        <v>2024</v>
      </c>
      <c r="C548" s="3">
        <v>45406</v>
      </c>
      <c r="D548" s="4" t="s">
        <v>38</v>
      </c>
      <c r="E548" s="5" t="s">
        <v>64</v>
      </c>
      <c r="F548" s="5" t="s">
        <v>40</v>
      </c>
      <c r="G548" s="7">
        <v>80</v>
      </c>
      <c r="H548" s="7">
        <v>70</v>
      </c>
      <c r="I548" s="7">
        <v>120</v>
      </c>
      <c r="J548" s="7" t="s">
        <v>229</v>
      </c>
      <c r="K548" s="7">
        <v>95</v>
      </c>
    </row>
    <row r="549" spans="1:11" x14ac:dyDescent="0.3">
      <c r="A549" s="1">
        <v>50</v>
      </c>
      <c r="B549" s="1">
        <v>2024</v>
      </c>
      <c r="C549" s="3">
        <v>45406</v>
      </c>
      <c r="D549" s="8" t="s">
        <v>65</v>
      </c>
      <c r="E549" s="9" t="s">
        <v>66</v>
      </c>
      <c r="F549" s="9" t="s">
        <v>45</v>
      </c>
      <c r="G549" s="10"/>
      <c r="H549" s="11">
        <v>85</v>
      </c>
      <c r="I549" s="11">
        <v>85</v>
      </c>
      <c r="J549" s="11">
        <v>85</v>
      </c>
      <c r="K549" s="11">
        <v>85</v>
      </c>
    </row>
    <row r="550" spans="1:11" x14ac:dyDescent="0.3">
      <c r="A550" s="1">
        <v>50</v>
      </c>
      <c r="B550" s="1">
        <v>2024</v>
      </c>
      <c r="C550" s="3">
        <v>45406</v>
      </c>
      <c r="D550" s="4" t="s">
        <v>65</v>
      </c>
      <c r="E550" s="5" t="s">
        <v>67</v>
      </c>
      <c r="F550" s="5" t="s">
        <v>45</v>
      </c>
      <c r="G550" s="6"/>
      <c r="H550" s="7">
        <v>70</v>
      </c>
      <c r="I550" s="7">
        <v>80</v>
      </c>
      <c r="J550" s="7">
        <v>75</v>
      </c>
      <c r="K550" s="7">
        <v>75</v>
      </c>
    </row>
    <row r="551" spans="1:11" x14ac:dyDescent="0.3">
      <c r="A551" s="1">
        <v>50</v>
      </c>
      <c r="B551" s="1">
        <v>2024</v>
      </c>
      <c r="C551" s="3">
        <v>45406</v>
      </c>
      <c r="D551" s="8" t="s">
        <v>65</v>
      </c>
      <c r="E551" s="9" t="s">
        <v>68</v>
      </c>
      <c r="F551" s="9" t="s">
        <v>45</v>
      </c>
      <c r="G551" s="11">
        <v>45</v>
      </c>
      <c r="H551" s="11">
        <v>45</v>
      </c>
      <c r="I551" s="11">
        <v>45</v>
      </c>
      <c r="J551" s="11">
        <v>45</v>
      </c>
      <c r="K551" s="11">
        <v>45</v>
      </c>
    </row>
    <row r="552" spans="1:11" x14ac:dyDescent="0.3">
      <c r="A552" s="1">
        <v>50</v>
      </c>
      <c r="B552" s="1">
        <v>2024</v>
      </c>
      <c r="C552" s="3">
        <v>45406</v>
      </c>
      <c r="D552" s="4" t="s">
        <v>65</v>
      </c>
      <c r="E552" s="5" t="s">
        <v>69</v>
      </c>
      <c r="F552" s="5" t="s">
        <v>45</v>
      </c>
      <c r="G552" s="6"/>
      <c r="H552" s="7">
        <v>60</v>
      </c>
      <c r="I552" s="7">
        <v>60</v>
      </c>
      <c r="J552" s="7">
        <v>60</v>
      </c>
      <c r="K552" s="7">
        <v>60</v>
      </c>
    </row>
    <row r="553" spans="1:11" x14ac:dyDescent="0.3">
      <c r="A553" s="1">
        <v>50</v>
      </c>
      <c r="B553" s="1">
        <v>2024</v>
      </c>
      <c r="C553" s="3">
        <v>45406</v>
      </c>
      <c r="D553" s="8" t="s">
        <v>65</v>
      </c>
      <c r="E553" s="9" t="s">
        <v>70</v>
      </c>
      <c r="F553" s="9" t="s">
        <v>71</v>
      </c>
      <c r="G553" s="10"/>
      <c r="H553" s="11">
        <v>60</v>
      </c>
      <c r="I553" s="11">
        <v>60</v>
      </c>
      <c r="J553" s="11">
        <v>60</v>
      </c>
      <c r="K553" s="11">
        <v>60</v>
      </c>
    </row>
    <row r="554" spans="1:11" ht="28.8" x14ac:dyDescent="0.3">
      <c r="A554" s="1">
        <v>51</v>
      </c>
      <c r="B554" s="1">
        <v>2024</v>
      </c>
      <c r="C554" s="3">
        <v>45420</v>
      </c>
      <c r="D554" s="4" t="s">
        <v>11</v>
      </c>
      <c r="E554" s="5" t="s">
        <v>12</v>
      </c>
      <c r="F554" s="5" t="s">
        <v>13</v>
      </c>
      <c r="G554" s="6"/>
      <c r="H554" s="7">
        <v>48</v>
      </c>
      <c r="I554" s="7">
        <v>78</v>
      </c>
      <c r="J554" s="7">
        <v>60</v>
      </c>
      <c r="K554" s="7">
        <v>54</v>
      </c>
    </row>
    <row r="555" spans="1:11" ht="28.8" x14ac:dyDescent="0.3">
      <c r="A555" s="1">
        <v>51</v>
      </c>
      <c r="B555" s="1">
        <v>2024</v>
      </c>
      <c r="C555" s="3">
        <v>45420</v>
      </c>
      <c r="D555" s="8" t="s">
        <v>11</v>
      </c>
      <c r="E555" s="9" t="s">
        <v>14</v>
      </c>
      <c r="F555" s="9" t="s">
        <v>13</v>
      </c>
      <c r="G555" s="11">
        <v>72</v>
      </c>
      <c r="H555" s="11">
        <v>72</v>
      </c>
      <c r="I555" s="11">
        <v>84</v>
      </c>
      <c r="J555" s="11">
        <v>76</v>
      </c>
      <c r="K555" s="11">
        <v>72</v>
      </c>
    </row>
    <row r="556" spans="1:11" ht="28.8" x14ac:dyDescent="0.3">
      <c r="A556" s="1">
        <v>51</v>
      </c>
      <c r="B556" s="1">
        <v>2024</v>
      </c>
      <c r="C556" s="3">
        <v>45420</v>
      </c>
      <c r="D556" s="4" t="s">
        <v>11</v>
      </c>
      <c r="E556" s="5" t="s">
        <v>15</v>
      </c>
      <c r="F556" s="5" t="s">
        <v>13</v>
      </c>
      <c r="G556" s="6"/>
      <c r="H556" s="7">
        <v>48</v>
      </c>
      <c r="I556" s="7">
        <v>84</v>
      </c>
      <c r="J556" s="7">
        <v>68</v>
      </c>
      <c r="K556" s="7">
        <v>72</v>
      </c>
    </row>
    <row r="557" spans="1:11" ht="28.8" x14ac:dyDescent="0.3">
      <c r="A557" s="1">
        <v>51</v>
      </c>
      <c r="B557" s="1">
        <v>2024</v>
      </c>
      <c r="C557" s="3">
        <v>45420</v>
      </c>
      <c r="D557" s="8" t="s">
        <v>11</v>
      </c>
      <c r="E557" s="9" t="s">
        <v>16</v>
      </c>
      <c r="F557" s="9" t="s">
        <v>13</v>
      </c>
      <c r="G557" s="11">
        <v>30</v>
      </c>
      <c r="H557" s="11">
        <v>25</v>
      </c>
      <c r="I557" s="11">
        <v>30</v>
      </c>
      <c r="J557" s="11" t="s">
        <v>85</v>
      </c>
      <c r="K557" s="11">
        <v>30</v>
      </c>
    </row>
    <row r="558" spans="1:11" ht="28.8" x14ac:dyDescent="0.3">
      <c r="A558" s="1">
        <v>51</v>
      </c>
      <c r="B558" s="1">
        <v>2024</v>
      </c>
      <c r="C558" s="3">
        <v>45420</v>
      </c>
      <c r="D558" s="4" t="s">
        <v>11</v>
      </c>
      <c r="E558" s="5" t="s">
        <v>17</v>
      </c>
      <c r="F558" s="5" t="s">
        <v>13</v>
      </c>
      <c r="G558" s="7">
        <v>30</v>
      </c>
      <c r="H558" s="7">
        <v>25</v>
      </c>
      <c r="I558" s="7">
        <v>30</v>
      </c>
      <c r="J558" s="7" t="s">
        <v>85</v>
      </c>
      <c r="K558" s="7">
        <v>30</v>
      </c>
    </row>
    <row r="559" spans="1:11" ht="28.8" x14ac:dyDescent="0.3">
      <c r="A559" s="1">
        <v>51</v>
      </c>
      <c r="B559" s="1">
        <v>2024</v>
      </c>
      <c r="C559" s="3">
        <v>45420</v>
      </c>
      <c r="D559" s="8" t="s">
        <v>11</v>
      </c>
      <c r="E559" s="9" t="s">
        <v>18</v>
      </c>
      <c r="F559" s="9" t="s">
        <v>13</v>
      </c>
      <c r="G559" s="11">
        <v>60</v>
      </c>
      <c r="H559" s="11">
        <v>54</v>
      </c>
      <c r="I559" s="11">
        <v>60</v>
      </c>
      <c r="J559" s="11">
        <v>58</v>
      </c>
      <c r="K559" s="11">
        <v>60</v>
      </c>
    </row>
    <row r="560" spans="1:11" ht="28.8" x14ac:dyDescent="0.3">
      <c r="A560" s="1">
        <v>51</v>
      </c>
      <c r="B560" s="1">
        <v>2024</v>
      </c>
      <c r="C560" s="3">
        <v>45420</v>
      </c>
      <c r="D560" s="4" t="s">
        <v>11</v>
      </c>
      <c r="E560" s="5" t="s">
        <v>19</v>
      </c>
      <c r="F560" s="5" t="s">
        <v>13</v>
      </c>
      <c r="G560" s="7">
        <v>72</v>
      </c>
      <c r="H560" s="7">
        <v>72</v>
      </c>
      <c r="I560" s="7">
        <v>84</v>
      </c>
      <c r="J560" s="7">
        <v>76</v>
      </c>
      <c r="K560" s="7">
        <v>72</v>
      </c>
    </row>
    <row r="561" spans="1:11" ht="28.8" x14ac:dyDescent="0.3">
      <c r="A561" s="1">
        <v>51</v>
      </c>
      <c r="B561" s="1">
        <v>2024</v>
      </c>
      <c r="C561" s="3">
        <v>45420</v>
      </c>
      <c r="D561" s="8" t="s">
        <v>11</v>
      </c>
      <c r="E561" s="9" t="s">
        <v>20</v>
      </c>
      <c r="F561" s="9" t="s">
        <v>13</v>
      </c>
      <c r="G561" s="10"/>
      <c r="H561" s="11">
        <v>84</v>
      </c>
      <c r="I561" s="11">
        <v>96</v>
      </c>
      <c r="J561" s="11" t="s">
        <v>230</v>
      </c>
      <c r="K561" s="11">
        <v>95</v>
      </c>
    </row>
    <row r="562" spans="1:11" ht="28.8" x14ac:dyDescent="0.3">
      <c r="A562" s="1">
        <v>51</v>
      </c>
      <c r="B562" s="1">
        <v>2024</v>
      </c>
      <c r="C562" s="3">
        <v>45420</v>
      </c>
      <c r="D562" s="4" t="s">
        <v>11</v>
      </c>
      <c r="E562" s="5" t="s">
        <v>21</v>
      </c>
      <c r="F562" s="5" t="s">
        <v>13</v>
      </c>
      <c r="G562" s="7">
        <v>30</v>
      </c>
      <c r="H562" s="7">
        <v>24</v>
      </c>
      <c r="I562" s="7">
        <v>30</v>
      </c>
      <c r="J562" s="7">
        <v>28</v>
      </c>
      <c r="K562" s="7">
        <v>30</v>
      </c>
    </row>
    <row r="563" spans="1:11" ht="28.8" x14ac:dyDescent="0.3">
      <c r="A563" s="1">
        <v>51</v>
      </c>
      <c r="B563" s="1">
        <v>2024</v>
      </c>
      <c r="C563" s="3">
        <v>45420</v>
      </c>
      <c r="D563" s="8" t="s">
        <v>11</v>
      </c>
      <c r="E563" s="9" t="s">
        <v>73</v>
      </c>
      <c r="F563" s="9" t="s">
        <v>13</v>
      </c>
      <c r="G563" s="10"/>
      <c r="H563" s="11">
        <v>95</v>
      </c>
      <c r="I563" s="11">
        <v>108</v>
      </c>
      <c r="J563" s="11" t="s">
        <v>231</v>
      </c>
      <c r="K563" s="11">
        <v>96</v>
      </c>
    </row>
    <row r="564" spans="1:11" ht="28.8" x14ac:dyDescent="0.3">
      <c r="A564" s="1">
        <v>51</v>
      </c>
      <c r="B564" s="1">
        <v>2024</v>
      </c>
      <c r="C564" s="3">
        <v>45420</v>
      </c>
      <c r="D564" s="4" t="s">
        <v>11</v>
      </c>
      <c r="E564" s="5" t="s">
        <v>23</v>
      </c>
      <c r="F564" s="5" t="s">
        <v>13</v>
      </c>
      <c r="G564" s="7">
        <v>30</v>
      </c>
      <c r="H564" s="7">
        <v>25</v>
      </c>
      <c r="I564" s="7">
        <v>30</v>
      </c>
      <c r="J564" s="7" t="s">
        <v>85</v>
      </c>
      <c r="K564" s="7">
        <v>30</v>
      </c>
    </row>
    <row r="565" spans="1:11" ht="28.8" x14ac:dyDescent="0.3">
      <c r="A565" s="1">
        <v>51</v>
      </c>
      <c r="B565" s="1">
        <v>2024</v>
      </c>
      <c r="C565" s="3">
        <v>45420</v>
      </c>
      <c r="D565" s="8" t="s">
        <v>11</v>
      </c>
      <c r="E565" s="9" t="s">
        <v>24</v>
      </c>
      <c r="F565" s="9" t="s">
        <v>13</v>
      </c>
      <c r="G565" s="11">
        <v>84</v>
      </c>
      <c r="H565" s="11">
        <v>78</v>
      </c>
      <c r="I565" s="11">
        <v>84</v>
      </c>
      <c r="J565" s="11">
        <v>82</v>
      </c>
      <c r="K565" s="11">
        <v>84</v>
      </c>
    </row>
    <row r="566" spans="1:11" ht="28.8" x14ac:dyDescent="0.3">
      <c r="A566" s="1">
        <v>51</v>
      </c>
      <c r="B566" s="1">
        <v>2024</v>
      </c>
      <c r="C566" s="3">
        <v>45420</v>
      </c>
      <c r="D566" s="4" t="s">
        <v>11</v>
      </c>
      <c r="E566" s="5" t="s">
        <v>25</v>
      </c>
      <c r="F566" s="5" t="s">
        <v>26</v>
      </c>
      <c r="G566" s="7">
        <v>60</v>
      </c>
      <c r="H566" s="7">
        <v>60</v>
      </c>
      <c r="I566" s="7">
        <v>84</v>
      </c>
      <c r="J566" s="7">
        <v>68</v>
      </c>
      <c r="K566" s="7">
        <v>60</v>
      </c>
    </row>
    <row r="567" spans="1:11" ht="28.8" x14ac:dyDescent="0.3">
      <c r="A567" s="1">
        <v>51</v>
      </c>
      <c r="B567" s="1">
        <v>2024</v>
      </c>
      <c r="C567" s="3">
        <v>45420</v>
      </c>
      <c r="D567" s="8" t="s">
        <v>11</v>
      </c>
      <c r="E567" s="9" t="s">
        <v>27</v>
      </c>
      <c r="F567" s="9" t="s">
        <v>13</v>
      </c>
      <c r="G567" s="10"/>
      <c r="H567" s="11">
        <v>55</v>
      </c>
      <c r="I567" s="11">
        <v>84</v>
      </c>
      <c r="J567" s="11" t="s">
        <v>232</v>
      </c>
      <c r="K567" s="11">
        <v>72</v>
      </c>
    </row>
    <row r="568" spans="1:11" ht="28.8" x14ac:dyDescent="0.3">
      <c r="A568" s="1">
        <v>51</v>
      </c>
      <c r="B568" s="1">
        <v>2024</v>
      </c>
      <c r="C568" s="3">
        <v>45420</v>
      </c>
      <c r="D568" s="4" t="s">
        <v>11</v>
      </c>
      <c r="E568" s="5" t="s">
        <v>28</v>
      </c>
      <c r="F568" s="5" t="s">
        <v>13</v>
      </c>
      <c r="G568" s="6"/>
      <c r="H568" s="7">
        <v>48</v>
      </c>
      <c r="I568" s="7">
        <v>70</v>
      </c>
      <c r="J568" s="7">
        <v>56</v>
      </c>
      <c r="K568" s="7">
        <v>50</v>
      </c>
    </row>
    <row r="569" spans="1:11" ht="28.8" x14ac:dyDescent="0.3">
      <c r="A569" s="1">
        <v>51</v>
      </c>
      <c r="B569" s="1">
        <v>2024</v>
      </c>
      <c r="C569" s="3">
        <v>45420</v>
      </c>
      <c r="D569" s="8" t="s">
        <v>11</v>
      </c>
      <c r="E569" s="9" t="s">
        <v>29</v>
      </c>
      <c r="F569" s="9" t="s">
        <v>13</v>
      </c>
      <c r="G569" s="11">
        <v>54</v>
      </c>
      <c r="H569" s="11">
        <v>48</v>
      </c>
      <c r="I569" s="11">
        <v>54</v>
      </c>
      <c r="J569" s="11">
        <v>52</v>
      </c>
      <c r="K569" s="11">
        <v>54</v>
      </c>
    </row>
    <row r="570" spans="1:11" ht="28.8" x14ac:dyDescent="0.3">
      <c r="A570" s="1">
        <v>51</v>
      </c>
      <c r="B570" s="1">
        <v>2024</v>
      </c>
      <c r="C570" s="3">
        <v>45420</v>
      </c>
      <c r="D570" s="4" t="s">
        <v>30</v>
      </c>
      <c r="E570" s="5" t="s">
        <v>31</v>
      </c>
      <c r="F570" s="5" t="s">
        <v>32</v>
      </c>
      <c r="G570" s="7">
        <v>60</v>
      </c>
      <c r="H570" s="7">
        <v>60</v>
      </c>
      <c r="I570" s="7">
        <v>72</v>
      </c>
      <c r="J570" s="7">
        <v>64</v>
      </c>
      <c r="K570" s="7">
        <v>60</v>
      </c>
    </row>
    <row r="571" spans="1:11" ht="28.8" x14ac:dyDescent="0.3">
      <c r="A571" s="1">
        <v>51</v>
      </c>
      <c r="B571" s="1">
        <v>2024</v>
      </c>
      <c r="C571" s="3">
        <v>45420</v>
      </c>
      <c r="D571" s="8" t="s">
        <v>30</v>
      </c>
      <c r="E571" s="9" t="s">
        <v>34</v>
      </c>
      <c r="F571" s="9" t="s">
        <v>35</v>
      </c>
      <c r="G571" s="10"/>
      <c r="H571" s="11">
        <v>20</v>
      </c>
      <c r="I571" s="11">
        <v>30</v>
      </c>
      <c r="J571" s="11">
        <v>25</v>
      </c>
      <c r="K571" s="11">
        <v>25</v>
      </c>
    </row>
    <row r="572" spans="1:11" ht="28.8" x14ac:dyDescent="0.3">
      <c r="A572" s="1">
        <v>51</v>
      </c>
      <c r="B572" s="1">
        <v>2024</v>
      </c>
      <c r="C572" s="3">
        <v>45420</v>
      </c>
      <c r="D572" s="4" t="s">
        <v>30</v>
      </c>
      <c r="E572" s="5" t="s">
        <v>36</v>
      </c>
      <c r="F572" s="5" t="s">
        <v>35</v>
      </c>
      <c r="G572" s="7">
        <v>30</v>
      </c>
      <c r="H572" s="7">
        <v>30</v>
      </c>
      <c r="I572" s="7">
        <v>35</v>
      </c>
      <c r="J572" s="7" t="s">
        <v>108</v>
      </c>
      <c r="K572" s="7">
        <v>30</v>
      </c>
    </row>
    <row r="573" spans="1:11" ht="43.2" x14ac:dyDescent="0.3">
      <c r="A573" s="1">
        <v>51</v>
      </c>
      <c r="B573" s="1">
        <v>2024</v>
      </c>
      <c r="C573" s="3">
        <v>45420</v>
      </c>
      <c r="D573" s="8" t="s">
        <v>38</v>
      </c>
      <c r="E573" s="9" t="s">
        <v>153</v>
      </c>
      <c r="F573" s="9" t="s">
        <v>154</v>
      </c>
      <c r="G573" s="10"/>
      <c r="H573" s="11">
        <v>90</v>
      </c>
      <c r="I573" s="11">
        <v>90</v>
      </c>
      <c r="J573" s="11">
        <v>90</v>
      </c>
      <c r="K573" s="11">
        <v>90</v>
      </c>
    </row>
    <row r="574" spans="1:11" ht="43.2" x14ac:dyDescent="0.3">
      <c r="A574" s="1">
        <v>51</v>
      </c>
      <c r="B574" s="1">
        <v>2024</v>
      </c>
      <c r="C574" s="3">
        <v>45420</v>
      </c>
      <c r="D574" s="4" t="s">
        <v>38</v>
      </c>
      <c r="E574" s="5" t="s">
        <v>39</v>
      </c>
      <c r="F574" s="5" t="s">
        <v>40</v>
      </c>
      <c r="G574" s="7">
        <v>70</v>
      </c>
      <c r="H574" s="7">
        <v>60</v>
      </c>
      <c r="I574" s="7">
        <v>70</v>
      </c>
      <c r="J574" s="7">
        <v>65</v>
      </c>
      <c r="K574" s="7">
        <v>65</v>
      </c>
    </row>
    <row r="575" spans="1:11" ht="43.2" x14ac:dyDescent="0.3">
      <c r="A575" s="1">
        <v>51</v>
      </c>
      <c r="B575" s="1">
        <v>2024</v>
      </c>
      <c r="C575" s="3">
        <v>45420</v>
      </c>
      <c r="D575" s="8" t="s">
        <v>38</v>
      </c>
      <c r="E575" s="9" t="s">
        <v>42</v>
      </c>
      <c r="F575" s="9" t="s">
        <v>43</v>
      </c>
      <c r="G575" s="10"/>
      <c r="H575" s="11">
        <v>45</v>
      </c>
      <c r="I575" s="11">
        <v>70</v>
      </c>
      <c r="J575" s="11">
        <v>60</v>
      </c>
      <c r="K575" s="11" t="s">
        <v>80</v>
      </c>
    </row>
    <row r="576" spans="1:11" ht="43.2" x14ac:dyDescent="0.3">
      <c r="A576" s="1">
        <v>51</v>
      </c>
      <c r="B576" s="1">
        <v>2024</v>
      </c>
      <c r="C576" s="3">
        <v>45420</v>
      </c>
      <c r="D576" s="4" t="s">
        <v>38</v>
      </c>
      <c r="E576" s="5" t="s">
        <v>44</v>
      </c>
      <c r="F576" s="5" t="s">
        <v>45</v>
      </c>
      <c r="G576" s="7">
        <v>40</v>
      </c>
      <c r="H576" s="7">
        <v>40</v>
      </c>
      <c r="I576" s="7">
        <v>50</v>
      </c>
      <c r="J576" s="7" t="s">
        <v>233</v>
      </c>
      <c r="K576" s="7" t="s">
        <v>47</v>
      </c>
    </row>
    <row r="577" spans="1:11" ht="43.2" x14ac:dyDescent="0.3">
      <c r="A577" s="1">
        <v>51</v>
      </c>
      <c r="B577" s="1">
        <v>2024</v>
      </c>
      <c r="C577" s="3">
        <v>45420</v>
      </c>
      <c r="D577" s="8" t="s">
        <v>38</v>
      </c>
      <c r="E577" s="9" t="s">
        <v>48</v>
      </c>
      <c r="F577" s="9" t="s">
        <v>45</v>
      </c>
      <c r="G577" s="10"/>
      <c r="H577" s="11">
        <v>90</v>
      </c>
      <c r="I577" s="11">
        <v>110</v>
      </c>
      <c r="J577" s="11">
        <v>100</v>
      </c>
      <c r="K577" s="11">
        <v>100</v>
      </c>
    </row>
    <row r="578" spans="1:11" ht="43.2" x14ac:dyDescent="0.3">
      <c r="A578" s="1">
        <v>51</v>
      </c>
      <c r="B578" s="1">
        <v>2024</v>
      </c>
      <c r="C578" s="3">
        <v>45420</v>
      </c>
      <c r="D578" s="4" t="s">
        <v>38</v>
      </c>
      <c r="E578" s="5" t="s">
        <v>49</v>
      </c>
      <c r="F578" s="5" t="s">
        <v>50</v>
      </c>
      <c r="G578" s="6"/>
      <c r="H578" s="7">
        <v>100</v>
      </c>
      <c r="I578" s="7">
        <v>160</v>
      </c>
      <c r="J578" s="7" t="s">
        <v>234</v>
      </c>
      <c r="K578" s="7">
        <v>135</v>
      </c>
    </row>
    <row r="579" spans="1:11" ht="43.2" x14ac:dyDescent="0.3">
      <c r="A579" s="1">
        <v>51</v>
      </c>
      <c r="B579" s="1">
        <v>2024</v>
      </c>
      <c r="C579" s="3">
        <v>45420</v>
      </c>
      <c r="D579" s="8" t="s">
        <v>38</v>
      </c>
      <c r="E579" s="9" t="s">
        <v>52</v>
      </c>
      <c r="F579" s="9" t="s">
        <v>43</v>
      </c>
      <c r="G579" s="11">
        <v>160</v>
      </c>
      <c r="H579" s="11">
        <v>80</v>
      </c>
      <c r="I579" s="11">
        <v>170</v>
      </c>
      <c r="J579" s="11">
        <v>142</v>
      </c>
      <c r="K579" s="11">
        <v>160</v>
      </c>
    </row>
    <row r="580" spans="1:11" ht="43.2" x14ac:dyDescent="0.3">
      <c r="A580" s="1">
        <v>51</v>
      </c>
      <c r="B580" s="1">
        <v>2024</v>
      </c>
      <c r="C580" s="3">
        <v>45420</v>
      </c>
      <c r="D580" s="4" t="s">
        <v>38</v>
      </c>
      <c r="E580" s="5" t="s">
        <v>53</v>
      </c>
      <c r="F580" s="5" t="s">
        <v>43</v>
      </c>
      <c r="G580" s="7">
        <v>60</v>
      </c>
      <c r="H580" s="7">
        <v>45</v>
      </c>
      <c r="I580" s="7">
        <v>60</v>
      </c>
      <c r="J580" s="7" t="s">
        <v>235</v>
      </c>
      <c r="K580" s="7">
        <v>60</v>
      </c>
    </row>
    <row r="581" spans="1:11" ht="43.2" x14ac:dyDescent="0.3">
      <c r="A581" s="1">
        <v>51</v>
      </c>
      <c r="B581" s="1">
        <v>2024</v>
      </c>
      <c r="C581" s="3">
        <v>45420</v>
      </c>
      <c r="D581" s="8" t="s">
        <v>38</v>
      </c>
      <c r="E581" s="9" t="s">
        <v>54</v>
      </c>
      <c r="F581" s="9" t="s">
        <v>40</v>
      </c>
      <c r="G581" s="10"/>
      <c r="H581" s="11">
        <v>120</v>
      </c>
      <c r="I581" s="11">
        <v>120</v>
      </c>
      <c r="J581" s="11">
        <v>120</v>
      </c>
      <c r="K581" s="11">
        <v>120</v>
      </c>
    </row>
    <row r="582" spans="1:11" ht="43.2" x14ac:dyDescent="0.3">
      <c r="A582" s="1">
        <v>51</v>
      </c>
      <c r="B582" s="1">
        <v>2024</v>
      </c>
      <c r="C582" s="3">
        <v>45420</v>
      </c>
      <c r="D582" s="4" t="s">
        <v>38</v>
      </c>
      <c r="E582" s="5" t="s">
        <v>56</v>
      </c>
      <c r="F582" s="5" t="s">
        <v>43</v>
      </c>
      <c r="G582" s="6"/>
      <c r="H582" s="6"/>
      <c r="I582" s="6"/>
      <c r="J582" s="6"/>
      <c r="K582" s="6"/>
    </row>
    <row r="583" spans="1:11" ht="43.2" x14ac:dyDescent="0.3">
      <c r="A583" s="1">
        <v>51</v>
      </c>
      <c r="B583" s="1">
        <v>2024</v>
      </c>
      <c r="C583" s="3">
        <v>45420</v>
      </c>
      <c r="D583" s="8" t="s">
        <v>38</v>
      </c>
      <c r="E583" s="9" t="s">
        <v>57</v>
      </c>
      <c r="F583" s="9" t="s">
        <v>40</v>
      </c>
      <c r="G583" s="10"/>
      <c r="H583" s="11">
        <v>75</v>
      </c>
      <c r="I583" s="11">
        <v>75</v>
      </c>
      <c r="J583" s="11">
        <v>75</v>
      </c>
      <c r="K583" s="11">
        <v>75</v>
      </c>
    </row>
    <row r="584" spans="1:11" ht="43.2" x14ac:dyDescent="0.3">
      <c r="A584" s="1">
        <v>51</v>
      </c>
      <c r="B584" s="1">
        <v>2024</v>
      </c>
      <c r="C584" s="3">
        <v>45420</v>
      </c>
      <c r="D584" s="4" t="s">
        <v>38</v>
      </c>
      <c r="E584" s="5" t="s">
        <v>58</v>
      </c>
      <c r="F584" s="5" t="s">
        <v>40</v>
      </c>
      <c r="G584" s="6"/>
      <c r="H584" s="7">
        <v>60</v>
      </c>
      <c r="I584" s="7">
        <v>90</v>
      </c>
      <c r="J584" s="7" t="s">
        <v>155</v>
      </c>
      <c r="K584" s="7" t="s">
        <v>168</v>
      </c>
    </row>
    <row r="585" spans="1:11" ht="43.2" x14ac:dyDescent="0.3">
      <c r="A585" s="1">
        <v>51</v>
      </c>
      <c r="B585" s="1">
        <v>2024</v>
      </c>
      <c r="C585" s="3">
        <v>45420</v>
      </c>
      <c r="D585" s="8" t="s">
        <v>38</v>
      </c>
      <c r="E585" s="9" t="s">
        <v>59</v>
      </c>
      <c r="F585" s="9" t="s">
        <v>45</v>
      </c>
      <c r="G585" s="10"/>
      <c r="H585" s="11">
        <v>55</v>
      </c>
      <c r="I585" s="11">
        <v>75</v>
      </c>
      <c r="J585" s="11">
        <v>65</v>
      </c>
      <c r="K585" s="11">
        <v>65</v>
      </c>
    </row>
    <row r="586" spans="1:11" ht="43.2" x14ac:dyDescent="0.3">
      <c r="A586" s="1">
        <v>51</v>
      </c>
      <c r="B586" s="1">
        <v>2024</v>
      </c>
      <c r="C586" s="3">
        <v>45420</v>
      </c>
      <c r="D586" s="4" t="s">
        <v>38</v>
      </c>
      <c r="E586" s="5" t="s">
        <v>60</v>
      </c>
      <c r="F586" s="5" t="s">
        <v>61</v>
      </c>
      <c r="G586" s="7">
        <v>120</v>
      </c>
      <c r="H586" s="7">
        <v>120</v>
      </c>
      <c r="I586" s="7">
        <v>120</v>
      </c>
      <c r="J586" s="7">
        <v>120</v>
      </c>
      <c r="K586" s="7">
        <v>120</v>
      </c>
    </row>
    <row r="587" spans="1:11" ht="43.2" x14ac:dyDescent="0.3">
      <c r="A587" s="1">
        <v>51</v>
      </c>
      <c r="B587" s="1">
        <v>2024</v>
      </c>
      <c r="C587" s="3">
        <v>45420</v>
      </c>
      <c r="D587" s="8" t="s">
        <v>38</v>
      </c>
      <c r="E587" s="9" t="s">
        <v>63</v>
      </c>
      <c r="F587" s="9" t="s">
        <v>40</v>
      </c>
      <c r="G587" s="10"/>
      <c r="H587" s="11">
        <v>110</v>
      </c>
      <c r="I587" s="11">
        <v>160</v>
      </c>
      <c r="J587" s="11">
        <v>140</v>
      </c>
      <c r="K587" s="11">
        <v>145</v>
      </c>
    </row>
    <row r="588" spans="1:11" ht="43.2" x14ac:dyDescent="0.3">
      <c r="A588" s="1">
        <v>51</v>
      </c>
      <c r="B588" s="1">
        <v>2024</v>
      </c>
      <c r="C588" s="3">
        <v>45420</v>
      </c>
      <c r="D588" s="4" t="s">
        <v>38</v>
      </c>
      <c r="E588" s="5" t="s">
        <v>64</v>
      </c>
      <c r="F588" s="5" t="s">
        <v>40</v>
      </c>
      <c r="G588" s="6"/>
      <c r="H588" s="7">
        <v>110</v>
      </c>
      <c r="I588" s="7">
        <v>180</v>
      </c>
      <c r="J588" s="7">
        <v>145</v>
      </c>
      <c r="K588" s="7">
        <v>145</v>
      </c>
    </row>
    <row r="589" spans="1:11" x14ac:dyDescent="0.3">
      <c r="A589" s="1">
        <v>51</v>
      </c>
      <c r="B589" s="1">
        <v>2024</v>
      </c>
      <c r="C589" s="3">
        <v>45420</v>
      </c>
      <c r="D589" s="8" t="s">
        <v>65</v>
      </c>
      <c r="E589" s="9" t="s">
        <v>66</v>
      </c>
      <c r="F589" s="9" t="s">
        <v>45</v>
      </c>
      <c r="G589" s="10"/>
      <c r="H589" s="11">
        <v>110</v>
      </c>
      <c r="I589" s="11">
        <v>110</v>
      </c>
      <c r="J589" s="11">
        <v>110</v>
      </c>
      <c r="K589" s="11">
        <v>110</v>
      </c>
    </row>
    <row r="590" spans="1:11" x14ac:dyDescent="0.3">
      <c r="A590" s="1">
        <v>51</v>
      </c>
      <c r="B590" s="1">
        <v>2024</v>
      </c>
      <c r="C590" s="3">
        <v>45420</v>
      </c>
      <c r="D590" s="4" t="s">
        <v>65</v>
      </c>
      <c r="E590" s="5" t="s">
        <v>67</v>
      </c>
      <c r="F590" s="5" t="s">
        <v>45</v>
      </c>
      <c r="G590" s="7">
        <v>70</v>
      </c>
      <c r="H590" s="7">
        <v>70</v>
      </c>
      <c r="I590" s="7">
        <v>70</v>
      </c>
      <c r="J590" s="7">
        <v>70</v>
      </c>
      <c r="K590" s="7">
        <v>70</v>
      </c>
    </row>
    <row r="591" spans="1:11" x14ac:dyDescent="0.3">
      <c r="A591" s="1">
        <v>51</v>
      </c>
      <c r="B591" s="1">
        <v>2024</v>
      </c>
      <c r="C591" s="3">
        <v>45420</v>
      </c>
      <c r="D591" s="8" t="s">
        <v>65</v>
      </c>
      <c r="E591" s="9" t="s">
        <v>68</v>
      </c>
      <c r="F591" s="9" t="s">
        <v>45</v>
      </c>
      <c r="G591" s="10"/>
      <c r="H591" s="11">
        <v>50</v>
      </c>
      <c r="I591" s="11">
        <v>60</v>
      </c>
      <c r="J591" s="11">
        <v>55</v>
      </c>
      <c r="K591" s="11">
        <v>55</v>
      </c>
    </row>
    <row r="592" spans="1:11" x14ac:dyDescent="0.3">
      <c r="A592" s="1">
        <v>51</v>
      </c>
      <c r="B592" s="1">
        <v>2024</v>
      </c>
      <c r="C592" s="3">
        <v>45420</v>
      </c>
      <c r="D592" s="4" t="s">
        <v>65</v>
      </c>
      <c r="E592" s="5" t="s">
        <v>69</v>
      </c>
      <c r="F592" s="5" t="s">
        <v>45</v>
      </c>
      <c r="G592" s="6"/>
      <c r="H592" s="7">
        <v>55</v>
      </c>
      <c r="I592" s="7">
        <v>55</v>
      </c>
      <c r="J592" s="7">
        <v>55</v>
      </c>
      <c r="K592" s="7">
        <v>55</v>
      </c>
    </row>
    <row r="593" spans="1:11" x14ac:dyDescent="0.3">
      <c r="A593" s="1">
        <v>51</v>
      </c>
      <c r="B593" s="1">
        <v>2024</v>
      </c>
      <c r="C593" s="3">
        <v>45420</v>
      </c>
      <c r="D593" s="8" t="s">
        <v>65</v>
      </c>
      <c r="E593" s="9" t="s">
        <v>70</v>
      </c>
      <c r="F593" s="9" t="s">
        <v>71</v>
      </c>
      <c r="G593" s="10"/>
      <c r="H593" s="11">
        <v>40</v>
      </c>
      <c r="I593" s="11">
        <v>55</v>
      </c>
      <c r="J593" s="11" t="s">
        <v>91</v>
      </c>
      <c r="K593" s="11" t="s">
        <v>91</v>
      </c>
    </row>
    <row r="594" spans="1:11" ht="28.8" x14ac:dyDescent="0.3">
      <c r="A594" s="1">
        <v>52</v>
      </c>
      <c r="B594" s="1">
        <v>2024</v>
      </c>
      <c r="C594" s="3">
        <v>45427</v>
      </c>
      <c r="D594" s="4" t="s">
        <v>11</v>
      </c>
      <c r="E594" s="5" t="s">
        <v>12</v>
      </c>
      <c r="F594" s="5" t="s">
        <v>13</v>
      </c>
      <c r="G594" s="6"/>
      <c r="H594" s="7">
        <v>60</v>
      </c>
      <c r="I594" s="7">
        <v>72</v>
      </c>
      <c r="J594" s="7">
        <v>66</v>
      </c>
      <c r="K594" s="7">
        <v>66</v>
      </c>
    </row>
    <row r="595" spans="1:11" ht="28.8" x14ac:dyDescent="0.3">
      <c r="A595" s="1">
        <v>52</v>
      </c>
      <c r="B595" s="1">
        <v>2024</v>
      </c>
      <c r="C595" s="3">
        <v>45427</v>
      </c>
      <c r="D595" s="8" t="s">
        <v>11</v>
      </c>
      <c r="E595" s="9" t="s">
        <v>14</v>
      </c>
      <c r="F595" s="9" t="s">
        <v>13</v>
      </c>
      <c r="G595" s="11">
        <v>84</v>
      </c>
      <c r="H595" s="11">
        <v>72</v>
      </c>
      <c r="I595" s="11">
        <v>84</v>
      </c>
      <c r="J595" s="11">
        <v>80</v>
      </c>
      <c r="K595" s="11">
        <v>84</v>
      </c>
    </row>
    <row r="596" spans="1:11" ht="28.8" x14ac:dyDescent="0.3">
      <c r="A596" s="1">
        <v>52</v>
      </c>
      <c r="B596" s="1">
        <v>2024</v>
      </c>
      <c r="C596" s="3">
        <v>45427</v>
      </c>
      <c r="D596" s="4" t="s">
        <v>11</v>
      </c>
      <c r="E596" s="5" t="s">
        <v>15</v>
      </c>
      <c r="F596" s="5" t="s">
        <v>13</v>
      </c>
      <c r="G596" s="6"/>
      <c r="H596" s="7">
        <v>42</v>
      </c>
      <c r="I596" s="7">
        <v>54</v>
      </c>
      <c r="J596" s="7">
        <v>47</v>
      </c>
      <c r="K596" s="7">
        <v>45</v>
      </c>
    </row>
    <row r="597" spans="1:11" ht="28.8" x14ac:dyDescent="0.3">
      <c r="A597" s="1">
        <v>52</v>
      </c>
      <c r="B597" s="1">
        <v>2024</v>
      </c>
      <c r="C597" s="3">
        <v>45427</v>
      </c>
      <c r="D597" s="8" t="s">
        <v>11</v>
      </c>
      <c r="E597" s="9" t="s">
        <v>16</v>
      </c>
      <c r="F597" s="9" t="s">
        <v>13</v>
      </c>
      <c r="G597" s="11">
        <v>24</v>
      </c>
      <c r="H597" s="11">
        <v>20</v>
      </c>
      <c r="I597" s="11">
        <v>33</v>
      </c>
      <c r="J597" s="11" t="s">
        <v>236</v>
      </c>
      <c r="K597" s="11">
        <v>24</v>
      </c>
    </row>
    <row r="598" spans="1:11" ht="28.8" x14ac:dyDescent="0.3">
      <c r="A598" s="1">
        <v>52</v>
      </c>
      <c r="B598" s="1">
        <v>2024</v>
      </c>
      <c r="C598" s="3">
        <v>45427</v>
      </c>
      <c r="D598" s="4" t="s">
        <v>11</v>
      </c>
      <c r="E598" s="5" t="s">
        <v>17</v>
      </c>
      <c r="F598" s="5" t="s">
        <v>13</v>
      </c>
      <c r="G598" s="6"/>
      <c r="H598" s="7">
        <v>20</v>
      </c>
      <c r="I598" s="7">
        <v>33</v>
      </c>
      <c r="J598" s="7" t="s">
        <v>237</v>
      </c>
      <c r="K598" s="7">
        <v>24</v>
      </c>
    </row>
    <row r="599" spans="1:11" ht="28.8" x14ac:dyDescent="0.3">
      <c r="A599" s="1">
        <v>52</v>
      </c>
      <c r="B599" s="1">
        <v>2024</v>
      </c>
      <c r="C599" s="3">
        <v>45427</v>
      </c>
      <c r="D599" s="8" t="s">
        <v>11</v>
      </c>
      <c r="E599" s="9" t="s">
        <v>18</v>
      </c>
      <c r="F599" s="9" t="s">
        <v>13</v>
      </c>
      <c r="G599" s="11">
        <v>60</v>
      </c>
      <c r="H599" s="11">
        <v>60</v>
      </c>
      <c r="I599" s="11">
        <v>60</v>
      </c>
      <c r="J599" s="11">
        <v>60</v>
      </c>
      <c r="K599" s="11">
        <v>60</v>
      </c>
    </row>
    <row r="600" spans="1:11" ht="28.8" x14ac:dyDescent="0.3">
      <c r="A600" s="1">
        <v>52</v>
      </c>
      <c r="B600" s="1">
        <v>2024</v>
      </c>
      <c r="C600" s="3">
        <v>45427</v>
      </c>
      <c r="D600" s="4" t="s">
        <v>11</v>
      </c>
      <c r="E600" s="5" t="s">
        <v>19</v>
      </c>
      <c r="F600" s="5" t="s">
        <v>13</v>
      </c>
      <c r="G600" s="7">
        <v>72</v>
      </c>
      <c r="H600" s="7">
        <v>72</v>
      </c>
      <c r="I600" s="7">
        <v>84</v>
      </c>
      <c r="J600" s="7">
        <v>76</v>
      </c>
      <c r="K600" s="7">
        <v>72</v>
      </c>
    </row>
    <row r="601" spans="1:11" ht="28.8" x14ac:dyDescent="0.3">
      <c r="A601" s="1">
        <v>52</v>
      </c>
      <c r="B601" s="1">
        <v>2024</v>
      </c>
      <c r="C601" s="3">
        <v>45427</v>
      </c>
      <c r="D601" s="8" t="s">
        <v>11</v>
      </c>
      <c r="E601" s="9" t="s">
        <v>20</v>
      </c>
      <c r="F601" s="9" t="s">
        <v>13</v>
      </c>
      <c r="G601" s="10"/>
      <c r="H601" s="11">
        <v>84</v>
      </c>
      <c r="I601" s="11">
        <v>96</v>
      </c>
      <c r="J601" s="11" t="s">
        <v>230</v>
      </c>
      <c r="K601" s="11">
        <v>95</v>
      </c>
    </row>
    <row r="602" spans="1:11" ht="28.8" x14ac:dyDescent="0.3">
      <c r="A602" s="1">
        <v>52</v>
      </c>
      <c r="B602" s="1">
        <v>2024</v>
      </c>
      <c r="C602" s="3">
        <v>45427</v>
      </c>
      <c r="D602" s="4" t="s">
        <v>11</v>
      </c>
      <c r="E602" s="5" t="s">
        <v>21</v>
      </c>
      <c r="F602" s="5" t="s">
        <v>13</v>
      </c>
      <c r="G602" s="7">
        <v>24</v>
      </c>
      <c r="H602" s="7">
        <v>6</v>
      </c>
      <c r="I602" s="7">
        <v>30</v>
      </c>
      <c r="J602" s="7">
        <v>21</v>
      </c>
      <c r="K602" s="7">
        <v>24</v>
      </c>
    </row>
    <row r="603" spans="1:11" ht="28.8" x14ac:dyDescent="0.3">
      <c r="A603" s="1">
        <v>52</v>
      </c>
      <c r="B603" s="1">
        <v>2024</v>
      </c>
      <c r="C603" s="3">
        <v>45427</v>
      </c>
      <c r="D603" s="8" t="s">
        <v>11</v>
      </c>
      <c r="E603" s="9" t="s">
        <v>73</v>
      </c>
      <c r="F603" s="9" t="s">
        <v>13</v>
      </c>
      <c r="G603" s="11">
        <v>96</v>
      </c>
      <c r="H603" s="11">
        <v>90</v>
      </c>
      <c r="I603" s="11">
        <v>96</v>
      </c>
      <c r="J603" s="11">
        <v>94</v>
      </c>
      <c r="K603" s="11">
        <v>96</v>
      </c>
    </row>
    <row r="604" spans="1:11" ht="28.8" x14ac:dyDescent="0.3">
      <c r="A604" s="1">
        <v>52</v>
      </c>
      <c r="B604" s="1">
        <v>2024</v>
      </c>
      <c r="C604" s="3">
        <v>45427</v>
      </c>
      <c r="D604" s="4" t="s">
        <v>11</v>
      </c>
      <c r="E604" s="5" t="s">
        <v>23</v>
      </c>
      <c r="F604" s="5" t="s">
        <v>13</v>
      </c>
      <c r="G604" s="6"/>
      <c r="H604" s="7">
        <v>20</v>
      </c>
      <c r="I604" s="7">
        <v>33</v>
      </c>
      <c r="J604" s="7" t="s">
        <v>220</v>
      </c>
      <c r="K604" s="7">
        <v>30</v>
      </c>
    </row>
    <row r="605" spans="1:11" ht="28.8" x14ac:dyDescent="0.3">
      <c r="A605" s="1">
        <v>52</v>
      </c>
      <c r="B605" s="1">
        <v>2024</v>
      </c>
      <c r="C605" s="3">
        <v>45427</v>
      </c>
      <c r="D605" s="8" t="s">
        <v>11</v>
      </c>
      <c r="E605" s="9" t="s">
        <v>24</v>
      </c>
      <c r="F605" s="9" t="s">
        <v>13</v>
      </c>
      <c r="G605" s="11">
        <v>78</v>
      </c>
      <c r="H605" s="11">
        <v>78</v>
      </c>
      <c r="I605" s="11">
        <v>84</v>
      </c>
      <c r="J605" s="11">
        <v>80</v>
      </c>
      <c r="K605" s="11">
        <v>78</v>
      </c>
    </row>
    <row r="606" spans="1:11" ht="28.8" x14ac:dyDescent="0.3">
      <c r="A606" s="1">
        <v>52</v>
      </c>
      <c r="B606" s="1">
        <v>2024</v>
      </c>
      <c r="C606" s="3">
        <v>45427</v>
      </c>
      <c r="D606" s="4" t="s">
        <v>11</v>
      </c>
      <c r="E606" s="5" t="s">
        <v>25</v>
      </c>
      <c r="F606" s="5" t="s">
        <v>26</v>
      </c>
      <c r="G606" s="7">
        <v>72</v>
      </c>
      <c r="H606" s="7">
        <v>72</v>
      </c>
      <c r="I606" s="7">
        <v>78</v>
      </c>
      <c r="J606" s="7">
        <v>74</v>
      </c>
      <c r="K606" s="7">
        <v>72</v>
      </c>
    </row>
    <row r="607" spans="1:11" ht="28.8" x14ac:dyDescent="0.3">
      <c r="A607" s="1">
        <v>52</v>
      </c>
      <c r="B607" s="1">
        <v>2024</v>
      </c>
      <c r="C607" s="3">
        <v>45427</v>
      </c>
      <c r="D607" s="8" t="s">
        <v>11</v>
      </c>
      <c r="E607" s="9" t="s">
        <v>27</v>
      </c>
      <c r="F607" s="9" t="s">
        <v>13</v>
      </c>
      <c r="G607" s="10"/>
      <c r="H607" s="11">
        <v>55</v>
      </c>
      <c r="I607" s="11">
        <v>86</v>
      </c>
      <c r="J607" s="11">
        <v>75</v>
      </c>
      <c r="K607" s="11">
        <v>84</v>
      </c>
    </row>
    <row r="608" spans="1:11" ht="28.8" x14ac:dyDescent="0.3">
      <c r="A608" s="1">
        <v>52</v>
      </c>
      <c r="B608" s="1">
        <v>2024</v>
      </c>
      <c r="C608" s="3">
        <v>45427</v>
      </c>
      <c r="D608" s="4" t="s">
        <v>11</v>
      </c>
      <c r="E608" s="5" t="s">
        <v>28</v>
      </c>
      <c r="F608" s="5" t="s">
        <v>13</v>
      </c>
      <c r="G608" s="7">
        <v>60</v>
      </c>
      <c r="H608" s="7">
        <v>50</v>
      </c>
      <c r="I608" s="7">
        <v>72</v>
      </c>
      <c r="J608" s="7" t="s">
        <v>238</v>
      </c>
      <c r="K608" s="7">
        <v>60</v>
      </c>
    </row>
    <row r="609" spans="1:11" ht="28.8" x14ac:dyDescent="0.3">
      <c r="A609" s="1">
        <v>52</v>
      </c>
      <c r="B609" s="1">
        <v>2024</v>
      </c>
      <c r="C609" s="3">
        <v>45427</v>
      </c>
      <c r="D609" s="8" t="s">
        <v>11</v>
      </c>
      <c r="E609" s="9" t="s">
        <v>29</v>
      </c>
      <c r="F609" s="9" t="s">
        <v>13</v>
      </c>
      <c r="G609" s="11">
        <v>54</v>
      </c>
      <c r="H609" s="11">
        <v>48</v>
      </c>
      <c r="I609" s="11">
        <v>54</v>
      </c>
      <c r="J609" s="11">
        <v>52</v>
      </c>
      <c r="K609" s="11">
        <v>54</v>
      </c>
    </row>
    <row r="610" spans="1:11" ht="28.8" x14ac:dyDescent="0.3">
      <c r="A610" s="1">
        <v>52</v>
      </c>
      <c r="B610" s="1">
        <v>2024</v>
      </c>
      <c r="C610" s="3">
        <v>45427</v>
      </c>
      <c r="D610" s="4" t="s">
        <v>30</v>
      </c>
      <c r="E610" s="5" t="s">
        <v>31</v>
      </c>
      <c r="F610" s="5" t="s">
        <v>32</v>
      </c>
      <c r="G610" s="7">
        <v>5</v>
      </c>
      <c r="H610" s="7">
        <v>5</v>
      </c>
      <c r="I610" s="7">
        <v>5</v>
      </c>
      <c r="J610" s="7">
        <v>5</v>
      </c>
      <c r="K610" s="7">
        <v>5</v>
      </c>
    </row>
    <row r="611" spans="1:11" ht="28.8" x14ac:dyDescent="0.3">
      <c r="A611" s="1">
        <v>52</v>
      </c>
      <c r="B611" s="1">
        <v>2024</v>
      </c>
      <c r="C611" s="3">
        <v>45427</v>
      </c>
      <c r="D611" s="8" t="s">
        <v>30</v>
      </c>
      <c r="E611" s="9" t="s">
        <v>34</v>
      </c>
      <c r="F611" s="9" t="s">
        <v>35</v>
      </c>
      <c r="G611" s="11">
        <v>25</v>
      </c>
      <c r="H611" s="11">
        <v>25</v>
      </c>
      <c r="I611" s="11">
        <v>28</v>
      </c>
      <c r="J611" s="11">
        <v>26</v>
      </c>
      <c r="K611" s="11">
        <v>25</v>
      </c>
    </row>
    <row r="612" spans="1:11" ht="28.8" x14ac:dyDescent="0.3">
      <c r="A612" s="1">
        <v>52</v>
      </c>
      <c r="B612" s="1">
        <v>2024</v>
      </c>
      <c r="C612" s="3">
        <v>45427</v>
      </c>
      <c r="D612" s="4" t="s">
        <v>30</v>
      </c>
      <c r="E612" s="5" t="s">
        <v>36</v>
      </c>
      <c r="F612" s="5" t="s">
        <v>35</v>
      </c>
      <c r="G612" s="7">
        <v>30</v>
      </c>
      <c r="H612" s="7">
        <v>30</v>
      </c>
      <c r="I612" s="7">
        <v>35</v>
      </c>
      <c r="J612" s="7" t="s">
        <v>108</v>
      </c>
      <c r="K612" s="7">
        <v>30</v>
      </c>
    </row>
    <row r="613" spans="1:11" ht="43.2" x14ac:dyDescent="0.3">
      <c r="A613" s="1">
        <v>52</v>
      </c>
      <c r="B613" s="1">
        <v>2024</v>
      </c>
      <c r="C613" s="3">
        <v>45427</v>
      </c>
      <c r="D613" s="8" t="s">
        <v>38</v>
      </c>
      <c r="E613" s="9" t="s">
        <v>153</v>
      </c>
      <c r="F613" s="9" t="s">
        <v>154</v>
      </c>
      <c r="G613" s="10"/>
      <c r="H613" s="11">
        <v>85</v>
      </c>
      <c r="I613" s="11">
        <v>90</v>
      </c>
      <c r="J613" s="11" t="s">
        <v>239</v>
      </c>
      <c r="K613" s="11" t="s">
        <v>239</v>
      </c>
    </row>
    <row r="614" spans="1:11" ht="43.2" x14ac:dyDescent="0.3">
      <c r="A614" s="1">
        <v>52</v>
      </c>
      <c r="B614" s="1">
        <v>2024</v>
      </c>
      <c r="C614" s="3">
        <v>45427</v>
      </c>
      <c r="D614" s="4" t="s">
        <v>38</v>
      </c>
      <c r="E614" s="5" t="s">
        <v>39</v>
      </c>
      <c r="F614" s="5" t="s">
        <v>40</v>
      </c>
      <c r="G614" s="7">
        <v>50</v>
      </c>
      <c r="H614" s="7">
        <v>50</v>
      </c>
      <c r="I614" s="7">
        <v>80</v>
      </c>
      <c r="J614" s="7">
        <v>60</v>
      </c>
      <c r="K614" s="7">
        <v>55</v>
      </c>
    </row>
    <row r="615" spans="1:11" ht="43.2" x14ac:dyDescent="0.3">
      <c r="A615" s="1">
        <v>52</v>
      </c>
      <c r="B615" s="1">
        <v>2024</v>
      </c>
      <c r="C615" s="3">
        <v>45427</v>
      </c>
      <c r="D615" s="8" t="s">
        <v>38</v>
      </c>
      <c r="E615" s="9" t="s">
        <v>42</v>
      </c>
      <c r="F615" s="9" t="s">
        <v>43</v>
      </c>
      <c r="G615" s="11">
        <v>70</v>
      </c>
      <c r="H615" s="11">
        <v>45</v>
      </c>
      <c r="I615" s="11">
        <v>70</v>
      </c>
      <c r="J615" s="11" t="s">
        <v>101</v>
      </c>
      <c r="K615" s="11">
        <v>60</v>
      </c>
    </row>
    <row r="616" spans="1:11" ht="43.2" x14ac:dyDescent="0.3">
      <c r="A616" s="1">
        <v>52</v>
      </c>
      <c r="B616" s="1">
        <v>2024</v>
      </c>
      <c r="C616" s="3">
        <v>45427</v>
      </c>
      <c r="D616" s="4" t="s">
        <v>38</v>
      </c>
      <c r="E616" s="5" t="s">
        <v>44</v>
      </c>
      <c r="F616" s="5" t="s">
        <v>45</v>
      </c>
      <c r="G616" s="6"/>
      <c r="H616" s="7">
        <v>35</v>
      </c>
      <c r="I616" s="7">
        <v>60</v>
      </c>
      <c r="J616" s="7" t="s">
        <v>91</v>
      </c>
      <c r="K616" s="7" t="s">
        <v>91</v>
      </c>
    </row>
    <row r="617" spans="1:11" ht="43.2" x14ac:dyDescent="0.3">
      <c r="A617" s="1">
        <v>52</v>
      </c>
      <c r="B617" s="1">
        <v>2024</v>
      </c>
      <c r="C617" s="3">
        <v>45427</v>
      </c>
      <c r="D617" s="8" t="s">
        <v>38</v>
      </c>
      <c r="E617" s="9" t="s">
        <v>48</v>
      </c>
      <c r="F617" s="9" t="s">
        <v>45</v>
      </c>
      <c r="G617" s="11">
        <v>110</v>
      </c>
      <c r="H617" s="11">
        <v>110</v>
      </c>
      <c r="I617" s="11">
        <v>110</v>
      </c>
      <c r="J617" s="11">
        <v>110</v>
      </c>
      <c r="K617" s="11">
        <v>110</v>
      </c>
    </row>
    <row r="618" spans="1:11" ht="43.2" x14ac:dyDescent="0.3">
      <c r="A618" s="1">
        <v>52</v>
      </c>
      <c r="B618" s="1">
        <v>2024</v>
      </c>
      <c r="C618" s="3">
        <v>45427</v>
      </c>
      <c r="D618" s="4" t="s">
        <v>38</v>
      </c>
      <c r="E618" s="5" t="s">
        <v>49</v>
      </c>
      <c r="F618" s="5" t="s">
        <v>50</v>
      </c>
      <c r="G618" s="6"/>
      <c r="H618" s="7">
        <v>90</v>
      </c>
      <c r="I618" s="7">
        <v>160</v>
      </c>
      <c r="J618" s="7" t="s">
        <v>240</v>
      </c>
      <c r="K618" s="7">
        <v>130</v>
      </c>
    </row>
    <row r="619" spans="1:11" ht="43.2" x14ac:dyDescent="0.3">
      <c r="A619" s="1">
        <v>52</v>
      </c>
      <c r="B619" s="1">
        <v>2024</v>
      </c>
      <c r="C619" s="3">
        <v>45427</v>
      </c>
      <c r="D619" s="8" t="s">
        <v>38</v>
      </c>
      <c r="E619" s="9" t="s">
        <v>52</v>
      </c>
      <c r="F619" s="9" t="s">
        <v>43</v>
      </c>
      <c r="G619" s="10"/>
      <c r="H619" s="11">
        <v>100</v>
      </c>
      <c r="I619" s="11">
        <v>170</v>
      </c>
      <c r="J619" s="11" t="s">
        <v>170</v>
      </c>
      <c r="K619" s="11">
        <v>140</v>
      </c>
    </row>
    <row r="620" spans="1:11" ht="43.2" x14ac:dyDescent="0.3">
      <c r="A620" s="1">
        <v>52</v>
      </c>
      <c r="B620" s="1">
        <v>2024</v>
      </c>
      <c r="C620" s="3">
        <v>45427</v>
      </c>
      <c r="D620" s="4" t="s">
        <v>38</v>
      </c>
      <c r="E620" s="5" t="s">
        <v>53</v>
      </c>
      <c r="F620" s="5" t="s">
        <v>43</v>
      </c>
      <c r="G620" s="7">
        <v>60</v>
      </c>
      <c r="H620" s="7">
        <v>50</v>
      </c>
      <c r="I620" s="7">
        <v>60</v>
      </c>
      <c r="J620" s="7" t="s">
        <v>41</v>
      </c>
      <c r="K620" s="7">
        <v>60</v>
      </c>
    </row>
    <row r="621" spans="1:11" ht="43.2" x14ac:dyDescent="0.3">
      <c r="A621" s="1">
        <v>52</v>
      </c>
      <c r="B621" s="1">
        <v>2024</v>
      </c>
      <c r="C621" s="3">
        <v>45427</v>
      </c>
      <c r="D621" s="8" t="s">
        <v>38</v>
      </c>
      <c r="E621" s="9" t="s">
        <v>54</v>
      </c>
      <c r="F621" s="9" t="s">
        <v>40</v>
      </c>
      <c r="G621" s="10"/>
      <c r="H621" s="11">
        <v>60</v>
      </c>
      <c r="I621" s="11">
        <v>110</v>
      </c>
      <c r="J621" s="11">
        <v>90</v>
      </c>
      <c r="K621" s="11">
        <v>95</v>
      </c>
    </row>
    <row r="622" spans="1:11" ht="43.2" x14ac:dyDescent="0.3">
      <c r="A622" s="1">
        <v>52</v>
      </c>
      <c r="B622" s="1">
        <v>2024</v>
      </c>
      <c r="C622" s="3">
        <v>45427</v>
      </c>
      <c r="D622" s="4" t="s">
        <v>38</v>
      </c>
      <c r="E622" s="5" t="s">
        <v>56</v>
      </c>
      <c r="F622" s="5" t="s">
        <v>43</v>
      </c>
      <c r="G622" s="6"/>
      <c r="H622" s="7">
        <v>80</v>
      </c>
      <c r="I622" s="7">
        <v>80</v>
      </c>
      <c r="J622" s="7">
        <v>80</v>
      </c>
      <c r="K622" s="7">
        <v>80</v>
      </c>
    </row>
    <row r="623" spans="1:11" ht="43.2" x14ac:dyDescent="0.3">
      <c r="A623" s="1">
        <v>52</v>
      </c>
      <c r="B623" s="1">
        <v>2024</v>
      </c>
      <c r="C623" s="3">
        <v>45427</v>
      </c>
      <c r="D623" s="8" t="s">
        <v>38</v>
      </c>
      <c r="E623" s="9" t="s">
        <v>57</v>
      </c>
      <c r="F623" s="9" t="s">
        <v>40</v>
      </c>
      <c r="G623" s="11">
        <v>60</v>
      </c>
      <c r="H623" s="11">
        <v>60</v>
      </c>
      <c r="I623" s="11">
        <v>60</v>
      </c>
      <c r="J623" s="11">
        <v>60</v>
      </c>
      <c r="K623" s="11">
        <v>60</v>
      </c>
    </row>
    <row r="624" spans="1:11" ht="43.2" x14ac:dyDescent="0.3">
      <c r="A624" s="1">
        <v>52</v>
      </c>
      <c r="B624" s="1">
        <v>2024</v>
      </c>
      <c r="C624" s="3">
        <v>45427</v>
      </c>
      <c r="D624" s="4" t="s">
        <v>38</v>
      </c>
      <c r="E624" s="5" t="s">
        <v>58</v>
      </c>
      <c r="F624" s="5" t="s">
        <v>40</v>
      </c>
      <c r="G624" s="7">
        <v>90</v>
      </c>
      <c r="H624" s="7">
        <v>80</v>
      </c>
      <c r="I624" s="7">
        <v>90</v>
      </c>
      <c r="J624" s="7" t="s">
        <v>239</v>
      </c>
      <c r="K624" s="7">
        <v>90</v>
      </c>
    </row>
    <row r="625" spans="1:11" ht="43.2" x14ac:dyDescent="0.3">
      <c r="A625" s="1">
        <v>52</v>
      </c>
      <c r="B625" s="1">
        <v>2024</v>
      </c>
      <c r="C625" s="3">
        <v>45427</v>
      </c>
      <c r="D625" s="8" t="s">
        <v>38</v>
      </c>
      <c r="E625" s="9" t="s">
        <v>59</v>
      </c>
      <c r="F625" s="9" t="s">
        <v>45</v>
      </c>
      <c r="G625" s="11">
        <v>60</v>
      </c>
      <c r="H625" s="11">
        <v>50</v>
      </c>
      <c r="I625" s="11">
        <v>60</v>
      </c>
      <c r="J625" s="11">
        <v>55</v>
      </c>
      <c r="K625" s="11">
        <v>55</v>
      </c>
    </row>
    <row r="626" spans="1:11" ht="43.2" x14ac:dyDescent="0.3">
      <c r="A626" s="1">
        <v>52</v>
      </c>
      <c r="B626" s="1">
        <v>2024</v>
      </c>
      <c r="C626" s="3">
        <v>45427</v>
      </c>
      <c r="D626" s="4" t="s">
        <v>38</v>
      </c>
      <c r="E626" s="5" t="s">
        <v>60</v>
      </c>
      <c r="F626" s="5" t="s">
        <v>61</v>
      </c>
      <c r="G626" s="7">
        <v>110</v>
      </c>
      <c r="H626" s="7">
        <v>90</v>
      </c>
      <c r="I626" s="7">
        <v>120</v>
      </c>
      <c r="J626" s="7" t="s">
        <v>105</v>
      </c>
      <c r="K626" s="7">
        <v>110</v>
      </c>
    </row>
    <row r="627" spans="1:11" ht="43.2" x14ac:dyDescent="0.3">
      <c r="A627" s="1">
        <v>52</v>
      </c>
      <c r="B627" s="1">
        <v>2024</v>
      </c>
      <c r="C627" s="3">
        <v>45427</v>
      </c>
      <c r="D627" s="8" t="s">
        <v>38</v>
      </c>
      <c r="E627" s="9" t="s">
        <v>63</v>
      </c>
      <c r="F627" s="9" t="s">
        <v>40</v>
      </c>
      <c r="G627" s="10"/>
      <c r="H627" s="11">
        <v>100</v>
      </c>
      <c r="I627" s="11">
        <v>150</v>
      </c>
      <c r="J627" s="11">
        <v>125</v>
      </c>
      <c r="K627" s="11">
        <v>125</v>
      </c>
    </row>
    <row r="628" spans="1:11" ht="43.2" x14ac:dyDescent="0.3">
      <c r="A628" s="1">
        <v>52</v>
      </c>
      <c r="B628" s="1">
        <v>2024</v>
      </c>
      <c r="C628" s="3">
        <v>45427</v>
      </c>
      <c r="D628" s="4" t="s">
        <v>38</v>
      </c>
      <c r="E628" s="5" t="s">
        <v>64</v>
      </c>
      <c r="F628" s="5" t="s">
        <v>40</v>
      </c>
      <c r="G628" s="6"/>
      <c r="H628" s="7">
        <v>180</v>
      </c>
      <c r="I628" s="7">
        <v>200</v>
      </c>
      <c r="J628" s="7">
        <v>190</v>
      </c>
      <c r="K628" s="7">
        <v>190</v>
      </c>
    </row>
    <row r="629" spans="1:11" x14ac:dyDescent="0.3">
      <c r="A629" s="1">
        <v>52</v>
      </c>
      <c r="B629" s="1">
        <v>2024</v>
      </c>
      <c r="C629" s="3">
        <v>45427</v>
      </c>
      <c r="D629" s="8" t="s">
        <v>65</v>
      </c>
      <c r="E629" s="9" t="s">
        <v>66</v>
      </c>
      <c r="F629" s="9" t="s">
        <v>45</v>
      </c>
      <c r="G629" s="10"/>
      <c r="H629" s="11">
        <v>90</v>
      </c>
      <c r="I629" s="11">
        <v>90</v>
      </c>
      <c r="J629" s="11">
        <v>90</v>
      </c>
      <c r="K629" s="11">
        <v>90</v>
      </c>
    </row>
    <row r="630" spans="1:11" x14ac:dyDescent="0.3">
      <c r="A630" s="1">
        <v>52</v>
      </c>
      <c r="B630" s="1">
        <v>2024</v>
      </c>
      <c r="C630" s="3">
        <v>45427</v>
      </c>
      <c r="D630" s="4" t="s">
        <v>65</v>
      </c>
      <c r="E630" s="5" t="s">
        <v>67</v>
      </c>
      <c r="F630" s="5" t="s">
        <v>45</v>
      </c>
      <c r="G630" s="6"/>
      <c r="H630" s="7">
        <v>70</v>
      </c>
      <c r="I630" s="7">
        <v>80</v>
      </c>
      <c r="J630" s="7">
        <v>75</v>
      </c>
      <c r="K630" s="7">
        <v>75</v>
      </c>
    </row>
    <row r="631" spans="1:11" x14ac:dyDescent="0.3">
      <c r="A631" s="1">
        <v>52</v>
      </c>
      <c r="B631" s="1">
        <v>2024</v>
      </c>
      <c r="C631" s="3">
        <v>45427</v>
      </c>
      <c r="D631" s="8" t="s">
        <v>65</v>
      </c>
      <c r="E631" s="9" t="s">
        <v>68</v>
      </c>
      <c r="F631" s="9" t="s">
        <v>45</v>
      </c>
      <c r="G631" s="10"/>
      <c r="H631" s="11">
        <v>50</v>
      </c>
      <c r="I631" s="11">
        <v>70</v>
      </c>
      <c r="J631" s="11">
        <v>60</v>
      </c>
      <c r="K631" s="11">
        <v>60</v>
      </c>
    </row>
    <row r="632" spans="1:11" x14ac:dyDescent="0.3">
      <c r="A632" s="1">
        <v>52</v>
      </c>
      <c r="B632" s="1">
        <v>2024</v>
      </c>
      <c r="C632" s="3">
        <v>45427</v>
      </c>
      <c r="D632" s="4" t="s">
        <v>65</v>
      </c>
      <c r="E632" s="5" t="s">
        <v>69</v>
      </c>
      <c r="F632" s="5" t="s">
        <v>45</v>
      </c>
      <c r="G632" s="6"/>
      <c r="H632" s="7">
        <v>55</v>
      </c>
      <c r="I632" s="7">
        <v>55</v>
      </c>
      <c r="J632" s="7">
        <v>55</v>
      </c>
      <c r="K632" s="7">
        <v>55</v>
      </c>
    </row>
    <row r="633" spans="1:11" x14ac:dyDescent="0.3">
      <c r="A633" s="1">
        <v>52</v>
      </c>
      <c r="B633" s="1">
        <v>2024</v>
      </c>
      <c r="C633" s="3">
        <v>45427</v>
      </c>
      <c r="D633" s="8" t="s">
        <v>65</v>
      </c>
      <c r="E633" s="9" t="s">
        <v>70</v>
      </c>
      <c r="F633" s="9" t="s">
        <v>71</v>
      </c>
      <c r="G633" s="10"/>
      <c r="H633" s="11">
        <v>55</v>
      </c>
      <c r="I633" s="11">
        <v>60</v>
      </c>
      <c r="J633" s="11" t="s">
        <v>41</v>
      </c>
      <c r="K633" s="11" t="s">
        <v>41</v>
      </c>
    </row>
    <row r="634" spans="1:11" ht="28.8" x14ac:dyDescent="0.3">
      <c r="A634" s="1">
        <v>53</v>
      </c>
      <c r="B634" s="1">
        <v>2024</v>
      </c>
      <c r="C634" s="3">
        <v>45434</v>
      </c>
      <c r="D634" s="4" t="s">
        <v>11</v>
      </c>
      <c r="E634" s="5" t="s">
        <v>12</v>
      </c>
      <c r="F634" s="5" t="s">
        <v>13</v>
      </c>
      <c r="G634" s="7">
        <v>60</v>
      </c>
      <c r="H634" s="7">
        <v>60</v>
      </c>
      <c r="I634" s="7">
        <v>80</v>
      </c>
      <c r="J634" s="7" t="s">
        <v>102</v>
      </c>
      <c r="K634" s="7">
        <v>60</v>
      </c>
    </row>
    <row r="635" spans="1:11" ht="28.8" x14ac:dyDescent="0.3">
      <c r="A635" s="1">
        <v>53</v>
      </c>
      <c r="B635" s="1">
        <v>2024</v>
      </c>
      <c r="C635" s="3">
        <v>45434</v>
      </c>
      <c r="D635" s="8" t="s">
        <v>11</v>
      </c>
      <c r="E635" s="9" t="s">
        <v>14</v>
      </c>
      <c r="F635" s="9" t="s">
        <v>13</v>
      </c>
      <c r="G635" s="11">
        <v>84</v>
      </c>
      <c r="H635" s="11">
        <v>72</v>
      </c>
      <c r="I635" s="11">
        <v>84</v>
      </c>
      <c r="J635" s="11">
        <v>80</v>
      </c>
      <c r="K635" s="11">
        <v>84</v>
      </c>
    </row>
    <row r="636" spans="1:11" ht="28.8" x14ac:dyDescent="0.3">
      <c r="A636" s="1">
        <v>53</v>
      </c>
      <c r="B636" s="1">
        <v>2024</v>
      </c>
      <c r="C636" s="3">
        <v>45434</v>
      </c>
      <c r="D636" s="4" t="s">
        <v>11</v>
      </c>
      <c r="E636" s="5" t="s">
        <v>15</v>
      </c>
      <c r="F636" s="5" t="s">
        <v>13</v>
      </c>
      <c r="G636" s="6"/>
      <c r="H636" s="7">
        <v>36</v>
      </c>
      <c r="I636" s="7">
        <v>48</v>
      </c>
      <c r="J636" s="7">
        <v>42</v>
      </c>
      <c r="K636" s="7">
        <v>42</v>
      </c>
    </row>
    <row r="637" spans="1:11" ht="28.8" x14ac:dyDescent="0.3">
      <c r="A637" s="1">
        <v>53</v>
      </c>
      <c r="B637" s="1">
        <v>2024</v>
      </c>
      <c r="C637" s="3">
        <v>45434</v>
      </c>
      <c r="D637" s="8" t="s">
        <v>11</v>
      </c>
      <c r="E637" s="9" t="s">
        <v>16</v>
      </c>
      <c r="F637" s="9" t="s">
        <v>13</v>
      </c>
      <c r="G637" s="11">
        <v>30</v>
      </c>
      <c r="H637" s="11">
        <v>30</v>
      </c>
      <c r="I637" s="11">
        <v>30</v>
      </c>
      <c r="J637" s="11">
        <v>30</v>
      </c>
      <c r="K637" s="11">
        <v>30</v>
      </c>
    </row>
    <row r="638" spans="1:11" ht="28.8" x14ac:dyDescent="0.3">
      <c r="A638" s="1">
        <v>53</v>
      </c>
      <c r="B638" s="1">
        <v>2024</v>
      </c>
      <c r="C638" s="3">
        <v>45434</v>
      </c>
      <c r="D638" s="4" t="s">
        <v>11</v>
      </c>
      <c r="E638" s="5" t="s">
        <v>17</v>
      </c>
      <c r="F638" s="5" t="s">
        <v>13</v>
      </c>
      <c r="G638" s="7">
        <v>30</v>
      </c>
      <c r="H638" s="7">
        <v>24</v>
      </c>
      <c r="I638" s="7">
        <v>30</v>
      </c>
      <c r="J638" s="7">
        <v>28</v>
      </c>
      <c r="K638" s="7">
        <v>30</v>
      </c>
    </row>
    <row r="639" spans="1:11" ht="28.8" x14ac:dyDescent="0.3">
      <c r="A639" s="1">
        <v>53</v>
      </c>
      <c r="B639" s="1">
        <v>2024</v>
      </c>
      <c r="C639" s="3">
        <v>45434</v>
      </c>
      <c r="D639" s="8" t="s">
        <v>11</v>
      </c>
      <c r="E639" s="9" t="s">
        <v>18</v>
      </c>
      <c r="F639" s="9" t="s">
        <v>13</v>
      </c>
      <c r="G639" s="11">
        <v>60</v>
      </c>
      <c r="H639" s="11">
        <v>60</v>
      </c>
      <c r="I639" s="11">
        <v>60</v>
      </c>
      <c r="J639" s="11">
        <v>60</v>
      </c>
      <c r="K639" s="11">
        <v>60</v>
      </c>
    </row>
    <row r="640" spans="1:11" ht="28.8" x14ac:dyDescent="0.3">
      <c r="A640" s="1">
        <v>53</v>
      </c>
      <c r="B640" s="1">
        <v>2024</v>
      </c>
      <c r="C640" s="3">
        <v>45434</v>
      </c>
      <c r="D640" s="4" t="s">
        <v>11</v>
      </c>
      <c r="E640" s="5" t="s">
        <v>19</v>
      </c>
      <c r="F640" s="5" t="s">
        <v>13</v>
      </c>
      <c r="G640" s="7">
        <v>72</v>
      </c>
      <c r="H640" s="7">
        <v>72</v>
      </c>
      <c r="I640" s="7">
        <v>78</v>
      </c>
      <c r="J640" s="7">
        <v>74</v>
      </c>
      <c r="K640" s="7">
        <v>72</v>
      </c>
    </row>
    <row r="641" spans="1:11" ht="28.8" x14ac:dyDescent="0.3">
      <c r="A641" s="1">
        <v>53</v>
      </c>
      <c r="B641" s="1">
        <v>2024</v>
      </c>
      <c r="C641" s="3">
        <v>45434</v>
      </c>
      <c r="D641" s="8" t="s">
        <v>11</v>
      </c>
      <c r="E641" s="9" t="s">
        <v>20</v>
      </c>
      <c r="F641" s="9" t="s">
        <v>13</v>
      </c>
      <c r="G641" s="11">
        <v>96</v>
      </c>
      <c r="H641" s="11">
        <v>72</v>
      </c>
      <c r="I641" s="11">
        <v>96</v>
      </c>
      <c r="J641" s="11">
        <v>88</v>
      </c>
      <c r="K641" s="11">
        <v>96</v>
      </c>
    </row>
    <row r="642" spans="1:11" ht="28.8" x14ac:dyDescent="0.3">
      <c r="A642" s="1">
        <v>53</v>
      </c>
      <c r="B642" s="1">
        <v>2024</v>
      </c>
      <c r="C642" s="3">
        <v>45434</v>
      </c>
      <c r="D642" s="4" t="s">
        <v>11</v>
      </c>
      <c r="E642" s="5" t="s">
        <v>21</v>
      </c>
      <c r="F642" s="5" t="s">
        <v>13</v>
      </c>
      <c r="G642" s="7">
        <v>24</v>
      </c>
      <c r="H642" s="7">
        <v>24</v>
      </c>
      <c r="I642" s="7">
        <v>30</v>
      </c>
      <c r="J642" s="7">
        <v>26</v>
      </c>
      <c r="K642" s="7">
        <v>24</v>
      </c>
    </row>
    <row r="643" spans="1:11" ht="28.8" x14ac:dyDescent="0.3">
      <c r="A643" s="1">
        <v>53</v>
      </c>
      <c r="B643" s="1">
        <v>2024</v>
      </c>
      <c r="C643" s="3">
        <v>45434</v>
      </c>
      <c r="D643" s="8" t="s">
        <v>11</v>
      </c>
      <c r="E643" s="9" t="s">
        <v>73</v>
      </c>
      <c r="F643" s="9" t="s">
        <v>13</v>
      </c>
      <c r="G643" s="11">
        <v>72</v>
      </c>
      <c r="H643" s="11">
        <v>72</v>
      </c>
      <c r="I643" s="11">
        <v>84</v>
      </c>
      <c r="J643" s="11">
        <v>76</v>
      </c>
      <c r="K643" s="11">
        <v>72</v>
      </c>
    </row>
    <row r="644" spans="1:11" ht="28.8" x14ac:dyDescent="0.3">
      <c r="A644" s="1">
        <v>53</v>
      </c>
      <c r="B644" s="1">
        <v>2024</v>
      </c>
      <c r="C644" s="3">
        <v>45434</v>
      </c>
      <c r="D644" s="4" t="s">
        <v>11</v>
      </c>
      <c r="E644" s="5" t="s">
        <v>23</v>
      </c>
      <c r="F644" s="5" t="s">
        <v>13</v>
      </c>
      <c r="G644" s="7">
        <v>30</v>
      </c>
      <c r="H644" s="7">
        <v>30</v>
      </c>
      <c r="I644" s="7">
        <v>30</v>
      </c>
      <c r="J644" s="7">
        <v>30</v>
      </c>
      <c r="K644" s="7">
        <v>30</v>
      </c>
    </row>
    <row r="645" spans="1:11" ht="28.8" x14ac:dyDescent="0.3">
      <c r="A645" s="1">
        <v>53</v>
      </c>
      <c r="B645" s="1">
        <v>2024</v>
      </c>
      <c r="C645" s="3">
        <v>45434</v>
      </c>
      <c r="D645" s="8" t="s">
        <v>11</v>
      </c>
      <c r="E645" s="9" t="s">
        <v>24</v>
      </c>
      <c r="F645" s="9" t="s">
        <v>13</v>
      </c>
      <c r="G645" s="10"/>
      <c r="H645" s="11">
        <v>78</v>
      </c>
      <c r="I645" s="11">
        <v>96</v>
      </c>
      <c r="J645" s="11">
        <v>86</v>
      </c>
      <c r="K645" s="11">
        <v>84</v>
      </c>
    </row>
    <row r="646" spans="1:11" ht="28.8" x14ac:dyDescent="0.3">
      <c r="A646" s="1">
        <v>53</v>
      </c>
      <c r="B646" s="1">
        <v>2024</v>
      </c>
      <c r="C646" s="3">
        <v>45434</v>
      </c>
      <c r="D646" s="4" t="s">
        <v>11</v>
      </c>
      <c r="E646" s="5" t="s">
        <v>25</v>
      </c>
      <c r="F646" s="5" t="s">
        <v>26</v>
      </c>
      <c r="G646" s="7">
        <v>60</v>
      </c>
      <c r="H646" s="7">
        <v>60</v>
      </c>
      <c r="I646" s="7">
        <v>78</v>
      </c>
      <c r="J646" s="7">
        <v>66</v>
      </c>
      <c r="K646" s="7">
        <v>60</v>
      </c>
    </row>
    <row r="647" spans="1:11" ht="28.8" x14ac:dyDescent="0.3">
      <c r="A647" s="1">
        <v>53</v>
      </c>
      <c r="B647" s="1">
        <v>2024</v>
      </c>
      <c r="C647" s="3">
        <v>45434</v>
      </c>
      <c r="D647" s="8" t="s">
        <v>11</v>
      </c>
      <c r="E647" s="9" t="s">
        <v>27</v>
      </c>
      <c r="F647" s="9" t="s">
        <v>13</v>
      </c>
      <c r="G647" s="11">
        <v>84</v>
      </c>
      <c r="H647" s="11">
        <v>84</v>
      </c>
      <c r="I647" s="11">
        <v>96</v>
      </c>
      <c r="J647" s="11">
        <v>88</v>
      </c>
      <c r="K647" s="11">
        <v>84</v>
      </c>
    </row>
    <row r="648" spans="1:11" ht="28.8" x14ac:dyDescent="0.3">
      <c r="A648" s="1">
        <v>53</v>
      </c>
      <c r="B648" s="1">
        <v>2024</v>
      </c>
      <c r="C648" s="3">
        <v>45434</v>
      </c>
      <c r="D648" s="4" t="s">
        <v>11</v>
      </c>
      <c r="E648" s="5" t="s">
        <v>28</v>
      </c>
      <c r="F648" s="5" t="s">
        <v>13</v>
      </c>
      <c r="G648" s="7">
        <v>60</v>
      </c>
      <c r="H648" s="7">
        <v>60</v>
      </c>
      <c r="I648" s="7">
        <v>70</v>
      </c>
      <c r="J648" s="7" t="s">
        <v>241</v>
      </c>
      <c r="K648" s="7">
        <v>60</v>
      </c>
    </row>
    <row r="649" spans="1:11" ht="28.8" x14ac:dyDescent="0.3">
      <c r="A649" s="1">
        <v>53</v>
      </c>
      <c r="B649" s="1">
        <v>2024</v>
      </c>
      <c r="C649" s="3">
        <v>45434</v>
      </c>
      <c r="D649" s="8" t="s">
        <v>11</v>
      </c>
      <c r="E649" s="9" t="s">
        <v>29</v>
      </c>
      <c r="F649" s="9" t="s">
        <v>13</v>
      </c>
      <c r="G649" s="11">
        <v>54</v>
      </c>
      <c r="H649" s="11">
        <v>48</v>
      </c>
      <c r="I649" s="11">
        <v>54</v>
      </c>
      <c r="J649" s="11">
        <v>52</v>
      </c>
      <c r="K649" s="11">
        <v>54</v>
      </c>
    </row>
    <row r="650" spans="1:11" ht="28.8" x14ac:dyDescent="0.3">
      <c r="A650" s="1">
        <v>53</v>
      </c>
      <c r="B650" s="1">
        <v>2024</v>
      </c>
      <c r="C650" s="3">
        <v>45434</v>
      </c>
      <c r="D650" s="4" t="s">
        <v>30</v>
      </c>
      <c r="E650" s="5" t="s">
        <v>31</v>
      </c>
      <c r="F650" s="5" t="s">
        <v>32</v>
      </c>
      <c r="G650" s="7">
        <v>5</v>
      </c>
      <c r="H650" s="7">
        <v>5</v>
      </c>
      <c r="I650" s="7">
        <v>6</v>
      </c>
      <c r="J650" s="7" t="s">
        <v>242</v>
      </c>
      <c r="K650" s="7">
        <v>5</v>
      </c>
    </row>
    <row r="651" spans="1:11" ht="28.8" x14ac:dyDescent="0.3">
      <c r="A651" s="1">
        <v>53</v>
      </c>
      <c r="B651" s="1">
        <v>2024</v>
      </c>
      <c r="C651" s="3">
        <v>45434</v>
      </c>
      <c r="D651" s="8" t="s">
        <v>30</v>
      </c>
      <c r="E651" s="9" t="s">
        <v>34</v>
      </c>
      <c r="F651" s="9" t="s">
        <v>35</v>
      </c>
      <c r="G651" s="11">
        <v>25</v>
      </c>
      <c r="H651" s="11">
        <v>20</v>
      </c>
      <c r="I651" s="11">
        <v>25</v>
      </c>
      <c r="J651" s="11" t="s">
        <v>110</v>
      </c>
      <c r="K651" s="11">
        <v>25</v>
      </c>
    </row>
    <row r="652" spans="1:11" ht="28.8" x14ac:dyDescent="0.3">
      <c r="A652" s="1">
        <v>53</v>
      </c>
      <c r="B652" s="1">
        <v>2024</v>
      </c>
      <c r="C652" s="3">
        <v>45434</v>
      </c>
      <c r="D652" s="4" t="s">
        <v>30</v>
      </c>
      <c r="E652" s="5" t="s">
        <v>36</v>
      </c>
      <c r="F652" s="5" t="s">
        <v>35</v>
      </c>
      <c r="G652" s="6"/>
      <c r="H652" s="7">
        <v>25</v>
      </c>
      <c r="I652" s="7">
        <v>32</v>
      </c>
      <c r="J652" s="7">
        <v>29</v>
      </c>
      <c r="K652" s="7">
        <v>30</v>
      </c>
    </row>
    <row r="653" spans="1:11" ht="43.2" x14ac:dyDescent="0.3">
      <c r="A653" s="1">
        <v>53</v>
      </c>
      <c r="B653" s="1">
        <v>2024</v>
      </c>
      <c r="C653" s="3">
        <v>45434</v>
      </c>
      <c r="D653" s="8" t="s">
        <v>38</v>
      </c>
      <c r="E653" s="9" t="s">
        <v>153</v>
      </c>
      <c r="F653" s="9" t="s">
        <v>154</v>
      </c>
      <c r="G653" s="10"/>
      <c r="H653" s="11">
        <v>85</v>
      </c>
      <c r="I653" s="11">
        <v>90</v>
      </c>
      <c r="J653" s="11" t="s">
        <v>239</v>
      </c>
      <c r="K653" s="11" t="s">
        <v>239</v>
      </c>
    </row>
    <row r="654" spans="1:11" ht="43.2" x14ac:dyDescent="0.3">
      <c r="A654" s="1">
        <v>53</v>
      </c>
      <c r="B654" s="1">
        <v>2024</v>
      </c>
      <c r="C654" s="3">
        <v>45434</v>
      </c>
      <c r="D654" s="4" t="s">
        <v>38</v>
      </c>
      <c r="E654" s="5" t="s">
        <v>39</v>
      </c>
      <c r="F654" s="5" t="s">
        <v>40</v>
      </c>
      <c r="G654" s="7">
        <v>70</v>
      </c>
      <c r="H654" s="7">
        <v>60</v>
      </c>
      <c r="I654" s="7">
        <v>70</v>
      </c>
      <c r="J654" s="7" t="s">
        <v>84</v>
      </c>
      <c r="K654" s="7">
        <v>70</v>
      </c>
    </row>
    <row r="655" spans="1:11" ht="43.2" x14ac:dyDescent="0.3">
      <c r="A655" s="1">
        <v>53</v>
      </c>
      <c r="B655" s="1">
        <v>2024</v>
      </c>
      <c r="C655" s="3">
        <v>45434</v>
      </c>
      <c r="D655" s="8" t="s">
        <v>38</v>
      </c>
      <c r="E655" s="9" t="s">
        <v>42</v>
      </c>
      <c r="F655" s="9" t="s">
        <v>43</v>
      </c>
      <c r="G655" s="11">
        <v>65</v>
      </c>
      <c r="H655" s="11">
        <v>45</v>
      </c>
      <c r="I655" s="11">
        <v>65</v>
      </c>
      <c r="J655" s="11" t="s">
        <v>235</v>
      </c>
      <c r="K655" s="11" t="s">
        <v>41</v>
      </c>
    </row>
    <row r="656" spans="1:11" ht="43.2" x14ac:dyDescent="0.3">
      <c r="A656" s="1">
        <v>53</v>
      </c>
      <c r="B656" s="1">
        <v>2024</v>
      </c>
      <c r="C656" s="3">
        <v>45434</v>
      </c>
      <c r="D656" s="4" t="s">
        <v>38</v>
      </c>
      <c r="E656" s="5" t="s">
        <v>44</v>
      </c>
      <c r="F656" s="5" t="s">
        <v>45</v>
      </c>
      <c r="G656" s="7">
        <v>50</v>
      </c>
      <c r="H656" s="7">
        <v>40</v>
      </c>
      <c r="I656" s="7">
        <v>50</v>
      </c>
      <c r="J656" s="7" t="s">
        <v>91</v>
      </c>
      <c r="K656" s="7">
        <v>50</v>
      </c>
    </row>
    <row r="657" spans="1:11" ht="43.2" x14ac:dyDescent="0.3">
      <c r="A657" s="1">
        <v>53</v>
      </c>
      <c r="B657" s="1">
        <v>2024</v>
      </c>
      <c r="C657" s="3">
        <v>45434</v>
      </c>
      <c r="D657" s="8" t="s">
        <v>38</v>
      </c>
      <c r="E657" s="9" t="s">
        <v>48</v>
      </c>
      <c r="F657" s="9" t="s">
        <v>45</v>
      </c>
      <c r="G657" s="11">
        <v>100</v>
      </c>
      <c r="H657" s="11">
        <v>90</v>
      </c>
      <c r="I657" s="11">
        <v>100</v>
      </c>
      <c r="J657" s="11" t="s">
        <v>184</v>
      </c>
      <c r="K657" s="11">
        <v>100</v>
      </c>
    </row>
    <row r="658" spans="1:11" ht="43.2" x14ac:dyDescent="0.3">
      <c r="A658" s="1">
        <v>53</v>
      </c>
      <c r="B658" s="1">
        <v>2024</v>
      </c>
      <c r="C658" s="3">
        <v>45434</v>
      </c>
      <c r="D658" s="4" t="s">
        <v>38</v>
      </c>
      <c r="E658" s="5" t="s">
        <v>49</v>
      </c>
      <c r="F658" s="5" t="s">
        <v>50</v>
      </c>
      <c r="G658" s="7">
        <v>110</v>
      </c>
      <c r="H658" s="7">
        <v>110</v>
      </c>
      <c r="I658" s="7">
        <v>150</v>
      </c>
      <c r="J658" s="7" t="s">
        <v>243</v>
      </c>
      <c r="K658" s="7" t="s">
        <v>240</v>
      </c>
    </row>
    <row r="659" spans="1:11" ht="43.2" x14ac:dyDescent="0.3">
      <c r="A659" s="1">
        <v>53</v>
      </c>
      <c r="B659" s="1">
        <v>2024</v>
      </c>
      <c r="C659" s="3">
        <v>45434</v>
      </c>
      <c r="D659" s="8" t="s">
        <v>38</v>
      </c>
      <c r="E659" s="9" t="s">
        <v>52</v>
      </c>
      <c r="F659" s="9" t="s">
        <v>43</v>
      </c>
      <c r="G659" s="11">
        <v>170</v>
      </c>
      <c r="H659" s="11">
        <v>100</v>
      </c>
      <c r="I659" s="11">
        <v>170</v>
      </c>
      <c r="J659" s="11">
        <v>135</v>
      </c>
      <c r="K659" s="11">
        <v>135</v>
      </c>
    </row>
    <row r="660" spans="1:11" ht="43.2" x14ac:dyDescent="0.3">
      <c r="A660" s="1">
        <v>53</v>
      </c>
      <c r="B660" s="1">
        <v>2024</v>
      </c>
      <c r="C660" s="3">
        <v>45434</v>
      </c>
      <c r="D660" s="4" t="s">
        <v>38</v>
      </c>
      <c r="E660" s="5" t="s">
        <v>53</v>
      </c>
      <c r="F660" s="5" t="s">
        <v>43</v>
      </c>
      <c r="G660" s="7">
        <v>50</v>
      </c>
      <c r="H660" s="7">
        <v>50</v>
      </c>
      <c r="I660" s="7">
        <v>60</v>
      </c>
      <c r="J660" s="7">
        <v>55</v>
      </c>
      <c r="K660" s="7">
        <v>55</v>
      </c>
    </row>
    <row r="661" spans="1:11" ht="43.2" x14ac:dyDescent="0.3">
      <c r="A661" s="1">
        <v>53</v>
      </c>
      <c r="B661" s="1">
        <v>2024</v>
      </c>
      <c r="C661" s="3">
        <v>45434</v>
      </c>
      <c r="D661" s="8" t="s">
        <v>38</v>
      </c>
      <c r="E661" s="9" t="s">
        <v>54</v>
      </c>
      <c r="F661" s="9" t="s">
        <v>40</v>
      </c>
      <c r="G661" s="11">
        <v>90</v>
      </c>
      <c r="H661" s="11">
        <v>80</v>
      </c>
      <c r="I661" s="11">
        <v>90</v>
      </c>
      <c r="J661" s="11" t="s">
        <v>244</v>
      </c>
      <c r="K661" s="11">
        <v>90</v>
      </c>
    </row>
    <row r="662" spans="1:11" ht="43.2" x14ac:dyDescent="0.3">
      <c r="A662" s="1">
        <v>53</v>
      </c>
      <c r="B662" s="1">
        <v>2024</v>
      </c>
      <c r="C662" s="3">
        <v>45434</v>
      </c>
      <c r="D662" s="4" t="s">
        <v>38</v>
      </c>
      <c r="E662" s="5" t="s">
        <v>56</v>
      </c>
      <c r="F662" s="5" t="s">
        <v>43</v>
      </c>
      <c r="G662" s="7">
        <v>75</v>
      </c>
      <c r="H662" s="7">
        <v>75</v>
      </c>
      <c r="I662" s="7">
        <v>75</v>
      </c>
      <c r="J662" s="7">
        <v>75</v>
      </c>
      <c r="K662" s="7">
        <v>75</v>
      </c>
    </row>
    <row r="663" spans="1:11" ht="43.2" x14ac:dyDescent="0.3">
      <c r="A663" s="1">
        <v>53</v>
      </c>
      <c r="B663" s="1">
        <v>2024</v>
      </c>
      <c r="C663" s="3">
        <v>45434</v>
      </c>
      <c r="D663" s="8" t="s">
        <v>38</v>
      </c>
      <c r="E663" s="9" t="s">
        <v>57</v>
      </c>
      <c r="F663" s="9" t="s">
        <v>40</v>
      </c>
      <c r="G663" s="10"/>
      <c r="H663" s="11">
        <v>50</v>
      </c>
      <c r="I663" s="11">
        <v>85</v>
      </c>
      <c r="J663" s="11" t="s">
        <v>62</v>
      </c>
      <c r="K663" s="11">
        <v>70</v>
      </c>
    </row>
    <row r="664" spans="1:11" ht="43.2" x14ac:dyDescent="0.3">
      <c r="A664" s="1">
        <v>53</v>
      </c>
      <c r="B664" s="1">
        <v>2024</v>
      </c>
      <c r="C664" s="3">
        <v>45434</v>
      </c>
      <c r="D664" s="4" t="s">
        <v>38</v>
      </c>
      <c r="E664" s="5" t="s">
        <v>58</v>
      </c>
      <c r="F664" s="5" t="s">
        <v>40</v>
      </c>
      <c r="G664" s="7">
        <v>80</v>
      </c>
      <c r="H664" s="7">
        <v>80</v>
      </c>
      <c r="I664" s="7">
        <v>150</v>
      </c>
      <c r="J664" s="7">
        <v>100</v>
      </c>
      <c r="K664" s="7">
        <v>85</v>
      </c>
    </row>
    <row r="665" spans="1:11" ht="43.2" x14ac:dyDescent="0.3">
      <c r="A665" s="1">
        <v>53</v>
      </c>
      <c r="B665" s="1">
        <v>2024</v>
      </c>
      <c r="C665" s="3">
        <v>45434</v>
      </c>
      <c r="D665" s="8" t="s">
        <v>38</v>
      </c>
      <c r="E665" s="9" t="s">
        <v>59</v>
      </c>
      <c r="F665" s="9" t="s">
        <v>45</v>
      </c>
      <c r="G665" s="11">
        <v>50</v>
      </c>
      <c r="H665" s="11">
        <v>50</v>
      </c>
      <c r="I665" s="11">
        <v>65</v>
      </c>
      <c r="J665" s="11">
        <v>56</v>
      </c>
      <c r="K665" s="11">
        <v>55</v>
      </c>
    </row>
    <row r="666" spans="1:11" ht="43.2" x14ac:dyDescent="0.3">
      <c r="A666" s="1">
        <v>53</v>
      </c>
      <c r="B666" s="1">
        <v>2024</v>
      </c>
      <c r="C666" s="3">
        <v>45434</v>
      </c>
      <c r="D666" s="4" t="s">
        <v>38</v>
      </c>
      <c r="E666" s="5" t="s">
        <v>60</v>
      </c>
      <c r="F666" s="5" t="s">
        <v>61</v>
      </c>
      <c r="G666" s="7">
        <v>120</v>
      </c>
      <c r="H666" s="7">
        <v>100</v>
      </c>
      <c r="I666" s="7">
        <v>120</v>
      </c>
      <c r="J666" s="7" t="s">
        <v>166</v>
      </c>
      <c r="K666" s="7">
        <v>115</v>
      </c>
    </row>
    <row r="667" spans="1:11" ht="43.2" x14ac:dyDescent="0.3">
      <c r="A667" s="1">
        <v>53</v>
      </c>
      <c r="B667" s="1">
        <v>2024</v>
      </c>
      <c r="C667" s="3">
        <v>45434</v>
      </c>
      <c r="D667" s="8" t="s">
        <v>38</v>
      </c>
      <c r="E667" s="9" t="s">
        <v>63</v>
      </c>
      <c r="F667" s="9" t="s">
        <v>40</v>
      </c>
      <c r="G667" s="11">
        <v>140</v>
      </c>
      <c r="H667" s="11">
        <v>80</v>
      </c>
      <c r="I667" s="11">
        <v>140</v>
      </c>
      <c r="J667" s="11" t="s">
        <v>245</v>
      </c>
      <c r="K667" s="11">
        <v>105</v>
      </c>
    </row>
    <row r="668" spans="1:11" ht="43.2" x14ac:dyDescent="0.3">
      <c r="A668" s="1">
        <v>53</v>
      </c>
      <c r="B668" s="1">
        <v>2024</v>
      </c>
      <c r="C668" s="3">
        <v>45434</v>
      </c>
      <c r="D668" s="4" t="s">
        <v>38</v>
      </c>
      <c r="E668" s="5" t="s">
        <v>64</v>
      </c>
      <c r="F668" s="5" t="s">
        <v>40</v>
      </c>
      <c r="G668" s="7">
        <v>200</v>
      </c>
      <c r="H668" s="7">
        <v>170</v>
      </c>
      <c r="I668" s="7">
        <v>200</v>
      </c>
      <c r="J668" s="7">
        <v>190</v>
      </c>
      <c r="K668" s="7">
        <v>200</v>
      </c>
    </row>
    <row r="669" spans="1:11" x14ac:dyDescent="0.3">
      <c r="A669" s="1">
        <v>53</v>
      </c>
      <c r="B669" s="1">
        <v>2024</v>
      </c>
      <c r="C669" s="3">
        <v>45434</v>
      </c>
      <c r="D669" s="8" t="s">
        <v>65</v>
      </c>
      <c r="E669" s="9" t="s">
        <v>66</v>
      </c>
      <c r="F669" s="9" t="s">
        <v>45</v>
      </c>
      <c r="G669" s="10"/>
      <c r="H669" s="11">
        <v>170</v>
      </c>
      <c r="I669" s="11">
        <v>170</v>
      </c>
      <c r="J669" s="11">
        <v>170</v>
      </c>
      <c r="K669" s="11">
        <v>170</v>
      </c>
    </row>
    <row r="670" spans="1:11" x14ac:dyDescent="0.3">
      <c r="A670" s="1">
        <v>53</v>
      </c>
      <c r="B670" s="1">
        <v>2024</v>
      </c>
      <c r="C670" s="3">
        <v>45434</v>
      </c>
      <c r="D670" s="4" t="s">
        <v>65</v>
      </c>
      <c r="E670" s="5" t="s">
        <v>67</v>
      </c>
      <c r="F670" s="5" t="s">
        <v>45</v>
      </c>
      <c r="G670" s="6"/>
      <c r="H670" s="7">
        <v>75</v>
      </c>
      <c r="I670" s="7">
        <v>75</v>
      </c>
      <c r="J670" s="7">
        <v>75</v>
      </c>
      <c r="K670" s="7">
        <v>75</v>
      </c>
    </row>
    <row r="671" spans="1:11" x14ac:dyDescent="0.3">
      <c r="A671" s="1">
        <v>53</v>
      </c>
      <c r="B671" s="1">
        <v>2024</v>
      </c>
      <c r="C671" s="3">
        <v>45434</v>
      </c>
      <c r="D671" s="8" t="s">
        <v>65</v>
      </c>
      <c r="E671" s="9" t="s">
        <v>68</v>
      </c>
      <c r="F671" s="9" t="s">
        <v>45</v>
      </c>
      <c r="G671" s="10"/>
      <c r="H671" s="11">
        <v>0</v>
      </c>
      <c r="I671" s="11">
        <v>0</v>
      </c>
      <c r="J671" s="10"/>
      <c r="K671" s="10"/>
    </row>
    <row r="672" spans="1:11" x14ac:dyDescent="0.3">
      <c r="A672" s="1">
        <v>53</v>
      </c>
      <c r="B672" s="1">
        <v>2024</v>
      </c>
      <c r="C672" s="3">
        <v>45434</v>
      </c>
      <c r="D672" s="4" t="s">
        <v>65</v>
      </c>
      <c r="E672" s="5" t="s">
        <v>69</v>
      </c>
      <c r="F672" s="5" t="s">
        <v>45</v>
      </c>
      <c r="G672" s="6"/>
      <c r="H672" s="7">
        <v>50</v>
      </c>
      <c r="I672" s="7">
        <v>50</v>
      </c>
      <c r="J672" s="7">
        <v>50</v>
      </c>
      <c r="K672" s="7">
        <v>50</v>
      </c>
    </row>
    <row r="673" spans="1:11" x14ac:dyDescent="0.3">
      <c r="A673" s="1">
        <v>53</v>
      </c>
      <c r="B673" s="1">
        <v>2024</v>
      </c>
      <c r="C673" s="3">
        <v>45434</v>
      </c>
      <c r="D673" s="8" t="s">
        <v>65</v>
      </c>
      <c r="E673" s="9" t="s">
        <v>70</v>
      </c>
      <c r="F673" s="9" t="s">
        <v>71</v>
      </c>
      <c r="G673" s="10"/>
      <c r="H673" s="11">
        <v>50</v>
      </c>
      <c r="I673" s="11">
        <v>60</v>
      </c>
      <c r="J673" s="11">
        <v>55</v>
      </c>
      <c r="K673" s="11">
        <v>55</v>
      </c>
    </row>
    <row r="674" spans="1:11" ht="28.8" x14ac:dyDescent="0.3">
      <c r="A674" s="1">
        <v>54</v>
      </c>
      <c r="B674" s="1">
        <v>2024</v>
      </c>
      <c r="C674" s="3">
        <v>45441</v>
      </c>
      <c r="D674" s="4" t="s">
        <v>11</v>
      </c>
      <c r="E674" s="5" t="s">
        <v>12</v>
      </c>
      <c r="F674" s="5" t="s">
        <v>13</v>
      </c>
      <c r="G674" s="7">
        <v>60</v>
      </c>
      <c r="H674" s="7">
        <v>48</v>
      </c>
      <c r="I674" s="7">
        <v>66</v>
      </c>
      <c r="J674" s="7" t="s">
        <v>246</v>
      </c>
      <c r="K674" s="7">
        <v>60</v>
      </c>
    </row>
    <row r="675" spans="1:11" ht="28.8" x14ac:dyDescent="0.3">
      <c r="A675" s="1">
        <v>54</v>
      </c>
      <c r="B675" s="1">
        <v>2024</v>
      </c>
      <c r="C675" s="3">
        <v>45441</v>
      </c>
      <c r="D675" s="8" t="s">
        <v>11</v>
      </c>
      <c r="E675" s="9" t="s">
        <v>14</v>
      </c>
      <c r="F675" s="9" t="s">
        <v>13</v>
      </c>
      <c r="G675" s="11">
        <v>84</v>
      </c>
      <c r="H675" s="11">
        <v>60</v>
      </c>
      <c r="I675" s="11">
        <v>84</v>
      </c>
      <c r="J675" s="11">
        <v>78</v>
      </c>
      <c r="K675" s="11">
        <v>84</v>
      </c>
    </row>
    <row r="676" spans="1:11" ht="28.8" x14ac:dyDescent="0.3">
      <c r="A676" s="1">
        <v>54</v>
      </c>
      <c r="B676" s="1">
        <v>2024</v>
      </c>
      <c r="C676" s="3">
        <v>45441</v>
      </c>
      <c r="D676" s="4" t="s">
        <v>11</v>
      </c>
      <c r="E676" s="5" t="s">
        <v>15</v>
      </c>
      <c r="F676" s="5" t="s">
        <v>13</v>
      </c>
      <c r="G676" s="6"/>
      <c r="H676" s="7">
        <v>36</v>
      </c>
      <c r="I676" s="7">
        <v>54</v>
      </c>
      <c r="J676" s="7" t="s">
        <v>247</v>
      </c>
      <c r="K676" s="7">
        <v>44</v>
      </c>
    </row>
    <row r="677" spans="1:11" ht="28.8" x14ac:dyDescent="0.3">
      <c r="A677" s="1">
        <v>54</v>
      </c>
      <c r="B677" s="1">
        <v>2024</v>
      </c>
      <c r="C677" s="3">
        <v>45441</v>
      </c>
      <c r="D677" s="8" t="s">
        <v>11</v>
      </c>
      <c r="E677" s="9" t="s">
        <v>16</v>
      </c>
      <c r="F677" s="9" t="s">
        <v>13</v>
      </c>
      <c r="G677" s="11">
        <v>24</v>
      </c>
      <c r="H677" s="11">
        <v>24</v>
      </c>
      <c r="I677" s="11">
        <v>30</v>
      </c>
      <c r="J677" s="11">
        <v>27</v>
      </c>
      <c r="K677" s="11">
        <v>27</v>
      </c>
    </row>
    <row r="678" spans="1:11" ht="28.8" x14ac:dyDescent="0.3">
      <c r="A678" s="1">
        <v>54</v>
      </c>
      <c r="B678" s="1">
        <v>2024</v>
      </c>
      <c r="C678" s="3">
        <v>45441</v>
      </c>
      <c r="D678" s="4" t="s">
        <v>11</v>
      </c>
      <c r="E678" s="5" t="s">
        <v>17</v>
      </c>
      <c r="F678" s="5" t="s">
        <v>13</v>
      </c>
      <c r="G678" s="7">
        <v>24</v>
      </c>
      <c r="H678" s="7">
        <v>24</v>
      </c>
      <c r="I678" s="7">
        <v>30</v>
      </c>
      <c r="J678" s="7">
        <v>27</v>
      </c>
      <c r="K678" s="7">
        <v>27</v>
      </c>
    </row>
    <row r="679" spans="1:11" ht="28.8" x14ac:dyDescent="0.3">
      <c r="A679" s="1">
        <v>54</v>
      </c>
      <c r="B679" s="1">
        <v>2024</v>
      </c>
      <c r="C679" s="3">
        <v>45441</v>
      </c>
      <c r="D679" s="8" t="s">
        <v>11</v>
      </c>
      <c r="E679" s="9" t="s">
        <v>18</v>
      </c>
      <c r="F679" s="9" t="s">
        <v>13</v>
      </c>
      <c r="G679" s="11">
        <v>50</v>
      </c>
      <c r="H679" s="11">
        <v>48</v>
      </c>
      <c r="I679" s="11">
        <v>60</v>
      </c>
      <c r="J679" s="11">
        <v>52</v>
      </c>
      <c r="K679" s="11">
        <v>50</v>
      </c>
    </row>
    <row r="680" spans="1:11" ht="28.8" x14ac:dyDescent="0.3">
      <c r="A680" s="1">
        <v>54</v>
      </c>
      <c r="B680" s="1">
        <v>2024</v>
      </c>
      <c r="C680" s="3">
        <v>45441</v>
      </c>
      <c r="D680" s="4" t="s">
        <v>11</v>
      </c>
      <c r="E680" s="5" t="s">
        <v>19</v>
      </c>
      <c r="F680" s="5" t="s">
        <v>13</v>
      </c>
      <c r="G680" s="7">
        <v>84</v>
      </c>
      <c r="H680" s="7">
        <v>84</v>
      </c>
      <c r="I680" s="7">
        <v>96</v>
      </c>
      <c r="J680" s="7">
        <v>90</v>
      </c>
      <c r="K680" s="7">
        <v>90</v>
      </c>
    </row>
    <row r="681" spans="1:11" ht="28.8" x14ac:dyDescent="0.3">
      <c r="A681" s="1">
        <v>54</v>
      </c>
      <c r="B681" s="1">
        <v>2024</v>
      </c>
      <c r="C681" s="3">
        <v>45441</v>
      </c>
      <c r="D681" s="8" t="s">
        <v>11</v>
      </c>
      <c r="E681" s="9" t="s">
        <v>20</v>
      </c>
      <c r="F681" s="9" t="s">
        <v>13</v>
      </c>
      <c r="G681" s="11">
        <v>96</v>
      </c>
      <c r="H681" s="11">
        <v>84</v>
      </c>
      <c r="I681" s="11">
        <v>96</v>
      </c>
      <c r="J681" s="11">
        <v>93</v>
      </c>
      <c r="K681" s="11">
        <v>96</v>
      </c>
    </row>
    <row r="682" spans="1:11" ht="28.8" x14ac:dyDescent="0.3">
      <c r="A682" s="1">
        <v>54</v>
      </c>
      <c r="B682" s="1">
        <v>2024</v>
      </c>
      <c r="C682" s="3">
        <v>45441</v>
      </c>
      <c r="D682" s="4" t="s">
        <v>11</v>
      </c>
      <c r="E682" s="5" t="s">
        <v>21</v>
      </c>
      <c r="F682" s="5" t="s">
        <v>13</v>
      </c>
      <c r="G682" s="7">
        <v>24</v>
      </c>
      <c r="H682" s="7">
        <v>24</v>
      </c>
      <c r="I682" s="7">
        <v>30</v>
      </c>
      <c r="J682" s="7">
        <v>27</v>
      </c>
      <c r="K682" s="7">
        <v>27</v>
      </c>
    </row>
    <row r="683" spans="1:11" ht="28.8" x14ac:dyDescent="0.3">
      <c r="A683" s="1">
        <v>54</v>
      </c>
      <c r="B683" s="1">
        <v>2024</v>
      </c>
      <c r="C683" s="3">
        <v>45441</v>
      </c>
      <c r="D683" s="8" t="s">
        <v>11</v>
      </c>
      <c r="E683" s="9" t="s">
        <v>73</v>
      </c>
      <c r="F683" s="9" t="s">
        <v>13</v>
      </c>
      <c r="G683" s="11">
        <v>96</v>
      </c>
      <c r="H683" s="11">
        <v>96</v>
      </c>
      <c r="I683" s="11">
        <v>120</v>
      </c>
      <c r="J683" s="11">
        <v>102</v>
      </c>
      <c r="K683" s="11">
        <v>96</v>
      </c>
    </row>
    <row r="684" spans="1:11" ht="28.8" x14ac:dyDescent="0.3">
      <c r="A684" s="1">
        <v>54</v>
      </c>
      <c r="B684" s="1">
        <v>2024</v>
      </c>
      <c r="C684" s="3">
        <v>45441</v>
      </c>
      <c r="D684" s="4" t="s">
        <v>11</v>
      </c>
      <c r="E684" s="5" t="s">
        <v>23</v>
      </c>
      <c r="F684" s="5" t="s">
        <v>13</v>
      </c>
      <c r="G684" s="7">
        <v>24</v>
      </c>
      <c r="H684" s="7">
        <v>24</v>
      </c>
      <c r="I684" s="7">
        <v>30</v>
      </c>
      <c r="J684" s="7">
        <v>27</v>
      </c>
      <c r="K684" s="7">
        <v>27</v>
      </c>
    </row>
    <row r="685" spans="1:11" ht="28.8" x14ac:dyDescent="0.3">
      <c r="A685" s="1">
        <v>54</v>
      </c>
      <c r="B685" s="1">
        <v>2024</v>
      </c>
      <c r="C685" s="3">
        <v>45441</v>
      </c>
      <c r="D685" s="8" t="s">
        <v>11</v>
      </c>
      <c r="E685" s="9" t="s">
        <v>24</v>
      </c>
      <c r="F685" s="9" t="s">
        <v>13</v>
      </c>
      <c r="G685" s="10"/>
      <c r="H685" s="11">
        <v>66</v>
      </c>
      <c r="I685" s="11">
        <v>86</v>
      </c>
      <c r="J685" s="11" t="s">
        <v>248</v>
      </c>
      <c r="K685" s="11">
        <v>75</v>
      </c>
    </row>
    <row r="686" spans="1:11" ht="28.8" x14ac:dyDescent="0.3">
      <c r="A686" s="1">
        <v>54</v>
      </c>
      <c r="B686" s="1">
        <v>2024</v>
      </c>
      <c r="C686" s="3">
        <v>45441</v>
      </c>
      <c r="D686" s="4" t="s">
        <v>11</v>
      </c>
      <c r="E686" s="5" t="s">
        <v>25</v>
      </c>
      <c r="F686" s="5" t="s">
        <v>26</v>
      </c>
      <c r="G686" s="7">
        <v>48</v>
      </c>
      <c r="H686" s="7">
        <v>48</v>
      </c>
      <c r="I686" s="7">
        <v>72</v>
      </c>
      <c r="J686" s="7">
        <v>57</v>
      </c>
      <c r="K686" s="7">
        <v>54</v>
      </c>
    </row>
    <row r="687" spans="1:11" ht="28.8" x14ac:dyDescent="0.3">
      <c r="A687" s="1">
        <v>54</v>
      </c>
      <c r="B687" s="1">
        <v>2024</v>
      </c>
      <c r="C687" s="3">
        <v>45441</v>
      </c>
      <c r="D687" s="8" t="s">
        <v>11</v>
      </c>
      <c r="E687" s="9" t="s">
        <v>27</v>
      </c>
      <c r="F687" s="9" t="s">
        <v>13</v>
      </c>
      <c r="G687" s="10"/>
      <c r="H687" s="11">
        <v>60</v>
      </c>
      <c r="I687" s="11">
        <v>96</v>
      </c>
      <c r="J687" s="11">
        <v>78</v>
      </c>
      <c r="K687" s="11">
        <v>78</v>
      </c>
    </row>
    <row r="688" spans="1:11" ht="28.8" x14ac:dyDescent="0.3">
      <c r="A688" s="1">
        <v>54</v>
      </c>
      <c r="B688" s="1">
        <v>2024</v>
      </c>
      <c r="C688" s="3">
        <v>45441</v>
      </c>
      <c r="D688" s="4" t="s">
        <v>11</v>
      </c>
      <c r="E688" s="5" t="s">
        <v>28</v>
      </c>
      <c r="F688" s="5" t="s">
        <v>13</v>
      </c>
      <c r="G688" s="7">
        <v>48</v>
      </c>
      <c r="H688" s="7">
        <v>48</v>
      </c>
      <c r="I688" s="7">
        <v>72</v>
      </c>
      <c r="J688" s="7" t="s">
        <v>249</v>
      </c>
      <c r="K688" s="7">
        <v>50</v>
      </c>
    </row>
    <row r="689" spans="1:11" ht="28.8" x14ac:dyDescent="0.3">
      <c r="A689" s="1">
        <v>54</v>
      </c>
      <c r="B689" s="1">
        <v>2024</v>
      </c>
      <c r="C689" s="3">
        <v>45441</v>
      </c>
      <c r="D689" s="8" t="s">
        <v>11</v>
      </c>
      <c r="E689" s="9" t="s">
        <v>29</v>
      </c>
      <c r="F689" s="9" t="s">
        <v>13</v>
      </c>
      <c r="G689" s="11">
        <v>54</v>
      </c>
      <c r="H689" s="11">
        <v>48</v>
      </c>
      <c r="I689" s="11">
        <v>60</v>
      </c>
      <c r="J689" s="11">
        <v>54</v>
      </c>
      <c r="K689" s="11">
        <v>54</v>
      </c>
    </row>
    <row r="690" spans="1:11" ht="28.8" x14ac:dyDescent="0.3">
      <c r="A690" s="1">
        <v>54</v>
      </c>
      <c r="B690" s="1">
        <v>2024</v>
      </c>
      <c r="C690" s="3">
        <v>45441</v>
      </c>
      <c r="D690" s="4" t="s">
        <v>30</v>
      </c>
      <c r="E690" s="5" t="s">
        <v>31</v>
      </c>
      <c r="F690" s="5" t="s">
        <v>32</v>
      </c>
      <c r="G690" s="7">
        <v>5</v>
      </c>
      <c r="H690" s="7">
        <v>5</v>
      </c>
      <c r="I690" s="7">
        <v>6</v>
      </c>
      <c r="J690" s="7" t="s">
        <v>250</v>
      </c>
      <c r="K690" s="7">
        <v>5</v>
      </c>
    </row>
    <row r="691" spans="1:11" ht="28.8" x14ac:dyDescent="0.3">
      <c r="A691" s="1">
        <v>54</v>
      </c>
      <c r="B691" s="1">
        <v>2024</v>
      </c>
      <c r="C691" s="3">
        <v>45441</v>
      </c>
      <c r="D691" s="8" t="s">
        <v>30</v>
      </c>
      <c r="E691" s="9" t="s">
        <v>34</v>
      </c>
      <c r="F691" s="9" t="s">
        <v>35</v>
      </c>
      <c r="G691" s="11">
        <v>20</v>
      </c>
      <c r="H691" s="11">
        <v>15</v>
      </c>
      <c r="I691" s="11">
        <v>25</v>
      </c>
      <c r="J691" s="11">
        <v>20</v>
      </c>
      <c r="K691" s="11">
        <v>20</v>
      </c>
    </row>
    <row r="692" spans="1:11" ht="28.8" x14ac:dyDescent="0.3">
      <c r="A692" s="1">
        <v>54</v>
      </c>
      <c r="B692" s="1">
        <v>2024</v>
      </c>
      <c r="C692" s="3">
        <v>45441</v>
      </c>
      <c r="D692" s="4" t="s">
        <v>30</v>
      </c>
      <c r="E692" s="5" t="s">
        <v>36</v>
      </c>
      <c r="F692" s="5" t="s">
        <v>35</v>
      </c>
      <c r="G692" s="7">
        <v>25</v>
      </c>
      <c r="H692" s="7">
        <v>25</v>
      </c>
      <c r="I692" s="7">
        <v>35</v>
      </c>
      <c r="J692" s="7">
        <v>30</v>
      </c>
      <c r="K692" s="7">
        <v>30</v>
      </c>
    </row>
    <row r="693" spans="1:11" ht="43.2" x14ac:dyDescent="0.3">
      <c r="A693" s="1">
        <v>54</v>
      </c>
      <c r="B693" s="1">
        <v>2024</v>
      </c>
      <c r="C693" s="3">
        <v>45441</v>
      </c>
      <c r="D693" s="8" t="s">
        <v>38</v>
      </c>
      <c r="E693" s="9" t="s">
        <v>153</v>
      </c>
      <c r="F693" s="9" t="s">
        <v>154</v>
      </c>
      <c r="G693" s="10"/>
      <c r="H693" s="11">
        <v>85</v>
      </c>
      <c r="I693" s="11">
        <v>85</v>
      </c>
      <c r="J693" s="11">
        <v>85</v>
      </c>
      <c r="K693" s="11">
        <v>85</v>
      </c>
    </row>
    <row r="694" spans="1:11" ht="43.2" x14ac:dyDescent="0.3">
      <c r="A694" s="1">
        <v>54</v>
      </c>
      <c r="B694" s="1">
        <v>2024</v>
      </c>
      <c r="C694" s="3">
        <v>45441</v>
      </c>
      <c r="D694" s="4" t="s">
        <v>38</v>
      </c>
      <c r="E694" s="5" t="s">
        <v>39</v>
      </c>
      <c r="F694" s="5" t="s">
        <v>40</v>
      </c>
      <c r="G694" s="7">
        <v>100</v>
      </c>
      <c r="H694" s="7">
        <v>80</v>
      </c>
      <c r="I694" s="7">
        <v>100</v>
      </c>
      <c r="J694" s="7" t="s">
        <v>196</v>
      </c>
      <c r="K694" s="7">
        <v>100</v>
      </c>
    </row>
    <row r="695" spans="1:11" ht="43.2" x14ac:dyDescent="0.3">
      <c r="A695" s="1">
        <v>54</v>
      </c>
      <c r="B695" s="1">
        <v>2024</v>
      </c>
      <c r="C695" s="3">
        <v>45441</v>
      </c>
      <c r="D695" s="8" t="s">
        <v>38</v>
      </c>
      <c r="E695" s="9" t="s">
        <v>42</v>
      </c>
      <c r="F695" s="9" t="s">
        <v>43</v>
      </c>
      <c r="G695" s="11">
        <v>50</v>
      </c>
      <c r="H695" s="11">
        <v>50</v>
      </c>
      <c r="I695" s="11">
        <v>70</v>
      </c>
      <c r="J695" s="11">
        <v>60</v>
      </c>
      <c r="K695" s="11">
        <v>60</v>
      </c>
    </row>
    <row r="696" spans="1:11" ht="43.2" x14ac:dyDescent="0.3">
      <c r="A696" s="1">
        <v>54</v>
      </c>
      <c r="B696" s="1">
        <v>2024</v>
      </c>
      <c r="C696" s="3">
        <v>45441</v>
      </c>
      <c r="D696" s="4" t="s">
        <v>38</v>
      </c>
      <c r="E696" s="5" t="s">
        <v>44</v>
      </c>
      <c r="F696" s="5" t="s">
        <v>45</v>
      </c>
      <c r="G696" s="6"/>
      <c r="H696" s="7">
        <v>40</v>
      </c>
      <c r="I696" s="7">
        <v>50</v>
      </c>
      <c r="J696" s="7">
        <v>45</v>
      </c>
      <c r="K696" s="7">
        <v>45</v>
      </c>
    </row>
    <row r="697" spans="1:11" ht="43.2" x14ac:dyDescent="0.3">
      <c r="A697" s="1">
        <v>54</v>
      </c>
      <c r="B697" s="1">
        <v>2024</v>
      </c>
      <c r="C697" s="3">
        <v>45441</v>
      </c>
      <c r="D697" s="8" t="s">
        <v>38</v>
      </c>
      <c r="E697" s="9" t="s">
        <v>48</v>
      </c>
      <c r="F697" s="9" t="s">
        <v>45</v>
      </c>
      <c r="G697" s="10"/>
      <c r="H697" s="11">
        <v>100</v>
      </c>
      <c r="I697" s="11">
        <v>100</v>
      </c>
      <c r="J697" s="11">
        <v>100</v>
      </c>
      <c r="K697" s="11">
        <v>100</v>
      </c>
    </row>
    <row r="698" spans="1:11" ht="43.2" x14ac:dyDescent="0.3">
      <c r="A698" s="1">
        <v>54</v>
      </c>
      <c r="B698" s="1">
        <v>2024</v>
      </c>
      <c r="C698" s="3">
        <v>45441</v>
      </c>
      <c r="D698" s="4" t="s">
        <v>38</v>
      </c>
      <c r="E698" s="5" t="s">
        <v>49</v>
      </c>
      <c r="F698" s="5" t="s">
        <v>50</v>
      </c>
      <c r="G698" s="7">
        <v>110</v>
      </c>
      <c r="H698" s="7">
        <v>110</v>
      </c>
      <c r="I698" s="7">
        <v>140</v>
      </c>
      <c r="J698" s="7">
        <v>120</v>
      </c>
      <c r="K698" s="7">
        <v>110</v>
      </c>
    </row>
    <row r="699" spans="1:11" ht="43.2" x14ac:dyDescent="0.3">
      <c r="A699" s="1">
        <v>54</v>
      </c>
      <c r="B699" s="1">
        <v>2024</v>
      </c>
      <c r="C699" s="3">
        <v>45441</v>
      </c>
      <c r="D699" s="8" t="s">
        <v>38</v>
      </c>
      <c r="E699" s="9" t="s">
        <v>52</v>
      </c>
      <c r="F699" s="9" t="s">
        <v>43</v>
      </c>
      <c r="G699" s="10"/>
      <c r="H699" s="11">
        <v>100</v>
      </c>
      <c r="I699" s="11">
        <v>170</v>
      </c>
      <c r="J699" s="11" t="s">
        <v>234</v>
      </c>
      <c r="K699" s="11">
        <v>130</v>
      </c>
    </row>
    <row r="700" spans="1:11" ht="43.2" x14ac:dyDescent="0.3">
      <c r="A700" s="1">
        <v>54</v>
      </c>
      <c r="B700" s="1">
        <v>2024</v>
      </c>
      <c r="C700" s="3">
        <v>45441</v>
      </c>
      <c r="D700" s="4" t="s">
        <v>38</v>
      </c>
      <c r="E700" s="5" t="s">
        <v>53</v>
      </c>
      <c r="F700" s="5" t="s">
        <v>43</v>
      </c>
      <c r="G700" s="7">
        <v>70</v>
      </c>
      <c r="H700" s="7">
        <v>60</v>
      </c>
      <c r="I700" s="7">
        <v>70</v>
      </c>
      <c r="J700" s="7" t="s">
        <v>102</v>
      </c>
      <c r="K700" s="7">
        <v>70</v>
      </c>
    </row>
    <row r="701" spans="1:11" ht="43.2" x14ac:dyDescent="0.3">
      <c r="A701" s="1">
        <v>54</v>
      </c>
      <c r="B701" s="1">
        <v>2024</v>
      </c>
      <c r="C701" s="3">
        <v>45441</v>
      </c>
      <c r="D701" s="8" t="s">
        <v>38</v>
      </c>
      <c r="E701" s="9" t="s">
        <v>54</v>
      </c>
      <c r="F701" s="9" t="s">
        <v>40</v>
      </c>
      <c r="G701" s="10"/>
      <c r="H701" s="11">
        <v>110</v>
      </c>
      <c r="I701" s="11">
        <v>120</v>
      </c>
      <c r="J701" s="11">
        <v>115</v>
      </c>
      <c r="K701" s="11">
        <v>115</v>
      </c>
    </row>
    <row r="702" spans="1:11" ht="43.2" x14ac:dyDescent="0.3">
      <c r="A702" s="1">
        <v>54</v>
      </c>
      <c r="B702" s="1">
        <v>2024</v>
      </c>
      <c r="C702" s="3">
        <v>45441</v>
      </c>
      <c r="D702" s="4" t="s">
        <v>38</v>
      </c>
      <c r="E702" s="5" t="s">
        <v>56</v>
      </c>
      <c r="F702" s="5" t="s">
        <v>43</v>
      </c>
      <c r="G702" s="6"/>
      <c r="H702" s="7">
        <v>75</v>
      </c>
      <c r="I702" s="7">
        <v>75</v>
      </c>
      <c r="J702" s="7">
        <v>75</v>
      </c>
      <c r="K702" s="7">
        <v>75</v>
      </c>
    </row>
    <row r="703" spans="1:11" ht="43.2" x14ac:dyDescent="0.3">
      <c r="A703" s="1">
        <v>54</v>
      </c>
      <c r="B703" s="1">
        <v>2024</v>
      </c>
      <c r="C703" s="3">
        <v>45441</v>
      </c>
      <c r="D703" s="8" t="s">
        <v>38</v>
      </c>
      <c r="E703" s="9" t="s">
        <v>57</v>
      </c>
      <c r="F703" s="9" t="s">
        <v>40</v>
      </c>
      <c r="G703" s="10"/>
      <c r="H703" s="11">
        <v>80</v>
      </c>
      <c r="I703" s="11">
        <v>80</v>
      </c>
      <c r="J703" s="11">
        <v>80</v>
      </c>
      <c r="K703" s="11">
        <v>80</v>
      </c>
    </row>
    <row r="704" spans="1:11" ht="43.2" x14ac:dyDescent="0.3">
      <c r="A704" s="1">
        <v>54</v>
      </c>
      <c r="B704" s="1">
        <v>2024</v>
      </c>
      <c r="C704" s="3">
        <v>45441</v>
      </c>
      <c r="D704" s="4" t="s">
        <v>38</v>
      </c>
      <c r="E704" s="5" t="s">
        <v>58</v>
      </c>
      <c r="F704" s="5" t="s">
        <v>40</v>
      </c>
      <c r="G704" s="6"/>
      <c r="H704" s="7">
        <v>60</v>
      </c>
      <c r="I704" s="7">
        <v>100</v>
      </c>
      <c r="J704" s="7" t="s">
        <v>155</v>
      </c>
      <c r="K704" s="7" t="s">
        <v>134</v>
      </c>
    </row>
    <row r="705" spans="1:11" ht="43.2" x14ac:dyDescent="0.3">
      <c r="A705" s="1">
        <v>54</v>
      </c>
      <c r="B705" s="1">
        <v>2024</v>
      </c>
      <c r="C705" s="3">
        <v>45441</v>
      </c>
      <c r="D705" s="8" t="s">
        <v>38</v>
      </c>
      <c r="E705" s="9" t="s">
        <v>59</v>
      </c>
      <c r="F705" s="9" t="s">
        <v>45</v>
      </c>
      <c r="G705" s="11">
        <v>60</v>
      </c>
      <c r="H705" s="11">
        <v>50</v>
      </c>
      <c r="I705" s="11">
        <v>60</v>
      </c>
      <c r="J705" s="11" t="s">
        <v>235</v>
      </c>
      <c r="K705" s="11" t="s">
        <v>41</v>
      </c>
    </row>
    <row r="706" spans="1:11" ht="43.2" x14ac:dyDescent="0.3">
      <c r="A706" s="1">
        <v>54</v>
      </c>
      <c r="B706" s="1">
        <v>2024</v>
      </c>
      <c r="C706" s="3">
        <v>45441</v>
      </c>
      <c r="D706" s="4" t="s">
        <v>38</v>
      </c>
      <c r="E706" s="5" t="s">
        <v>60</v>
      </c>
      <c r="F706" s="5" t="s">
        <v>61</v>
      </c>
      <c r="G706" s="6"/>
      <c r="H706" s="7">
        <v>140</v>
      </c>
      <c r="I706" s="7">
        <v>150</v>
      </c>
      <c r="J706" s="7">
        <v>145</v>
      </c>
      <c r="K706" s="7">
        <v>145</v>
      </c>
    </row>
    <row r="707" spans="1:11" ht="43.2" x14ac:dyDescent="0.3">
      <c r="A707" s="1">
        <v>54</v>
      </c>
      <c r="B707" s="1">
        <v>2024</v>
      </c>
      <c r="C707" s="3">
        <v>45441</v>
      </c>
      <c r="D707" s="8" t="s">
        <v>38</v>
      </c>
      <c r="E707" s="9" t="s">
        <v>63</v>
      </c>
      <c r="F707" s="9" t="s">
        <v>40</v>
      </c>
      <c r="G707" s="10"/>
      <c r="H707" s="11">
        <v>100</v>
      </c>
      <c r="I707" s="11">
        <v>150</v>
      </c>
      <c r="J707" s="11" t="s">
        <v>251</v>
      </c>
      <c r="K707" s="11">
        <v>120</v>
      </c>
    </row>
    <row r="708" spans="1:11" ht="43.2" x14ac:dyDescent="0.3">
      <c r="A708" s="1">
        <v>54</v>
      </c>
      <c r="B708" s="1">
        <v>2024</v>
      </c>
      <c r="C708" s="3">
        <v>45441</v>
      </c>
      <c r="D708" s="4" t="s">
        <v>38</v>
      </c>
      <c r="E708" s="5" t="s">
        <v>64</v>
      </c>
      <c r="F708" s="5" t="s">
        <v>40</v>
      </c>
      <c r="G708" s="7">
        <v>200</v>
      </c>
      <c r="H708" s="7">
        <v>200</v>
      </c>
      <c r="I708" s="7">
        <v>200</v>
      </c>
      <c r="J708" s="7">
        <v>200</v>
      </c>
      <c r="K708" s="7">
        <v>200</v>
      </c>
    </row>
    <row r="709" spans="1:11" x14ac:dyDescent="0.3">
      <c r="A709" s="1">
        <v>54</v>
      </c>
      <c r="B709" s="1">
        <v>2024</v>
      </c>
      <c r="C709" s="3">
        <v>45441</v>
      </c>
      <c r="D709" s="8" t="s">
        <v>65</v>
      </c>
      <c r="E709" s="9" t="s">
        <v>66</v>
      </c>
      <c r="F709" s="9" t="s">
        <v>45</v>
      </c>
      <c r="G709" s="10"/>
      <c r="H709" s="11">
        <v>100</v>
      </c>
      <c r="I709" s="11">
        <v>100</v>
      </c>
      <c r="J709" s="11">
        <v>100</v>
      </c>
      <c r="K709" s="11">
        <v>100</v>
      </c>
    </row>
    <row r="710" spans="1:11" x14ac:dyDescent="0.3">
      <c r="A710" s="1">
        <v>54</v>
      </c>
      <c r="B710" s="1">
        <v>2024</v>
      </c>
      <c r="C710" s="3">
        <v>45441</v>
      </c>
      <c r="D710" s="4" t="s">
        <v>65</v>
      </c>
      <c r="E710" s="5" t="s">
        <v>67</v>
      </c>
      <c r="F710" s="5" t="s">
        <v>45</v>
      </c>
      <c r="G710" s="6"/>
      <c r="H710" s="7">
        <v>75</v>
      </c>
      <c r="I710" s="7">
        <v>75</v>
      </c>
      <c r="J710" s="7">
        <v>75</v>
      </c>
      <c r="K710" s="7">
        <v>75</v>
      </c>
    </row>
    <row r="711" spans="1:11" x14ac:dyDescent="0.3">
      <c r="A711" s="1">
        <v>54</v>
      </c>
      <c r="B711" s="1">
        <v>2024</v>
      </c>
      <c r="C711" s="3">
        <v>45441</v>
      </c>
      <c r="D711" s="8" t="s">
        <v>65</v>
      </c>
      <c r="E711" s="9" t="s">
        <v>68</v>
      </c>
      <c r="F711" s="9" t="s">
        <v>45</v>
      </c>
      <c r="G711" s="10"/>
      <c r="H711" s="10"/>
      <c r="I711" s="10"/>
      <c r="J711" s="10"/>
      <c r="K711" s="10"/>
    </row>
    <row r="712" spans="1:11" x14ac:dyDescent="0.3">
      <c r="A712" s="1">
        <v>54</v>
      </c>
      <c r="B712" s="1">
        <v>2024</v>
      </c>
      <c r="C712" s="3">
        <v>45441</v>
      </c>
      <c r="D712" s="4" t="s">
        <v>65</v>
      </c>
      <c r="E712" s="5" t="s">
        <v>69</v>
      </c>
      <c r="F712" s="5" t="s">
        <v>45</v>
      </c>
      <c r="G712" s="6"/>
      <c r="H712" s="7">
        <v>40</v>
      </c>
      <c r="I712" s="7">
        <v>40</v>
      </c>
      <c r="J712" s="7">
        <v>40</v>
      </c>
      <c r="K712" s="7">
        <v>40</v>
      </c>
    </row>
    <row r="713" spans="1:11" x14ac:dyDescent="0.3">
      <c r="A713" s="1">
        <v>54</v>
      </c>
      <c r="B713" s="1">
        <v>2024</v>
      </c>
      <c r="C713" s="3">
        <v>45441</v>
      </c>
      <c r="D713" s="8" t="s">
        <v>65</v>
      </c>
      <c r="E713" s="9" t="s">
        <v>70</v>
      </c>
      <c r="F713" s="9" t="s">
        <v>71</v>
      </c>
      <c r="G713" s="10"/>
      <c r="H713" s="11">
        <v>55</v>
      </c>
      <c r="I713" s="11">
        <v>55</v>
      </c>
      <c r="J713" s="11">
        <v>55</v>
      </c>
      <c r="K713" s="11">
        <v>55</v>
      </c>
    </row>
    <row r="714" spans="1:11" ht="28.8" x14ac:dyDescent="0.3">
      <c r="A714" s="1">
        <v>55</v>
      </c>
      <c r="B714" s="1">
        <v>2024</v>
      </c>
      <c r="C714" s="3">
        <v>45448</v>
      </c>
      <c r="D714" s="4" t="s">
        <v>11</v>
      </c>
      <c r="E714" s="5" t="s">
        <v>12</v>
      </c>
      <c r="F714" s="5" t="s">
        <v>13</v>
      </c>
      <c r="G714" s="7">
        <v>72</v>
      </c>
      <c r="H714" s="7">
        <v>48</v>
      </c>
      <c r="I714" s="7">
        <v>72</v>
      </c>
      <c r="J714" s="7">
        <v>64</v>
      </c>
      <c r="K714" s="7">
        <v>72</v>
      </c>
    </row>
    <row r="715" spans="1:11" ht="28.8" x14ac:dyDescent="0.3">
      <c r="A715" s="1">
        <v>55</v>
      </c>
      <c r="B715" s="1">
        <v>2024</v>
      </c>
      <c r="C715" s="3">
        <v>45448</v>
      </c>
      <c r="D715" s="8" t="s">
        <v>11</v>
      </c>
      <c r="E715" s="9" t="s">
        <v>14</v>
      </c>
      <c r="F715" s="9" t="s">
        <v>13</v>
      </c>
      <c r="G715" s="11">
        <v>84</v>
      </c>
      <c r="H715" s="11">
        <v>72</v>
      </c>
      <c r="I715" s="11">
        <v>84</v>
      </c>
      <c r="J715" s="11">
        <v>80</v>
      </c>
      <c r="K715" s="11">
        <v>84</v>
      </c>
    </row>
    <row r="716" spans="1:11" ht="28.8" x14ac:dyDescent="0.3">
      <c r="A716" s="1">
        <v>55</v>
      </c>
      <c r="B716" s="1">
        <v>2024</v>
      </c>
      <c r="C716" s="3">
        <v>45448</v>
      </c>
      <c r="D716" s="4" t="s">
        <v>11</v>
      </c>
      <c r="E716" s="5" t="s">
        <v>15</v>
      </c>
      <c r="F716" s="5" t="s">
        <v>13</v>
      </c>
      <c r="G716" s="6"/>
      <c r="H716" s="7">
        <v>36</v>
      </c>
      <c r="I716" s="7">
        <v>54</v>
      </c>
      <c r="J716" s="7">
        <v>44</v>
      </c>
      <c r="K716" s="7">
        <v>42</v>
      </c>
    </row>
    <row r="717" spans="1:11" ht="28.8" x14ac:dyDescent="0.3">
      <c r="A717" s="1">
        <v>55</v>
      </c>
      <c r="B717" s="1">
        <v>2024</v>
      </c>
      <c r="C717" s="3">
        <v>45448</v>
      </c>
      <c r="D717" s="8" t="s">
        <v>11</v>
      </c>
      <c r="E717" s="9" t="s">
        <v>16</v>
      </c>
      <c r="F717" s="9" t="s">
        <v>13</v>
      </c>
      <c r="G717" s="11">
        <v>30</v>
      </c>
      <c r="H717" s="11">
        <v>24</v>
      </c>
      <c r="I717" s="11">
        <v>30</v>
      </c>
      <c r="J717" s="11">
        <v>28</v>
      </c>
      <c r="K717" s="11">
        <v>30</v>
      </c>
    </row>
    <row r="718" spans="1:11" ht="28.8" x14ac:dyDescent="0.3">
      <c r="A718" s="1">
        <v>55</v>
      </c>
      <c r="B718" s="1">
        <v>2024</v>
      </c>
      <c r="C718" s="3">
        <v>45448</v>
      </c>
      <c r="D718" s="4" t="s">
        <v>11</v>
      </c>
      <c r="E718" s="5" t="s">
        <v>17</v>
      </c>
      <c r="F718" s="5" t="s">
        <v>13</v>
      </c>
      <c r="G718" s="7">
        <v>30</v>
      </c>
      <c r="H718" s="7">
        <v>24</v>
      </c>
      <c r="I718" s="7">
        <v>30</v>
      </c>
      <c r="J718" s="7">
        <v>28</v>
      </c>
      <c r="K718" s="7">
        <v>30</v>
      </c>
    </row>
    <row r="719" spans="1:11" ht="28.8" x14ac:dyDescent="0.3">
      <c r="A719" s="1">
        <v>55</v>
      </c>
      <c r="B719" s="1">
        <v>2024</v>
      </c>
      <c r="C719" s="3">
        <v>45448</v>
      </c>
      <c r="D719" s="8" t="s">
        <v>11</v>
      </c>
      <c r="E719" s="9" t="s">
        <v>18</v>
      </c>
      <c r="F719" s="9" t="s">
        <v>13</v>
      </c>
      <c r="G719" s="11">
        <v>60</v>
      </c>
      <c r="H719" s="11">
        <v>60</v>
      </c>
      <c r="I719" s="11">
        <v>60</v>
      </c>
      <c r="J719" s="11">
        <v>60</v>
      </c>
      <c r="K719" s="11">
        <v>60</v>
      </c>
    </row>
    <row r="720" spans="1:11" ht="28.8" x14ac:dyDescent="0.3">
      <c r="A720" s="1">
        <v>55</v>
      </c>
      <c r="B720" s="1">
        <v>2024</v>
      </c>
      <c r="C720" s="3">
        <v>45448</v>
      </c>
      <c r="D720" s="4" t="s">
        <v>11</v>
      </c>
      <c r="E720" s="5" t="s">
        <v>19</v>
      </c>
      <c r="F720" s="5" t="s">
        <v>13</v>
      </c>
      <c r="G720" s="7">
        <v>96</v>
      </c>
      <c r="H720" s="7">
        <v>96</v>
      </c>
      <c r="I720" s="7">
        <v>120</v>
      </c>
      <c r="J720" s="7">
        <v>104</v>
      </c>
      <c r="K720" s="7">
        <v>96</v>
      </c>
    </row>
    <row r="721" spans="1:11" ht="28.8" x14ac:dyDescent="0.3">
      <c r="A721" s="1">
        <v>55</v>
      </c>
      <c r="B721" s="1">
        <v>2024</v>
      </c>
      <c r="C721" s="3">
        <v>45448</v>
      </c>
      <c r="D721" s="8" t="s">
        <v>11</v>
      </c>
      <c r="E721" s="9" t="s">
        <v>20</v>
      </c>
      <c r="F721" s="9" t="s">
        <v>13</v>
      </c>
      <c r="G721" s="10"/>
      <c r="H721" s="11">
        <v>84</v>
      </c>
      <c r="I721" s="11">
        <v>120</v>
      </c>
      <c r="J721" s="11">
        <v>100</v>
      </c>
      <c r="K721" s="11">
        <v>96</v>
      </c>
    </row>
    <row r="722" spans="1:11" ht="28.8" x14ac:dyDescent="0.3">
      <c r="A722" s="1">
        <v>55</v>
      </c>
      <c r="B722" s="1">
        <v>2024</v>
      </c>
      <c r="C722" s="3">
        <v>45448</v>
      </c>
      <c r="D722" s="4" t="s">
        <v>11</v>
      </c>
      <c r="E722" s="5" t="s">
        <v>21</v>
      </c>
      <c r="F722" s="5" t="s">
        <v>13</v>
      </c>
      <c r="G722" s="7">
        <v>24</v>
      </c>
      <c r="H722" s="7">
        <v>24</v>
      </c>
      <c r="I722" s="7">
        <v>30</v>
      </c>
      <c r="J722" s="7">
        <v>26</v>
      </c>
      <c r="K722" s="7">
        <v>24</v>
      </c>
    </row>
    <row r="723" spans="1:11" ht="28.8" x14ac:dyDescent="0.3">
      <c r="A723" s="1">
        <v>55</v>
      </c>
      <c r="B723" s="1">
        <v>2024</v>
      </c>
      <c r="C723" s="3">
        <v>45448</v>
      </c>
      <c r="D723" s="8" t="s">
        <v>11</v>
      </c>
      <c r="E723" s="9" t="s">
        <v>73</v>
      </c>
      <c r="F723" s="9" t="s">
        <v>13</v>
      </c>
      <c r="G723" s="10"/>
      <c r="H723" s="11">
        <v>96</v>
      </c>
      <c r="I723" s="11">
        <v>120</v>
      </c>
      <c r="J723" s="11">
        <v>106</v>
      </c>
      <c r="K723" s="11">
        <v>102</v>
      </c>
    </row>
    <row r="724" spans="1:11" ht="28.8" x14ac:dyDescent="0.3">
      <c r="A724" s="1">
        <v>55</v>
      </c>
      <c r="B724" s="1">
        <v>2024</v>
      </c>
      <c r="C724" s="3">
        <v>45448</v>
      </c>
      <c r="D724" s="4" t="s">
        <v>11</v>
      </c>
      <c r="E724" s="5" t="s">
        <v>23</v>
      </c>
      <c r="F724" s="5" t="s">
        <v>13</v>
      </c>
      <c r="G724" s="7">
        <v>30</v>
      </c>
      <c r="H724" s="7">
        <v>24</v>
      </c>
      <c r="I724" s="7">
        <v>30</v>
      </c>
      <c r="J724" s="7">
        <v>28</v>
      </c>
      <c r="K724" s="7">
        <v>30</v>
      </c>
    </row>
    <row r="725" spans="1:11" ht="28.8" x14ac:dyDescent="0.3">
      <c r="A725" s="1">
        <v>55</v>
      </c>
      <c r="B725" s="1">
        <v>2024</v>
      </c>
      <c r="C725" s="3">
        <v>45448</v>
      </c>
      <c r="D725" s="8" t="s">
        <v>11</v>
      </c>
      <c r="E725" s="9" t="s">
        <v>24</v>
      </c>
      <c r="F725" s="9" t="s">
        <v>13</v>
      </c>
      <c r="G725" s="11">
        <v>60</v>
      </c>
      <c r="H725" s="11">
        <v>60</v>
      </c>
      <c r="I725" s="11">
        <v>84</v>
      </c>
      <c r="J725" s="11">
        <v>68</v>
      </c>
      <c r="K725" s="11">
        <v>60</v>
      </c>
    </row>
    <row r="726" spans="1:11" ht="28.8" x14ac:dyDescent="0.3">
      <c r="A726" s="1">
        <v>55</v>
      </c>
      <c r="B726" s="1">
        <v>2024</v>
      </c>
      <c r="C726" s="3">
        <v>45448</v>
      </c>
      <c r="D726" s="4" t="s">
        <v>11</v>
      </c>
      <c r="E726" s="5" t="s">
        <v>25</v>
      </c>
      <c r="F726" s="5" t="s">
        <v>26</v>
      </c>
      <c r="G726" s="7">
        <v>60</v>
      </c>
      <c r="H726" s="7">
        <v>60</v>
      </c>
      <c r="I726" s="7">
        <v>78</v>
      </c>
      <c r="J726" s="7">
        <v>66</v>
      </c>
      <c r="K726" s="7">
        <v>60</v>
      </c>
    </row>
    <row r="727" spans="1:11" ht="28.8" x14ac:dyDescent="0.3">
      <c r="A727" s="1">
        <v>55</v>
      </c>
      <c r="B727" s="1">
        <v>2024</v>
      </c>
      <c r="C727" s="3">
        <v>45448</v>
      </c>
      <c r="D727" s="8" t="s">
        <v>11</v>
      </c>
      <c r="E727" s="9" t="s">
        <v>27</v>
      </c>
      <c r="F727" s="9" t="s">
        <v>13</v>
      </c>
      <c r="G727" s="10"/>
      <c r="H727" s="11">
        <v>72</v>
      </c>
      <c r="I727" s="11">
        <v>100</v>
      </c>
      <c r="J727" s="11" t="s">
        <v>252</v>
      </c>
      <c r="K727" s="11">
        <v>84</v>
      </c>
    </row>
    <row r="728" spans="1:11" ht="28.8" x14ac:dyDescent="0.3">
      <c r="A728" s="1">
        <v>55</v>
      </c>
      <c r="B728" s="1">
        <v>2024</v>
      </c>
      <c r="C728" s="3">
        <v>45448</v>
      </c>
      <c r="D728" s="4" t="s">
        <v>11</v>
      </c>
      <c r="E728" s="5" t="s">
        <v>28</v>
      </c>
      <c r="F728" s="5" t="s">
        <v>13</v>
      </c>
      <c r="G728" s="6"/>
      <c r="H728" s="7">
        <v>48</v>
      </c>
      <c r="I728" s="7">
        <v>80</v>
      </c>
      <c r="J728" s="7">
        <v>61</v>
      </c>
      <c r="K728" s="7">
        <v>55</v>
      </c>
    </row>
    <row r="729" spans="1:11" ht="28.8" x14ac:dyDescent="0.3">
      <c r="A729" s="1">
        <v>55</v>
      </c>
      <c r="B729" s="1">
        <v>2024</v>
      </c>
      <c r="C729" s="3">
        <v>45448</v>
      </c>
      <c r="D729" s="8" t="s">
        <v>11</v>
      </c>
      <c r="E729" s="9" t="s">
        <v>29</v>
      </c>
      <c r="F729" s="9" t="s">
        <v>13</v>
      </c>
      <c r="G729" s="11">
        <v>54</v>
      </c>
      <c r="H729" s="11">
        <v>48</v>
      </c>
      <c r="I729" s="11">
        <v>54</v>
      </c>
      <c r="J729" s="11">
        <v>52</v>
      </c>
      <c r="K729" s="11">
        <v>54</v>
      </c>
    </row>
    <row r="730" spans="1:11" ht="28.8" x14ac:dyDescent="0.3">
      <c r="A730" s="1">
        <v>55</v>
      </c>
      <c r="B730" s="1">
        <v>2024</v>
      </c>
      <c r="C730" s="3">
        <v>45448</v>
      </c>
      <c r="D730" s="4" t="s">
        <v>30</v>
      </c>
      <c r="E730" s="5" t="s">
        <v>31</v>
      </c>
      <c r="F730" s="5" t="s">
        <v>32</v>
      </c>
      <c r="G730" s="7">
        <v>5</v>
      </c>
      <c r="H730" s="7">
        <v>5</v>
      </c>
      <c r="I730" s="7">
        <v>6</v>
      </c>
      <c r="J730" s="7" t="s">
        <v>253</v>
      </c>
      <c r="K730" s="7">
        <v>5</v>
      </c>
    </row>
    <row r="731" spans="1:11" ht="28.8" x14ac:dyDescent="0.3">
      <c r="A731" s="1">
        <v>55</v>
      </c>
      <c r="B731" s="1">
        <v>2024</v>
      </c>
      <c r="C731" s="3">
        <v>45448</v>
      </c>
      <c r="D731" s="8" t="s">
        <v>30</v>
      </c>
      <c r="E731" s="9" t="s">
        <v>34</v>
      </c>
      <c r="F731" s="9" t="s">
        <v>35</v>
      </c>
      <c r="G731" s="11">
        <v>20</v>
      </c>
      <c r="H731" s="11">
        <v>20</v>
      </c>
      <c r="I731" s="11">
        <v>20</v>
      </c>
      <c r="J731" s="11">
        <v>20</v>
      </c>
      <c r="K731" s="11">
        <v>20</v>
      </c>
    </row>
    <row r="732" spans="1:11" ht="28.8" x14ac:dyDescent="0.3">
      <c r="A732" s="1">
        <v>55</v>
      </c>
      <c r="B732" s="1">
        <v>2024</v>
      </c>
      <c r="C732" s="3">
        <v>45448</v>
      </c>
      <c r="D732" s="4" t="s">
        <v>30</v>
      </c>
      <c r="E732" s="5" t="s">
        <v>36</v>
      </c>
      <c r="F732" s="5" t="s">
        <v>35</v>
      </c>
      <c r="G732" s="6"/>
      <c r="H732" s="7">
        <v>25</v>
      </c>
      <c r="I732" s="7">
        <v>35</v>
      </c>
      <c r="J732" s="7">
        <v>30</v>
      </c>
      <c r="K732" s="7">
        <v>30</v>
      </c>
    </row>
    <row r="733" spans="1:11" ht="43.2" x14ac:dyDescent="0.3">
      <c r="A733" s="1">
        <v>55</v>
      </c>
      <c r="B733" s="1">
        <v>2024</v>
      </c>
      <c r="C733" s="3">
        <v>45448</v>
      </c>
      <c r="D733" s="8" t="s">
        <v>38</v>
      </c>
      <c r="E733" s="9" t="s">
        <v>153</v>
      </c>
      <c r="F733" s="9" t="s">
        <v>154</v>
      </c>
      <c r="G733" s="10"/>
      <c r="H733" s="11">
        <v>85</v>
      </c>
      <c r="I733" s="11">
        <v>95</v>
      </c>
      <c r="J733" s="11">
        <v>90</v>
      </c>
      <c r="K733" s="11">
        <v>90</v>
      </c>
    </row>
    <row r="734" spans="1:11" ht="43.2" x14ac:dyDescent="0.3">
      <c r="A734" s="1">
        <v>55</v>
      </c>
      <c r="B734" s="1">
        <v>2024</v>
      </c>
      <c r="C734" s="3">
        <v>45448</v>
      </c>
      <c r="D734" s="4" t="s">
        <v>38</v>
      </c>
      <c r="E734" s="5" t="s">
        <v>39</v>
      </c>
      <c r="F734" s="5" t="s">
        <v>40</v>
      </c>
      <c r="G734" s="7">
        <v>120</v>
      </c>
      <c r="H734" s="7">
        <v>100</v>
      </c>
      <c r="I734" s="7">
        <v>120</v>
      </c>
      <c r="J734" s="7">
        <v>116</v>
      </c>
      <c r="K734" s="7">
        <v>120</v>
      </c>
    </row>
    <row r="735" spans="1:11" ht="43.2" x14ac:dyDescent="0.3">
      <c r="A735" s="1">
        <v>55</v>
      </c>
      <c r="B735" s="1">
        <v>2024</v>
      </c>
      <c r="C735" s="3">
        <v>45448</v>
      </c>
      <c r="D735" s="8" t="s">
        <v>38</v>
      </c>
      <c r="E735" s="9" t="s">
        <v>42</v>
      </c>
      <c r="F735" s="9" t="s">
        <v>43</v>
      </c>
      <c r="G735" s="11">
        <v>60</v>
      </c>
      <c r="H735" s="11">
        <v>40</v>
      </c>
      <c r="I735" s="11">
        <v>70</v>
      </c>
      <c r="J735" s="11" t="s">
        <v>41</v>
      </c>
      <c r="K735" s="11">
        <v>60</v>
      </c>
    </row>
    <row r="736" spans="1:11" ht="43.2" x14ac:dyDescent="0.3">
      <c r="A736" s="1">
        <v>55</v>
      </c>
      <c r="B736" s="1">
        <v>2024</v>
      </c>
      <c r="C736" s="3">
        <v>45448</v>
      </c>
      <c r="D736" s="4" t="s">
        <v>38</v>
      </c>
      <c r="E736" s="5" t="s">
        <v>44</v>
      </c>
      <c r="F736" s="5" t="s">
        <v>45</v>
      </c>
      <c r="G736" s="7">
        <v>40</v>
      </c>
      <c r="H736" s="7">
        <v>35</v>
      </c>
      <c r="I736" s="7">
        <v>55</v>
      </c>
      <c r="J736" s="7" t="s">
        <v>47</v>
      </c>
      <c r="K736" s="7">
        <v>40</v>
      </c>
    </row>
    <row r="737" spans="1:11" ht="43.2" x14ac:dyDescent="0.3">
      <c r="A737" s="1">
        <v>55</v>
      </c>
      <c r="B737" s="1">
        <v>2024</v>
      </c>
      <c r="C737" s="3">
        <v>45448</v>
      </c>
      <c r="D737" s="8" t="s">
        <v>38</v>
      </c>
      <c r="E737" s="9" t="s">
        <v>48</v>
      </c>
      <c r="F737" s="9" t="s">
        <v>45</v>
      </c>
      <c r="G737" s="10"/>
      <c r="H737" s="11">
        <v>90</v>
      </c>
      <c r="I737" s="11">
        <v>110</v>
      </c>
      <c r="J737" s="11">
        <v>100</v>
      </c>
      <c r="K737" s="11">
        <v>100</v>
      </c>
    </row>
    <row r="738" spans="1:11" ht="43.2" x14ac:dyDescent="0.3">
      <c r="A738" s="1">
        <v>55</v>
      </c>
      <c r="B738" s="1">
        <v>2024</v>
      </c>
      <c r="C738" s="3">
        <v>45448</v>
      </c>
      <c r="D738" s="4" t="s">
        <v>38</v>
      </c>
      <c r="E738" s="5" t="s">
        <v>49</v>
      </c>
      <c r="F738" s="5" t="s">
        <v>50</v>
      </c>
      <c r="G738" s="7">
        <v>120</v>
      </c>
      <c r="H738" s="7">
        <v>80</v>
      </c>
      <c r="I738" s="7">
        <v>120</v>
      </c>
      <c r="J738" s="7">
        <v>110</v>
      </c>
      <c r="K738" s="7">
        <v>120</v>
      </c>
    </row>
    <row r="739" spans="1:11" ht="43.2" x14ac:dyDescent="0.3">
      <c r="A739" s="1">
        <v>55</v>
      </c>
      <c r="B739" s="1">
        <v>2024</v>
      </c>
      <c r="C739" s="3">
        <v>45448</v>
      </c>
      <c r="D739" s="8" t="s">
        <v>38</v>
      </c>
      <c r="E739" s="9" t="s">
        <v>52</v>
      </c>
      <c r="F739" s="9" t="s">
        <v>43</v>
      </c>
      <c r="G739" s="10"/>
      <c r="H739" s="11">
        <v>60</v>
      </c>
      <c r="I739" s="11">
        <v>160</v>
      </c>
      <c r="J739" s="11">
        <v>118</v>
      </c>
      <c r="K739" s="11">
        <v>130</v>
      </c>
    </row>
    <row r="740" spans="1:11" ht="43.2" x14ac:dyDescent="0.3">
      <c r="A740" s="1">
        <v>55</v>
      </c>
      <c r="B740" s="1">
        <v>2024</v>
      </c>
      <c r="C740" s="3">
        <v>45448</v>
      </c>
      <c r="D740" s="4" t="s">
        <v>38</v>
      </c>
      <c r="E740" s="5" t="s">
        <v>53</v>
      </c>
      <c r="F740" s="5" t="s">
        <v>43</v>
      </c>
      <c r="G740" s="7">
        <v>80</v>
      </c>
      <c r="H740" s="7">
        <v>75</v>
      </c>
      <c r="I740" s="7">
        <v>110</v>
      </c>
      <c r="J740" s="7">
        <v>90</v>
      </c>
      <c r="K740" s="7">
        <v>80</v>
      </c>
    </row>
    <row r="741" spans="1:11" ht="43.2" x14ac:dyDescent="0.3">
      <c r="A741" s="1">
        <v>55</v>
      </c>
      <c r="B741" s="1">
        <v>2024</v>
      </c>
      <c r="C741" s="3">
        <v>45448</v>
      </c>
      <c r="D741" s="8" t="s">
        <v>38</v>
      </c>
      <c r="E741" s="9" t="s">
        <v>54</v>
      </c>
      <c r="F741" s="9" t="s">
        <v>40</v>
      </c>
      <c r="G741" s="11">
        <v>100</v>
      </c>
      <c r="H741" s="11">
        <v>70</v>
      </c>
      <c r="I741" s="11">
        <v>100</v>
      </c>
      <c r="J741" s="11" t="s">
        <v>239</v>
      </c>
      <c r="K741" s="11">
        <v>90</v>
      </c>
    </row>
    <row r="742" spans="1:11" ht="43.2" x14ac:dyDescent="0.3">
      <c r="A742" s="1">
        <v>55</v>
      </c>
      <c r="B742" s="1">
        <v>2024</v>
      </c>
      <c r="C742" s="3">
        <v>45448</v>
      </c>
      <c r="D742" s="4" t="s">
        <v>38</v>
      </c>
      <c r="E742" s="5" t="s">
        <v>56</v>
      </c>
      <c r="F742" s="5" t="s">
        <v>43</v>
      </c>
      <c r="G742" s="6"/>
      <c r="H742" s="7">
        <v>40</v>
      </c>
      <c r="I742" s="7">
        <v>60</v>
      </c>
      <c r="J742" s="7" t="s">
        <v>254</v>
      </c>
      <c r="K742" s="7" t="s">
        <v>78</v>
      </c>
    </row>
    <row r="743" spans="1:11" ht="43.2" x14ac:dyDescent="0.3">
      <c r="A743" s="1">
        <v>55</v>
      </c>
      <c r="B743" s="1">
        <v>2024</v>
      </c>
      <c r="C743" s="3">
        <v>45448</v>
      </c>
      <c r="D743" s="8" t="s">
        <v>38</v>
      </c>
      <c r="E743" s="9" t="s">
        <v>57</v>
      </c>
      <c r="F743" s="9" t="s">
        <v>40</v>
      </c>
      <c r="G743" s="11">
        <v>70</v>
      </c>
      <c r="H743" s="11">
        <v>65</v>
      </c>
      <c r="I743" s="11">
        <v>70</v>
      </c>
      <c r="J743" s="11" t="s">
        <v>94</v>
      </c>
      <c r="K743" s="11">
        <v>70</v>
      </c>
    </row>
    <row r="744" spans="1:11" ht="43.2" x14ac:dyDescent="0.3">
      <c r="A744" s="1">
        <v>55</v>
      </c>
      <c r="B744" s="1">
        <v>2024</v>
      </c>
      <c r="C744" s="3">
        <v>45448</v>
      </c>
      <c r="D744" s="4" t="s">
        <v>38</v>
      </c>
      <c r="E744" s="5" t="s">
        <v>58</v>
      </c>
      <c r="F744" s="5" t="s">
        <v>40</v>
      </c>
      <c r="G744" s="7">
        <v>120</v>
      </c>
      <c r="H744" s="7">
        <v>100</v>
      </c>
      <c r="I744" s="7">
        <v>125</v>
      </c>
      <c r="J744" s="7" t="s">
        <v>255</v>
      </c>
      <c r="K744" s="7">
        <v>120</v>
      </c>
    </row>
    <row r="745" spans="1:11" ht="43.2" x14ac:dyDescent="0.3">
      <c r="A745" s="1">
        <v>55</v>
      </c>
      <c r="B745" s="1">
        <v>2024</v>
      </c>
      <c r="C745" s="3">
        <v>45448</v>
      </c>
      <c r="D745" s="8" t="s">
        <v>38</v>
      </c>
      <c r="E745" s="9" t="s">
        <v>59</v>
      </c>
      <c r="F745" s="9" t="s">
        <v>45</v>
      </c>
      <c r="G745" s="11">
        <v>50</v>
      </c>
      <c r="H745" s="11">
        <v>40</v>
      </c>
      <c r="I745" s="11">
        <v>80</v>
      </c>
      <c r="J745" s="11" t="s">
        <v>242</v>
      </c>
      <c r="K745" s="11">
        <v>50</v>
      </c>
    </row>
    <row r="746" spans="1:11" ht="43.2" x14ac:dyDescent="0.3">
      <c r="A746" s="1">
        <v>55</v>
      </c>
      <c r="B746" s="1">
        <v>2024</v>
      </c>
      <c r="C746" s="3">
        <v>45448</v>
      </c>
      <c r="D746" s="4" t="s">
        <v>38</v>
      </c>
      <c r="E746" s="5" t="s">
        <v>60</v>
      </c>
      <c r="F746" s="5" t="s">
        <v>61</v>
      </c>
      <c r="G746" s="6"/>
      <c r="H746" s="7">
        <v>120</v>
      </c>
      <c r="I746" s="7">
        <v>200</v>
      </c>
      <c r="J746" s="7">
        <v>160</v>
      </c>
      <c r="K746" s="7">
        <v>160</v>
      </c>
    </row>
    <row r="747" spans="1:11" ht="43.2" x14ac:dyDescent="0.3">
      <c r="A747" s="1">
        <v>55</v>
      </c>
      <c r="B747" s="1">
        <v>2024</v>
      </c>
      <c r="C747" s="3">
        <v>45448</v>
      </c>
      <c r="D747" s="8" t="s">
        <v>38</v>
      </c>
      <c r="E747" s="9" t="s">
        <v>63</v>
      </c>
      <c r="F747" s="9" t="s">
        <v>40</v>
      </c>
      <c r="G747" s="11">
        <v>130</v>
      </c>
      <c r="H747" s="11">
        <v>100</v>
      </c>
      <c r="I747" s="11">
        <v>170</v>
      </c>
      <c r="J747" s="11">
        <v>140</v>
      </c>
      <c r="K747" s="11">
        <v>140</v>
      </c>
    </row>
    <row r="748" spans="1:11" ht="43.2" x14ac:dyDescent="0.3">
      <c r="A748" s="1">
        <v>55</v>
      </c>
      <c r="B748" s="1">
        <v>2024</v>
      </c>
      <c r="C748" s="3">
        <v>45448</v>
      </c>
      <c r="D748" s="4" t="s">
        <v>38</v>
      </c>
      <c r="E748" s="5" t="s">
        <v>64</v>
      </c>
      <c r="F748" s="5" t="s">
        <v>40</v>
      </c>
      <c r="G748" s="6"/>
      <c r="H748" s="7">
        <v>120</v>
      </c>
      <c r="I748" s="7">
        <v>235</v>
      </c>
      <c r="J748" s="7" t="s">
        <v>256</v>
      </c>
      <c r="K748" s="7">
        <v>210</v>
      </c>
    </row>
    <row r="749" spans="1:11" x14ac:dyDescent="0.3">
      <c r="A749" s="1">
        <v>55</v>
      </c>
      <c r="B749" s="1">
        <v>2024</v>
      </c>
      <c r="C749" s="3">
        <v>45448</v>
      </c>
      <c r="D749" s="8" t="s">
        <v>65</v>
      </c>
      <c r="E749" s="9" t="s">
        <v>66</v>
      </c>
      <c r="F749" s="9" t="s">
        <v>45</v>
      </c>
      <c r="G749" s="10"/>
      <c r="H749" s="10"/>
      <c r="I749" s="10"/>
      <c r="J749" s="10"/>
      <c r="K749" s="10"/>
    </row>
    <row r="750" spans="1:11" x14ac:dyDescent="0.3">
      <c r="A750" s="1">
        <v>55</v>
      </c>
      <c r="B750" s="1">
        <v>2024</v>
      </c>
      <c r="C750" s="3">
        <v>45448</v>
      </c>
      <c r="D750" s="4" t="s">
        <v>65</v>
      </c>
      <c r="E750" s="5" t="s">
        <v>67</v>
      </c>
      <c r="F750" s="5" t="s">
        <v>45</v>
      </c>
      <c r="G750" s="6"/>
      <c r="H750" s="6"/>
      <c r="I750" s="6"/>
      <c r="J750" s="6"/>
      <c r="K750" s="6"/>
    </row>
    <row r="751" spans="1:11" x14ac:dyDescent="0.3">
      <c r="A751" s="1">
        <v>55</v>
      </c>
      <c r="B751" s="1">
        <v>2024</v>
      </c>
      <c r="C751" s="3">
        <v>45448</v>
      </c>
      <c r="D751" s="8" t="s">
        <v>65</v>
      </c>
      <c r="E751" s="9" t="s">
        <v>68</v>
      </c>
      <c r="F751" s="9" t="s">
        <v>45</v>
      </c>
      <c r="G751" s="10"/>
      <c r="H751" s="10"/>
      <c r="I751" s="10"/>
      <c r="J751" s="10"/>
      <c r="K751" s="10"/>
    </row>
    <row r="752" spans="1:11" x14ac:dyDescent="0.3">
      <c r="A752" s="1">
        <v>55</v>
      </c>
      <c r="B752" s="1">
        <v>2024</v>
      </c>
      <c r="C752" s="3">
        <v>45448</v>
      </c>
      <c r="D752" s="4" t="s">
        <v>65</v>
      </c>
      <c r="E752" s="5" t="s">
        <v>69</v>
      </c>
      <c r="F752" s="5" t="s">
        <v>45</v>
      </c>
      <c r="G752" s="6"/>
      <c r="H752" s="7">
        <v>50</v>
      </c>
      <c r="I752" s="7">
        <v>50</v>
      </c>
      <c r="J752" s="7">
        <v>50</v>
      </c>
      <c r="K752" s="7">
        <v>50</v>
      </c>
    </row>
    <row r="753" spans="1:11" x14ac:dyDescent="0.3">
      <c r="A753" s="1">
        <v>55</v>
      </c>
      <c r="B753" s="1">
        <v>2024</v>
      </c>
      <c r="C753" s="3">
        <v>45448</v>
      </c>
      <c r="D753" s="8" t="s">
        <v>65</v>
      </c>
      <c r="E753" s="9" t="s">
        <v>70</v>
      </c>
      <c r="F753" s="9" t="s">
        <v>71</v>
      </c>
      <c r="G753" s="11">
        <v>60</v>
      </c>
      <c r="H753" s="11">
        <v>60</v>
      </c>
      <c r="I753" s="11">
        <v>60</v>
      </c>
      <c r="J753" s="11">
        <v>60</v>
      </c>
      <c r="K753" s="11">
        <v>60</v>
      </c>
    </row>
    <row r="754" spans="1:11" ht="28.8" x14ac:dyDescent="0.3">
      <c r="A754" s="1">
        <v>56</v>
      </c>
      <c r="B754" s="1">
        <v>2024</v>
      </c>
      <c r="C754" s="3">
        <v>45455</v>
      </c>
      <c r="D754" s="4" t="s">
        <v>11</v>
      </c>
      <c r="E754" s="5" t="s">
        <v>12</v>
      </c>
      <c r="F754" s="5" t="s">
        <v>13</v>
      </c>
      <c r="G754" s="6"/>
      <c r="H754" s="6"/>
      <c r="I754" s="6"/>
      <c r="J754" s="6"/>
      <c r="K754" s="6"/>
    </row>
    <row r="755" spans="1:11" ht="28.8" x14ac:dyDescent="0.3">
      <c r="A755" s="1">
        <v>56</v>
      </c>
      <c r="B755" s="1">
        <v>2024</v>
      </c>
      <c r="C755" s="3">
        <v>45455</v>
      </c>
      <c r="D755" s="8" t="s">
        <v>11</v>
      </c>
      <c r="E755" s="9" t="s">
        <v>14</v>
      </c>
      <c r="F755" s="9" t="s">
        <v>13</v>
      </c>
      <c r="G755" s="10"/>
      <c r="H755" s="11">
        <v>60</v>
      </c>
      <c r="I755" s="11">
        <v>72</v>
      </c>
      <c r="J755" s="11">
        <v>66</v>
      </c>
      <c r="K755" s="11">
        <v>66</v>
      </c>
    </row>
    <row r="756" spans="1:11" ht="28.8" x14ac:dyDescent="0.3">
      <c r="A756" s="1">
        <v>56</v>
      </c>
      <c r="B756" s="1">
        <v>2024</v>
      </c>
      <c r="C756" s="3">
        <v>45455</v>
      </c>
      <c r="D756" s="4" t="s">
        <v>11</v>
      </c>
      <c r="E756" s="5" t="s">
        <v>15</v>
      </c>
      <c r="F756" s="5" t="s">
        <v>13</v>
      </c>
      <c r="G756" s="6"/>
      <c r="H756" s="7">
        <v>72</v>
      </c>
      <c r="I756" s="7">
        <v>84</v>
      </c>
      <c r="J756" s="7">
        <v>78</v>
      </c>
      <c r="K756" s="7">
        <v>78</v>
      </c>
    </row>
    <row r="757" spans="1:11" ht="28.8" x14ac:dyDescent="0.3">
      <c r="A757" s="1">
        <v>56</v>
      </c>
      <c r="B757" s="1">
        <v>2024</v>
      </c>
      <c r="C757" s="3">
        <v>45455</v>
      </c>
      <c r="D757" s="8" t="s">
        <v>11</v>
      </c>
      <c r="E757" s="9" t="s">
        <v>16</v>
      </c>
      <c r="F757" s="9" t="s">
        <v>13</v>
      </c>
      <c r="G757" s="10"/>
      <c r="H757" s="11">
        <v>42</v>
      </c>
      <c r="I757" s="11">
        <v>54</v>
      </c>
      <c r="J757" s="11">
        <v>48</v>
      </c>
      <c r="K757" s="11">
        <v>48</v>
      </c>
    </row>
    <row r="758" spans="1:11" ht="28.8" x14ac:dyDescent="0.3">
      <c r="A758" s="1">
        <v>56</v>
      </c>
      <c r="B758" s="1">
        <v>2024</v>
      </c>
      <c r="C758" s="3">
        <v>45455</v>
      </c>
      <c r="D758" s="4" t="s">
        <v>11</v>
      </c>
      <c r="E758" s="5" t="s">
        <v>17</v>
      </c>
      <c r="F758" s="5" t="s">
        <v>13</v>
      </c>
      <c r="G758" s="7">
        <v>30</v>
      </c>
      <c r="H758" s="7">
        <v>30</v>
      </c>
      <c r="I758" s="7">
        <v>30</v>
      </c>
      <c r="J758" s="7">
        <v>30</v>
      </c>
      <c r="K758" s="7">
        <v>30</v>
      </c>
    </row>
    <row r="759" spans="1:11" ht="28.8" x14ac:dyDescent="0.3">
      <c r="A759" s="1">
        <v>56</v>
      </c>
      <c r="B759" s="1">
        <v>2024</v>
      </c>
      <c r="C759" s="3">
        <v>45455</v>
      </c>
      <c r="D759" s="8" t="s">
        <v>11</v>
      </c>
      <c r="E759" s="9" t="s">
        <v>18</v>
      </c>
      <c r="F759" s="9" t="s">
        <v>13</v>
      </c>
      <c r="G759" s="11">
        <v>30</v>
      </c>
      <c r="H759" s="11">
        <v>30</v>
      </c>
      <c r="I759" s="11">
        <v>30</v>
      </c>
      <c r="J759" s="11">
        <v>30</v>
      </c>
      <c r="K759" s="11">
        <v>30</v>
      </c>
    </row>
    <row r="760" spans="1:11" ht="28.8" x14ac:dyDescent="0.3">
      <c r="A760" s="1">
        <v>56</v>
      </c>
      <c r="B760" s="1">
        <v>2024</v>
      </c>
      <c r="C760" s="3">
        <v>45455</v>
      </c>
      <c r="D760" s="4" t="s">
        <v>11</v>
      </c>
      <c r="E760" s="5" t="s">
        <v>19</v>
      </c>
      <c r="F760" s="5" t="s">
        <v>13</v>
      </c>
      <c r="G760" s="7">
        <v>60</v>
      </c>
      <c r="H760" s="7">
        <v>60</v>
      </c>
      <c r="I760" s="7">
        <v>60</v>
      </c>
      <c r="J760" s="7">
        <v>60</v>
      </c>
      <c r="K760" s="7">
        <v>60</v>
      </c>
    </row>
    <row r="761" spans="1:11" ht="28.8" x14ac:dyDescent="0.3">
      <c r="A761" s="1">
        <v>56</v>
      </c>
      <c r="B761" s="1">
        <v>2024</v>
      </c>
      <c r="C761" s="3">
        <v>45455</v>
      </c>
      <c r="D761" s="8" t="s">
        <v>11</v>
      </c>
      <c r="E761" s="9" t="s">
        <v>20</v>
      </c>
      <c r="F761" s="9" t="s">
        <v>13</v>
      </c>
      <c r="G761" s="11">
        <v>96</v>
      </c>
      <c r="H761" s="11">
        <v>96</v>
      </c>
      <c r="I761" s="11">
        <v>96</v>
      </c>
      <c r="J761" s="11">
        <v>96</v>
      </c>
      <c r="K761" s="11">
        <v>96</v>
      </c>
    </row>
    <row r="762" spans="1:11" ht="28.8" x14ac:dyDescent="0.3">
      <c r="A762" s="1">
        <v>56</v>
      </c>
      <c r="B762" s="1">
        <v>2024</v>
      </c>
      <c r="C762" s="3">
        <v>45455</v>
      </c>
      <c r="D762" s="4" t="s">
        <v>11</v>
      </c>
      <c r="E762" s="5" t="s">
        <v>21</v>
      </c>
      <c r="F762" s="5" t="s">
        <v>13</v>
      </c>
      <c r="G762" s="6"/>
      <c r="H762" s="7">
        <v>80</v>
      </c>
      <c r="I762" s="7">
        <v>84</v>
      </c>
      <c r="J762" s="7">
        <v>82</v>
      </c>
      <c r="K762" s="7">
        <v>82</v>
      </c>
    </row>
    <row r="763" spans="1:11" ht="28.8" x14ac:dyDescent="0.3">
      <c r="A763" s="1">
        <v>56</v>
      </c>
      <c r="B763" s="1">
        <v>2024</v>
      </c>
      <c r="C763" s="3">
        <v>45455</v>
      </c>
      <c r="D763" s="8" t="s">
        <v>11</v>
      </c>
      <c r="E763" s="9" t="s">
        <v>73</v>
      </c>
      <c r="F763" s="9" t="s">
        <v>13</v>
      </c>
      <c r="G763" s="10"/>
      <c r="H763" s="11">
        <v>25</v>
      </c>
      <c r="I763" s="11">
        <v>30</v>
      </c>
      <c r="J763" s="11" t="s">
        <v>257</v>
      </c>
      <c r="K763" s="11" t="s">
        <v>257</v>
      </c>
    </row>
    <row r="764" spans="1:11" ht="28.8" x14ac:dyDescent="0.3">
      <c r="A764" s="1">
        <v>56</v>
      </c>
      <c r="B764" s="1">
        <v>2024</v>
      </c>
      <c r="C764" s="3">
        <v>45455</v>
      </c>
      <c r="D764" s="4" t="s">
        <v>11</v>
      </c>
      <c r="E764" s="5" t="s">
        <v>23</v>
      </c>
      <c r="F764" s="5" t="s">
        <v>13</v>
      </c>
      <c r="G764" s="6"/>
      <c r="H764" s="7">
        <v>100</v>
      </c>
      <c r="I764" s="7">
        <v>108</v>
      </c>
      <c r="J764" s="7">
        <v>104</v>
      </c>
      <c r="K764" s="7">
        <v>104</v>
      </c>
    </row>
    <row r="765" spans="1:11" ht="28.8" x14ac:dyDescent="0.3">
      <c r="A765" s="1">
        <v>56</v>
      </c>
      <c r="B765" s="1">
        <v>2024</v>
      </c>
      <c r="C765" s="3">
        <v>45455</v>
      </c>
      <c r="D765" s="8" t="s">
        <v>11</v>
      </c>
      <c r="E765" s="9" t="s">
        <v>24</v>
      </c>
      <c r="F765" s="9" t="s">
        <v>13</v>
      </c>
      <c r="G765" s="11">
        <v>30</v>
      </c>
      <c r="H765" s="11">
        <v>30</v>
      </c>
      <c r="I765" s="11">
        <v>30</v>
      </c>
      <c r="J765" s="11">
        <v>30</v>
      </c>
      <c r="K765" s="11">
        <v>30</v>
      </c>
    </row>
    <row r="766" spans="1:11" ht="28.8" x14ac:dyDescent="0.3">
      <c r="A766" s="1">
        <v>56</v>
      </c>
      <c r="B766" s="1">
        <v>2024</v>
      </c>
      <c r="C766" s="3">
        <v>45455</v>
      </c>
      <c r="D766" s="4" t="s">
        <v>11</v>
      </c>
      <c r="E766" s="5" t="s">
        <v>25</v>
      </c>
      <c r="F766" s="5" t="s">
        <v>26</v>
      </c>
      <c r="G766" s="7">
        <v>72</v>
      </c>
      <c r="H766" s="7">
        <v>72</v>
      </c>
      <c r="I766" s="7">
        <v>72</v>
      </c>
      <c r="J766" s="7">
        <v>72</v>
      </c>
      <c r="K766" s="7">
        <v>72</v>
      </c>
    </row>
    <row r="767" spans="1:11" ht="28.8" x14ac:dyDescent="0.3">
      <c r="A767" s="1">
        <v>56</v>
      </c>
      <c r="B767" s="1">
        <v>2024</v>
      </c>
      <c r="C767" s="3">
        <v>45455</v>
      </c>
      <c r="D767" s="8" t="s">
        <v>11</v>
      </c>
      <c r="E767" s="9" t="s">
        <v>27</v>
      </c>
      <c r="F767" s="9" t="s">
        <v>13</v>
      </c>
      <c r="G767" s="10"/>
      <c r="H767" s="11">
        <v>60</v>
      </c>
      <c r="I767" s="11">
        <v>72</v>
      </c>
      <c r="J767" s="11">
        <v>66</v>
      </c>
      <c r="K767" s="11">
        <v>66</v>
      </c>
    </row>
    <row r="768" spans="1:11" ht="28.8" x14ac:dyDescent="0.3">
      <c r="A768" s="1">
        <v>56</v>
      </c>
      <c r="B768" s="1">
        <v>2024</v>
      </c>
      <c r="C768" s="3">
        <v>45455</v>
      </c>
      <c r="D768" s="4" t="s">
        <v>11</v>
      </c>
      <c r="E768" s="5" t="s">
        <v>28</v>
      </c>
      <c r="F768" s="5" t="s">
        <v>13</v>
      </c>
      <c r="G768" s="7">
        <v>96</v>
      </c>
      <c r="H768" s="7">
        <v>60</v>
      </c>
      <c r="I768" s="7">
        <v>96</v>
      </c>
      <c r="J768" s="7">
        <v>84</v>
      </c>
      <c r="K768" s="7">
        <v>96</v>
      </c>
    </row>
    <row r="769" spans="1:11" ht="28.8" x14ac:dyDescent="0.3">
      <c r="A769" s="1">
        <v>56</v>
      </c>
      <c r="B769" s="1">
        <v>2024</v>
      </c>
      <c r="C769" s="3">
        <v>45455</v>
      </c>
      <c r="D769" s="8" t="s">
        <v>11</v>
      </c>
      <c r="E769" s="9" t="s">
        <v>29</v>
      </c>
      <c r="F769" s="9" t="s">
        <v>13</v>
      </c>
      <c r="G769" s="10"/>
      <c r="H769" s="11">
        <v>50</v>
      </c>
      <c r="I769" s="11">
        <v>65</v>
      </c>
      <c r="J769" s="11" t="s">
        <v>258</v>
      </c>
      <c r="K769" s="11">
        <v>60</v>
      </c>
    </row>
    <row r="770" spans="1:11" ht="28.8" x14ac:dyDescent="0.3">
      <c r="A770" s="1">
        <v>56</v>
      </c>
      <c r="B770" s="1">
        <v>2024</v>
      </c>
      <c r="C770" s="3">
        <v>45455</v>
      </c>
      <c r="D770" s="4" t="s">
        <v>30</v>
      </c>
      <c r="E770" s="5" t="s">
        <v>31</v>
      </c>
      <c r="F770" s="5" t="s">
        <v>32</v>
      </c>
      <c r="G770" s="7">
        <v>5</v>
      </c>
      <c r="H770" s="7">
        <v>5</v>
      </c>
      <c r="I770" s="7">
        <v>5</v>
      </c>
      <c r="J770" s="7">
        <v>5</v>
      </c>
      <c r="K770" s="7">
        <v>5</v>
      </c>
    </row>
    <row r="771" spans="1:11" ht="28.8" x14ac:dyDescent="0.3">
      <c r="A771" s="1">
        <v>56</v>
      </c>
      <c r="B771" s="1">
        <v>2024</v>
      </c>
      <c r="C771" s="3">
        <v>45455</v>
      </c>
      <c r="D771" s="8" t="s">
        <v>30</v>
      </c>
      <c r="E771" s="9" t="s">
        <v>34</v>
      </c>
      <c r="F771" s="9" t="s">
        <v>35</v>
      </c>
      <c r="G771" s="11">
        <v>25</v>
      </c>
      <c r="H771" s="11">
        <v>25</v>
      </c>
      <c r="I771" s="11">
        <v>25</v>
      </c>
      <c r="J771" s="11">
        <v>25</v>
      </c>
      <c r="K771" s="11">
        <v>25</v>
      </c>
    </row>
    <row r="772" spans="1:11" ht="28.8" x14ac:dyDescent="0.3">
      <c r="A772" s="1">
        <v>56</v>
      </c>
      <c r="B772" s="1">
        <v>2024</v>
      </c>
      <c r="C772" s="3">
        <v>45455</v>
      </c>
      <c r="D772" s="4" t="s">
        <v>30</v>
      </c>
      <c r="E772" s="5" t="s">
        <v>36</v>
      </c>
      <c r="F772" s="5" t="s">
        <v>35</v>
      </c>
      <c r="G772" s="7">
        <v>30</v>
      </c>
      <c r="H772" s="7">
        <v>30</v>
      </c>
      <c r="I772" s="7">
        <v>30</v>
      </c>
      <c r="J772" s="7">
        <v>30</v>
      </c>
      <c r="K772" s="7">
        <v>30</v>
      </c>
    </row>
    <row r="773" spans="1:11" ht="43.2" x14ac:dyDescent="0.3">
      <c r="A773" s="1">
        <v>56</v>
      </c>
      <c r="B773" s="1">
        <v>2024</v>
      </c>
      <c r="C773" s="3">
        <v>45455</v>
      </c>
      <c r="D773" s="8" t="s">
        <v>38</v>
      </c>
      <c r="E773" s="9" t="s">
        <v>153</v>
      </c>
      <c r="F773" s="9" t="s">
        <v>154</v>
      </c>
      <c r="G773" s="10"/>
      <c r="H773" s="11">
        <v>90</v>
      </c>
      <c r="I773" s="11">
        <v>110</v>
      </c>
      <c r="J773" s="11" t="s">
        <v>259</v>
      </c>
      <c r="K773" s="11">
        <v>95</v>
      </c>
    </row>
    <row r="774" spans="1:11" ht="43.2" x14ac:dyDescent="0.3">
      <c r="A774" s="1">
        <v>56</v>
      </c>
      <c r="B774" s="1">
        <v>2024</v>
      </c>
      <c r="C774" s="3">
        <v>45455</v>
      </c>
      <c r="D774" s="4" t="s">
        <v>38</v>
      </c>
      <c r="E774" s="5" t="s">
        <v>39</v>
      </c>
      <c r="F774" s="5" t="s">
        <v>40</v>
      </c>
      <c r="G774" s="7">
        <v>90</v>
      </c>
      <c r="H774" s="7">
        <v>80</v>
      </c>
      <c r="I774" s="7">
        <v>100</v>
      </c>
      <c r="J774" s="7">
        <v>92</v>
      </c>
      <c r="K774" s="7">
        <v>90</v>
      </c>
    </row>
    <row r="775" spans="1:11" ht="43.2" x14ac:dyDescent="0.3">
      <c r="A775" s="1">
        <v>56</v>
      </c>
      <c r="B775" s="1">
        <v>2024</v>
      </c>
      <c r="C775" s="3">
        <v>45455</v>
      </c>
      <c r="D775" s="8" t="s">
        <v>38</v>
      </c>
      <c r="E775" s="9" t="s">
        <v>42</v>
      </c>
      <c r="F775" s="9" t="s">
        <v>43</v>
      </c>
      <c r="G775" s="11">
        <v>65</v>
      </c>
      <c r="H775" s="11">
        <v>48</v>
      </c>
      <c r="I775" s="11">
        <v>70</v>
      </c>
      <c r="J775" s="11">
        <v>63</v>
      </c>
      <c r="K775" s="11">
        <v>65</v>
      </c>
    </row>
    <row r="776" spans="1:11" ht="43.2" x14ac:dyDescent="0.3">
      <c r="A776" s="1">
        <v>56</v>
      </c>
      <c r="B776" s="1">
        <v>2024</v>
      </c>
      <c r="C776" s="3">
        <v>45455</v>
      </c>
      <c r="D776" s="4" t="s">
        <v>38</v>
      </c>
      <c r="E776" s="5" t="s">
        <v>44</v>
      </c>
      <c r="F776" s="5" t="s">
        <v>45</v>
      </c>
      <c r="G776" s="7">
        <v>40</v>
      </c>
      <c r="H776" s="7">
        <v>35</v>
      </c>
      <c r="I776" s="7">
        <v>60</v>
      </c>
      <c r="J776" s="7">
        <v>45</v>
      </c>
      <c r="K776" s="7" t="s">
        <v>47</v>
      </c>
    </row>
    <row r="777" spans="1:11" ht="43.2" x14ac:dyDescent="0.3">
      <c r="A777" s="1">
        <v>56</v>
      </c>
      <c r="B777" s="1">
        <v>2024</v>
      </c>
      <c r="C777" s="3">
        <v>45455</v>
      </c>
      <c r="D777" s="8" t="s">
        <v>38</v>
      </c>
      <c r="E777" s="9" t="s">
        <v>48</v>
      </c>
      <c r="F777" s="9" t="s">
        <v>45</v>
      </c>
      <c r="G777" s="10"/>
      <c r="H777" s="11">
        <v>100</v>
      </c>
      <c r="I777" s="11">
        <v>115</v>
      </c>
      <c r="J777" s="11" t="s">
        <v>260</v>
      </c>
      <c r="K777" s="11">
        <v>110</v>
      </c>
    </row>
    <row r="778" spans="1:11" ht="43.2" x14ac:dyDescent="0.3">
      <c r="A778" s="1">
        <v>56</v>
      </c>
      <c r="B778" s="1">
        <v>2024</v>
      </c>
      <c r="C778" s="3">
        <v>45455</v>
      </c>
      <c r="D778" s="4" t="s">
        <v>38</v>
      </c>
      <c r="E778" s="5" t="s">
        <v>49</v>
      </c>
      <c r="F778" s="5" t="s">
        <v>50</v>
      </c>
      <c r="G778" s="7">
        <v>120</v>
      </c>
      <c r="H778" s="7">
        <v>100</v>
      </c>
      <c r="I778" s="7">
        <v>120</v>
      </c>
      <c r="J778" s="7">
        <v>110</v>
      </c>
      <c r="K778" s="7">
        <v>110</v>
      </c>
    </row>
    <row r="779" spans="1:11" ht="43.2" x14ac:dyDescent="0.3">
      <c r="A779" s="1">
        <v>56</v>
      </c>
      <c r="B779" s="1">
        <v>2024</v>
      </c>
      <c r="C779" s="3">
        <v>45455</v>
      </c>
      <c r="D779" s="8" t="s">
        <v>38</v>
      </c>
      <c r="E779" s="9" t="s">
        <v>52</v>
      </c>
      <c r="F779" s="9" t="s">
        <v>43</v>
      </c>
      <c r="G779" s="10"/>
      <c r="H779" s="11">
        <v>90</v>
      </c>
      <c r="I779" s="11">
        <v>145</v>
      </c>
      <c r="J779" s="11" t="s">
        <v>261</v>
      </c>
      <c r="K779" s="11">
        <v>125</v>
      </c>
    </row>
    <row r="780" spans="1:11" ht="43.2" x14ac:dyDescent="0.3">
      <c r="A780" s="1">
        <v>56</v>
      </c>
      <c r="B780" s="1">
        <v>2024</v>
      </c>
      <c r="C780" s="3">
        <v>45455</v>
      </c>
      <c r="D780" s="4" t="s">
        <v>38</v>
      </c>
      <c r="E780" s="5" t="s">
        <v>53</v>
      </c>
      <c r="F780" s="5" t="s">
        <v>43</v>
      </c>
      <c r="G780" s="7">
        <v>80</v>
      </c>
      <c r="H780" s="7">
        <v>60</v>
      </c>
      <c r="I780" s="7">
        <v>80</v>
      </c>
      <c r="J780" s="7">
        <v>74</v>
      </c>
      <c r="K780" s="7">
        <v>75</v>
      </c>
    </row>
    <row r="781" spans="1:11" ht="43.2" x14ac:dyDescent="0.3">
      <c r="A781" s="1">
        <v>56</v>
      </c>
      <c r="B781" s="1">
        <v>2024</v>
      </c>
      <c r="C781" s="3">
        <v>45455</v>
      </c>
      <c r="D781" s="8" t="s">
        <v>38</v>
      </c>
      <c r="E781" s="9" t="s">
        <v>54</v>
      </c>
      <c r="F781" s="9" t="s">
        <v>40</v>
      </c>
      <c r="G781" s="10"/>
      <c r="H781" s="11">
        <v>90</v>
      </c>
      <c r="I781" s="11">
        <v>130</v>
      </c>
      <c r="J781" s="11">
        <v>110</v>
      </c>
      <c r="K781" s="11">
        <v>110</v>
      </c>
    </row>
    <row r="782" spans="1:11" ht="43.2" x14ac:dyDescent="0.3">
      <c r="A782" s="1">
        <v>56</v>
      </c>
      <c r="B782" s="1">
        <v>2024</v>
      </c>
      <c r="C782" s="3">
        <v>45455</v>
      </c>
      <c r="D782" s="4" t="s">
        <v>38</v>
      </c>
      <c r="E782" s="5" t="s">
        <v>56</v>
      </c>
      <c r="F782" s="5" t="s">
        <v>43</v>
      </c>
      <c r="G782" s="7">
        <v>70</v>
      </c>
      <c r="H782" s="7">
        <v>35</v>
      </c>
      <c r="I782" s="7">
        <v>70</v>
      </c>
      <c r="J782" s="7" t="s">
        <v>92</v>
      </c>
      <c r="K782" s="7">
        <v>55</v>
      </c>
    </row>
    <row r="783" spans="1:11" ht="43.2" x14ac:dyDescent="0.3">
      <c r="A783" s="1">
        <v>56</v>
      </c>
      <c r="B783" s="1">
        <v>2024</v>
      </c>
      <c r="C783" s="3">
        <v>45455</v>
      </c>
      <c r="D783" s="8" t="s">
        <v>38</v>
      </c>
      <c r="E783" s="9" t="s">
        <v>57</v>
      </c>
      <c r="F783" s="9" t="s">
        <v>40</v>
      </c>
      <c r="G783" s="10"/>
      <c r="H783" s="11">
        <v>70</v>
      </c>
      <c r="I783" s="11">
        <v>90</v>
      </c>
      <c r="J783" s="11" t="s">
        <v>262</v>
      </c>
      <c r="K783" s="11">
        <v>75</v>
      </c>
    </row>
    <row r="784" spans="1:11" ht="43.2" x14ac:dyDescent="0.3">
      <c r="A784" s="1">
        <v>56</v>
      </c>
      <c r="B784" s="1">
        <v>2024</v>
      </c>
      <c r="C784" s="3">
        <v>45455</v>
      </c>
      <c r="D784" s="4" t="s">
        <v>38</v>
      </c>
      <c r="E784" s="5" t="s">
        <v>58</v>
      </c>
      <c r="F784" s="5" t="s">
        <v>40</v>
      </c>
      <c r="G784" s="7">
        <v>110</v>
      </c>
      <c r="H784" s="7">
        <v>90</v>
      </c>
      <c r="I784" s="7">
        <v>130</v>
      </c>
      <c r="J784" s="7" t="s">
        <v>263</v>
      </c>
      <c r="K784" s="7">
        <v>105</v>
      </c>
    </row>
    <row r="785" spans="1:11" ht="43.2" x14ac:dyDescent="0.3">
      <c r="A785" s="1">
        <v>56</v>
      </c>
      <c r="B785" s="1">
        <v>2024</v>
      </c>
      <c r="C785" s="3">
        <v>45455</v>
      </c>
      <c r="D785" s="8" t="s">
        <v>38</v>
      </c>
      <c r="E785" s="9" t="s">
        <v>59</v>
      </c>
      <c r="F785" s="9" t="s">
        <v>45</v>
      </c>
      <c r="G785" s="11">
        <v>60</v>
      </c>
      <c r="H785" s="11">
        <v>45</v>
      </c>
      <c r="I785" s="11">
        <v>60</v>
      </c>
      <c r="J785" s="11">
        <v>54</v>
      </c>
      <c r="K785" s="11">
        <v>55</v>
      </c>
    </row>
    <row r="786" spans="1:11" ht="43.2" x14ac:dyDescent="0.3">
      <c r="A786" s="1">
        <v>56</v>
      </c>
      <c r="B786" s="1">
        <v>2024</v>
      </c>
      <c r="C786" s="3">
        <v>45455</v>
      </c>
      <c r="D786" s="4" t="s">
        <v>38</v>
      </c>
      <c r="E786" s="5" t="s">
        <v>60</v>
      </c>
      <c r="F786" s="5" t="s">
        <v>61</v>
      </c>
      <c r="G786" s="7">
        <v>200</v>
      </c>
      <c r="H786" s="7">
        <v>100</v>
      </c>
      <c r="I786" s="7">
        <v>200</v>
      </c>
      <c r="J786" s="7">
        <v>160</v>
      </c>
      <c r="K786" s="7">
        <v>160</v>
      </c>
    </row>
    <row r="787" spans="1:11" ht="43.2" x14ac:dyDescent="0.3">
      <c r="A787" s="1">
        <v>56</v>
      </c>
      <c r="B787" s="1">
        <v>2024</v>
      </c>
      <c r="C787" s="3">
        <v>45455</v>
      </c>
      <c r="D787" s="8" t="s">
        <v>38</v>
      </c>
      <c r="E787" s="9" t="s">
        <v>63</v>
      </c>
      <c r="F787" s="9" t="s">
        <v>40</v>
      </c>
      <c r="G787" s="11">
        <v>180</v>
      </c>
      <c r="H787" s="11">
        <v>120</v>
      </c>
      <c r="I787" s="11">
        <v>180</v>
      </c>
      <c r="J787" s="11">
        <v>158</v>
      </c>
      <c r="K787" s="11">
        <v>160</v>
      </c>
    </row>
    <row r="788" spans="1:11" ht="43.2" x14ac:dyDescent="0.3">
      <c r="A788" s="1">
        <v>56</v>
      </c>
      <c r="B788" s="1">
        <v>2024</v>
      </c>
      <c r="C788" s="3">
        <v>45455</v>
      </c>
      <c r="D788" s="4" t="s">
        <v>38</v>
      </c>
      <c r="E788" s="5" t="s">
        <v>64</v>
      </c>
      <c r="F788" s="5" t="s">
        <v>40</v>
      </c>
      <c r="G788" s="6"/>
      <c r="H788" s="7">
        <v>200</v>
      </c>
      <c r="I788" s="7">
        <v>250</v>
      </c>
      <c r="J788" s="7" t="s">
        <v>264</v>
      </c>
      <c r="K788" s="7">
        <v>220</v>
      </c>
    </row>
    <row r="789" spans="1:11" x14ac:dyDescent="0.3">
      <c r="A789" s="1">
        <v>56</v>
      </c>
      <c r="B789" s="1">
        <v>2024</v>
      </c>
      <c r="C789" s="3">
        <v>45455</v>
      </c>
      <c r="D789" s="8" t="s">
        <v>65</v>
      </c>
      <c r="E789" s="9" t="s">
        <v>66</v>
      </c>
      <c r="F789" s="9" t="s">
        <v>45</v>
      </c>
      <c r="G789" s="10"/>
      <c r="H789" s="11">
        <v>110</v>
      </c>
      <c r="I789" s="11">
        <v>110</v>
      </c>
      <c r="J789" s="11">
        <v>110</v>
      </c>
      <c r="K789" s="11">
        <v>110</v>
      </c>
    </row>
    <row r="790" spans="1:11" x14ac:dyDescent="0.3">
      <c r="A790" s="1">
        <v>56</v>
      </c>
      <c r="B790" s="1">
        <v>2024</v>
      </c>
      <c r="C790" s="3">
        <v>45455</v>
      </c>
      <c r="D790" s="4" t="s">
        <v>65</v>
      </c>
      <c r="E790" s="5" t="s">
        <v>67</v>
      </c>
      <c r="F790" s="5" t="s">
        <v>45</v>
      </c>
      <c r="G790" s="6"/>
      <c r="H790" s="7">
        <v>110</v>
      </c>
      <c r="I790" s="7">
        <v>110</v>
      </c>
      <c r="J790" s="7">
        <v>110</v>
      </c>
      <c r="K790" s="7">
        <v>110</v>
      </c>
    </row>
    <row r="791" spans="1:11" x14ac:dyDescent="0.3">
      <c r="A791" s="1">
        <v>56</v>
      </c>
      <c r="B791" s="1">
        <v>2024</v>
      </c>
      <c r="C791" s="3">
        <v>45455</v>
      </c>
      <c r="D791" s="8" t="s">
        <v>65</v>
      </c>
      <c r="E791" s="9" t="s">
        <v>68</v>
      </c>
      <c r="F791" s="9" t="s">
        <v>45</v>
      </c>
      <c r="G791" s="10"/>
      <c r="H791" s="10"/>
      <c r="I791" s="10"/>
      <c r="J791" s="10"/>
      <c r="K791" s="10"/>
    </row>
    <row r="792" spans="1:11" x14ac:dyDescent="0.3">
      <c r="A792" s="1">
        <v>56</v>
      </c>
      <c r="B792" s="1">
        <v>2024</v>
      </c>
      <c r="C792" s="3">
        <v>45455</v>
      </c>
      <c r="D792" s="4" t="s">
        <v>65</v>
      </c>
      <c r="E792" s="5" t="s">
        <v>69</v>
      </c>
      <c r="F792" s="5" t="s">
        <v>45</v>
      </c>
      <c r="G792" s="6"/>
      <c r="H792" s="7">
        <v>48</v>
      </c>
      <c r="I792" s="7">
        <v>48</v>
      </c>
      <c r="J792" s="7">
        <v>48</v>
      </c>
      <c r="K792" s="7">
        <v>48</v>
      </c>
    </row>
    <row r="793" spans="1:11" x14ac:dyDescent="0.3">
      <c r="A793" s="1">
        <v>56</v>
      </c>
      <c r="B793" s="1">
        <v>2024</v>
      </c>
      <c r="C793" s="3">
        <v>45455</v>
      </c>
      <c r="D793" s="8" t="s">
        <v>65</v>
      </c>
      <c r="E793" s="9" t="s">
        <v>70</v>
      </c>
      <c r="F793" s="9" t="s">
        <v>71</v>
      </c>
      <c r="G793" s="10"/>
      <c r="H793" s="11">
        <v>65</v>
      </c>
      <c r="I793" s="11">
        <v>65</v>
      </c>
      <c r="J793" s="11">
        <v>65</v>
      </c>
      <c r="K793" s="11">
        <v>65</v>
      </c>
    </row>
    <row r="794" spans="1:11" ht="28.8" x14ac:dyDescent="0.3">
      <c r="A794" s="1">
        <v>57</v>
      </c>
      <c r="B794" s="1">
        <v>2024</v>
      </c>
      <c r="C794" s="3">
        <v>45462</v>
      </c>
      <c r="D794" s="4" t="s">
        <v>11</v>
      </c>
      <c r="E794" s="5" t="s">
        <v>12</v>
      </c>
      <c r="F794" s="5" t="s">
        <v>13</v>
      </c>
      <c r="G794" s="6"/>
      <c r="H794" s="7">
        <v>48</v>
      </c>
      <c r="I794" s="7">
        <v>60</v>
      </c>
      <c r="J794" s="7">
        <v>54</v>
      </c>
      <c r="K794" s="7">
        <v>54</v>
      </c>
    </row>
    <row r="795" spans="1:11" ht="28.8" x14ac:dyDescent="0.3">
      <c r="A795" s="1">
        <v>57</v>
      </c>
      <c r="B795" s="1">
        <v>2024</v>
      </c>
      <c r="C795" s="3">
        <v>45462</v>
      </c>
      <c r="D795" s="8" t="s">
        <v>11</v>
      </c>
      <c r="E795" s="9" t="s">
        <v>14</v>
      </c>
      <c r="F795" s="9" t="s">
        <v>13</v>
      </c>
      <c r="G795" s="11">
        <v>84</v>
      </c>
      <c r="H795" s="11">
        <v>84</v>
      </c>
      <c r="I795" s="11">
        <v>84</v>
      </c>
      <c r="J795" s="11">
        <v>84</v>
      </c>
      <c r="K795" s="11">
        <v>84</v>
      </c>
    </row>
    <row r="796" spans="1:11" ht="28.8" x14ac:dyDescent="0.3">
      <c r="A796" s="1">
        <v>57</v>
      </c>
      <c r="B796" s="1">
        <v>2024</v>
      </c>
      <c r="C796" s="3">
        <v>45462</v>
      </c>
      <c r="D796" s="4" t="s">
        <v>11</v>
      </c>
      <c r="E796" s="5" t="s">
        <v>15</v>
      </c>
      <c r="F796" s="5" t="s">
        <v>13</v>
      </c>
      <c r="G796" s="6"/>
      <c r="H796" s="7">
        <v>36</v>
      </c>
      <c r="I796" s="7">
        <v>42</v>
      </c>
      <c r="J796" s="7">
        <v>39</v>
      </c>
      <c r="K796" s="7">
        <v>39</v>
      </c>
    </row>
    <row r="797" spans="1:11" ht="28.8" x14ac:dyDescent="0.3">
      <c r="A797" s="1">
        <v>57</v>
      </c>
      <c r="B797" s="1">
        <v>2024</v>
      </c>
      <c r="C797" s="3">
        <v>45462</v>
      </c>
      <c r="D797" s="8" t="s">
        <v>11</v>
      </c>
      <c r="E797" s="9" t="s">
        <v>16</v>
      </c>
      <c r="F797" s="9" t="s">
        <v>13</v>
      </c>
      <c r="G797" s="10"/>
      <c r="H797" s="11">
        <v>20</v>
      </c>
      <c r="I797" s="11">
        <v>24</v>
      </c>
      <c r="J797" s="11">
        <v>22</v>
      </c>
      <c r="K797" s="11">
        <v>22</v>
      </c>
    </row>
    <row r="798" spans="1:11" ht="28.8" x14ac:dyDescent="0.3">
      <c r="A798" s="1">
        <v>57</v>
      </c>
      <c r="B798" s="1">
        <v>2024</v>
      </c>
      <c r="C798" s="3">
        <v>45462</v>
      </c>
      <c r="D798" s="4" t="s">
        <v>11</v>
      </c>
      <c r="E798" s="5" t="s">
        <v>17</v>
      </c>
      <c r="F798" s="5" t="s">
        <v>13</v>
      </c>
      <c r="G798" s="6"/>
      <c r="H798" s="7">
        <v>20</v>
      </c>
      <c r="I798" s="7">
        <v>24</v>
      </c>
      <c r="J798" s="7">
        <v>22</v>
      </c>
      <c r="K798" s="7">
        <v>22</v>
      </c>
    </row>
    <row r="799" spans="1:11" ht="28.8" x14ac:dyDescent="0.3">
      <c r="A799" s="1">
        <v>57</v>
      </c>
      <c r="B799" s="1">
        <v>2024</v>
      </c>
      <c r="C799" s="3">
        <v>45462</v>
      </c>
      <c r="D799" s="8" t="s">
        <v>11</v>
      </c>
      <c r="E799" s="9" t="s">
        <v>18</v>
      </c>
      <c r="F799" s="9" t="s">
        <v>13</v>
      </c>
      <c r="G799" s="11">
        <v>60</v>
      </c>
      <c r="H799" s="11">
        <v>60</v>
      </c>
      <c r="I799" s="11">
        <v>60</v>
      </c>
      <c r="J799" s="11">
        <v>60</v>
      </c>
      <c r="K799" s="11">
        <v>60</v>
      </c>
    </row>
    <row r="800" spans="1:11" ht="28.8" x14ac:dyDescent="0.3">
      <c r="A800" s="1">
        <v>57</v>
      </c>
      <c r="B800" s="1">
        <v>2024</v>
      </c>
      <c r="C800" s="3">
        <v>45462</v>
      </c>
      <c r="D800" s="4" t="s">
        <v>11</v>
      </c>
      <c r="E800" s="5" t="s">
        <v>19</v>
      </c>
      <c r="F800" s="5" t="s">
        <v>13</v>
      </c>
      <c r="G800" s="6"/>
      <c r="H800" s="7">
        <v>90</v>
      </c>
      <c r="I800" s="7">
        <v>96</v>
      </c>
      <c r="J800" s="7">
        <v>93</v>
      </c>
      <c r="K800" s="7">
        <v>93</v>
      </c>
    </row>
    <row r="801" spans="1:11" ht="28.8" x14ac:dyDescent="0.3">
      <c r="A801" s="1">
        <v>57</v>
      </c>
      <c r="B801" s="1">
        <v>2024</v>
      </c>
      <c r="C801" s="3">
        <v>45462</v>
      </c>
      <c r="D801" s="8" t="s">
        <v>11</v>
      </c>
      <c r="E801" s="9" t="s">
        <v>20</v>
      </c>
      <c r="F801" s="9" t="s">
        <v>13</v>
      </c>
      <c r="G801" s="11">
        <v>84</v>
      </c>
      <c r="H801" s="11">
        <v>84</v>
      </c>
      <c r="I801" s="11">
        <v>84</v>
      </c>
      <c r="J801" s="11">
        <v>84</v>
      </c>
      <c r="K801" s="11">
        <v>84</v>
      </c>
    </row>
    <row r="802" spans="1:11" ht="28.8" x14ac:dyDescent="0.3">
      <c r="A802" s="1">
        <v>57</v>
      </c>
      <c r="B802" s="1">
        <v>2024</v>
      </c>
      <c r="C802" s="3">
        <v>45462</v>
      </c>
      <c r="D802" s="4" t="s">
        <v>11</v>
      </c>
      <c r="E802" s="5" t="s">
        <v>21</v>
      </c>
      <c r="F802" s="5" t="s">
        <v>13</v>
      </c>
      <c r="G802" s="6"/>
      <c r="H802" s="7">
        <v>24</v>
      </c>
      <c r="I802" s="7">
        <v>30</v>
      </c>
      <c r="J802" s="7">
        <v>27</v>
      </c>
      <c r="K802" s="7">
        <v>27</v>
      </c>
    </row>
    <row r="803" spans="1:11" ht="28.8" x14ac:dyDescent="0.3">
      <c r="A803" s="1">
        <v>57</v>
      </c>
      <c r="B803" s="1">
        <v>2024</v>
      </c>
      <c r="C803" s="3">
        <v>45462</v>
      </c>
      <c r="D803" s="8" t="s">
        <v>11</v>
      </c>
      <c r="E803" s="9" t="s">
        <v>73</v>
      </c>
      <c r="F803" s="9" t="s">
        <v>13</v>
      </c>
      <c r="G803" s="10"/>
      <c r="H803" s="11">
        <v>96</v>
      </c>
      <c r="I803" s="11">
        <v>108</v>
      </c>
      <c r="J803" s="11">
        <v>102</v>
      </c>
      <c r="K803" s="11">
        <v>102</v>
      </c>
    </row>
    <row r="804" spans="1:11" ht="28.8" x14ac:dyDescent="0.3">
      <c r="A804" s="1">
        <v>57</v>
      </c>
      <c r="B804" s="1">
        <v>2024</v>
      </c>
      <c r="C804" s="3">
        <v>45462</v>
      </c>
      <c r="D804" s="4" t="s">
        <v>11</v>
      </c>
      <c r="E804" s="5" t="s">
        <v>23</v>
      </c>
      <c r="F804" s="5" t="s">
        <v>13</v>
      </c>
      <c r="G804" s="6"/>
      <c r="H804" s="7">
        <v>20</v>
      </c>
      <c r="I804" s="7">
        <v>24</v>
      </c>
      <c r="J804" s="7">
        <v>22</v>
      </c>
      <c r="K804" s="7">
        <v>22</v>
      </c>
    </row>
    <row r="805" spans="1:11" ht="28.8" x14ac:dyDescent="0.3">
      <c r="A805" s="1">
        <v>57</v>
      </c>
      <c r="B805" s="1">
        <v>2024</v>
      </c>
      <c r="C805" s="3">
        <v>45462</v>
      </c>
      <c r="D805" s="8" t="s">
        <v>11</v>
      </c>
      <c r="E805" s="9" t="s">
        <v>24</v>
      </c>
      <c r="F805" s="9" t="s">
        <v>13</v>
      </c>
      <c r="G805" s="10"/>
      <c r="H805" s="11">
        <v>72</v>
      </c>
      <c r="I805" s="11">
        <v>78</v>
      </c>
      <c r="J805" s="11">
        <v>75</v>
      </c>
      <c r="K805" s="11">
        <v>75</v>
      </c>
    </row>
    <row r="806" spans="1:11" ht="28.8" x14ac:dyDescent="0.3">
      <c r="A806" s="1">
        <v>57</v>
      </c>
      <c r="B806" s="1">
        <v>2024</v>
      </c>
      <c r="C806" s="3">
        <v>45462</v>
      </c>
      <c r="D806" s="4" t="s">
        <v>11</v>
      </c>
      <c r="E806" s="5" t="s">
        <v>25</v>
      </c>
      <c r="F806" s="5" t="s">
        <v>26</v>
      </c>
      <c r="G806" s="7">
        <v>60</v>
      </c>
      <c r="H806" s="7">
        <v>60</v>
      </c>
      <c r="I806" s="7">
        <v>60</v>
      </c>
      <c r="J806" s="7">
        <v>60</v>
      </c>
      <c r="K806" s="7">
        <v>60</v>
      </c>
    </row>
    <row r="807" spans="1:11" ht="28.8" x14ac:dyDescent="0.3">
      <c r="A807" s="1">
        <v>57</v>
      </c>
      <c r="B807" s="1">
        <v>2024</v>
      </c>
      <c r="C807" s="3">
        <v>45462</v>
      </c>
      <c r="D807" s="8" t="s">
        <v>11</v>
      </c>
      <c r="E807" s="9" t="s">
        <v>27</v>
      </c>
      <c r="F807" s="9" t="s">
        <v>13</v>
      </c>
      <c r="G807" s="10"/>
      <c r="H807" s="11">
        <v>66</v>
      </c>
      <c r="I807" s="11">
        <v>72</v>
      </c>
      <c r="J807" s="11">
        <v>69</v>
      </c>
      <c r="K807" s="11">
        <v>69</v>
      </c>
    </row>
    <row r="808" spans="1:11" ht="28.8" x14ac:dyDescent="0.3">
      <c r="A808" s="1">
        <v>57</v>
      </c>
      <c r="B808" s="1">
        <v>2024</v>
      </c>
      <c r="C808" s="3">
        <v>45462</v>
      </c>
      <c r="D808" s="4" t="s">
        <v>11</v>
      </c>
      <c r="E808" s="5" t="s">
        <v>28</v>
      </c>
      <c r="F808" s="5" t="s">
        <v>13</v>
      </c>
      <c r="G808" s="6"/>
      <c r="H808" s="7">
        <v>45</v>
      </c>
      <c r="I808" s="7">
        <v>48</v>
      </c>
      <c r="J808" s="7" t="s">
        <v>174</v>
      </c>
      <c r="K808" s="7" t="s">
        <v>174</v>
      </c>
    </row>
    <row r="809" spans="1:11" ht="28.8" x14ac:dyDescent="0.3">
      <c r="A809" s="1">
        <v>57</v>
      </c>
      <c r="B809" s="1">
        <v>2024</v>
      </c>
      <c r="C809" s="3">
        <v>45462</v>
      </c>
      <c r="D809" s="8" t="s">
        <v>11</v>
      </c>
      <c r="E809" s="9" t="s">
        <v>29</v>
      </c>
      <c r="F809" s="9" t="s">
        <v>13</v>
      </c>
      <c r="G809" s="10"/>
      <c r="H809" s="11">
        <v>48</v>
      </c>
      <c r="I809" s="11">
        <v>54</v>
      </c>
      <c r="J809" s="11">
        <v>51</v>
      </c>
      <c r="K809" s="11">
        <v>51</v>
      </c>
    </row>
    <row r="810" spans="1:11" ht="28.8" x14ac:dyDescent="0.3">
      <c r="A810" s="1">
        <v>57</v>
      </c>
      <c r="B810" s="1">
        <v>2024</v>
      </c>
      <c r="C810" s="3">
        <v>45462</v>
      </c>
      <c r="D810" s="4" t="s">
        <v>30</v>
      </c>
      <c r="E810" s="5" t="s">
        <v>31</v>
      </c>
      <c r="F810" s="5" t="s">
        <v>32</v>
      </c>
      <c r="G810" s="7">
        <v>5</v>
      </c>
      <c r="H810" s="7">
        <v>5</v>
      </c>
      <c r="I810" s="7">
        <v>5</v>
      </c>
      <c r="J810" s="7">
        <v>5</v>
      </c>
      <c r="K810" s="7">
        <v>5</v>
      </c>
    </row>
    <row r="811" spans="1:11" ht="28.8" x14ac:dyDescent="0.3">
      <c r="A811" s="1">
        <v>57</v>
      </c>
      <c r="B811" s="1">
        <v>2024</v>
      </c>
      <c r="C811" s="3">
        <v>45462</v>
      </c>
      <c r="D811" s="8" t="s">
        <v>30</v>
      </c>
      <c r="E811" s="9" t="s">
        <v>34</v>
      </c>
      <c r="F811" s="9" t="s">
        <v>35</v>
      </c>
      <c r="G811" s="11">
        <v>20</v>
      </c>
      <c r="H811" s="11">
        <v>20</v>
      </c>
      <c r="I811" s="11">
        <v>20</v>
      </c>
      <c r="J811" s="11">
        <v>20</v>
      </c>
      <c r="K811" s="11">
        <v>20</v>
      </c>
    </row>
    <row r="812" spans="1:11" ht="28.8" x14ac:dyDescent="0.3">
      <c r="A812" s="1">
        <v>57</v>
      </c>
      <c r="B812" s="1">
        <v>2024</v>
      </c>
      <c r="C812" s="3">
        <v>45462</v>
      </c>
      <c r="D812" s="4" t="s">
        <v>30</v>
      </c>
      <c r="E812" s="5" t="s">
        <v>36</v>
      </c>
      <c r="F812" s="5" t="s">
        <v>35</v>
      </c>
      <c r="G812" s="6"/>
      <c r="H812" s="7">
        <v>25</v>
      </c>
      <c r="I812" s="7">
        <v>35</v>
      </c>
      <c r="J812" s="7">
        <v>30</v>
      </c>
      <c r="K812" s="7">
        <v>30</v>
      </c>
    </row>
    <row r="813" spans="1:11" ht="43.2" x14ac:dyDescent="0.3">
      <c r="A813" s="1">
        <v>57</v>
      </c>
      <c r="B813" s="1">
        <v>2024</v>
      </c>
      <c r="C813" s="3">
        <v>45462</v>
      </c>
      <c r="D813" s="8" t="s">
        <v>38</v>
      </c>
      <c r="E813" s="9" t="s">
        <v>153</v>
      </c>
      <c r="F813" s="9" t="s">
        <v>154</v>
      </c>
      <c r="G813" s="10"/>
      <c r="H813" s="11">
        <v>80</v>
      </c>
      <c r="I813" s="11">
        <v>95</v>
      </c>
      <c r="J813" s="11" t="s">
        <v>239</v>
      </c>
      <c r="K813" s="11" t="s">
        <v>239</v>
      </c>
    </row>
    <row r="814" spans="1:11" ht="43.2" x14ac:dyDescent="0.3">
      <c r="A814" s="1">
        <v>57</v>
      </c>
      <c r="B814" s="1">
        <v>2024</v>
      </c>
      <c r="C814" s="3">
        <v>45462</v>
      </c>
      <c r="D814" s="4" t="s">
        <v>38</v>
      </c>
      <c r="E814" s="5" t="s">
        <v>39</v>
      </c>
      <c r="F814" s="5" t="s">
        <v>40</v>
      </c>
      <c r="G814" s="7">
        <v>50</v>
      </c>
      <c r="H814" s="7">
        <v>50</v>
      </c>
      <c r="I814" s="7">
        <v>60</v>
      </c>
      <c r="J814" s="7">
        <v>54</v>
      </c>
      <c r="K814" s="7">
        <v>50</v>
      </c>
    </row>
    <row r="815" spans="1:11" ht="43.2" x14ac:dyDescent="0.3">
      <c r="A815" s="1">
        <v>57</v>
      </c>
      <c r="B815" s="1">
        <v>2024</v>
      </c>
      <c r="C815" s="3">
        <v>45462</v>
      </c>
      <c r="D815" s="8" t="s">
        <v>38</v>
      </c>
      <c r="E815" s="9" t="s">
        <v>42</v>
      </c>
      <c r="F815" s="9" t="s">
        <v>43</v>
      </c>
      <c r="G815" s="11">
        <v>65</v>
      </c>
      <c r="H815" s="11">
        <v>45</v>
      </c>
      <c r="I815" s="11">
        <v>65</v>
      </c>
      <c r="J815" s="11">
        <v>57</v>
      </c>
      <c r="K815" s="11">
        <v>60</v>
      </c>
    </row>
    <row r="816" spans="1:11" ht="43.2" x14ac:dyDescent="0.3">
      <c r="A816" s="1">
        <v>57</v>
      </c>
      <c r="B816" s="1">
        <v>2024</v>
      </c>
      <c r="C816" s="3">
        <v>45462</v>
      </c>
      <c r="D816" s="4" t="s">
        <v>38</v>
      </c>
      <c r="E816" s="5" t="s">
        <v>44</v>
      </c>
      <c r="F816" s="5" t="s">
        <v>45</v>
      </c>
      <c r="G816" s="6"/>
      <c r="H816" s="7">
        <v>40</v>
      </c>
      <c r="I816" s="7">
        <v>55</v>
      </c>
      <c r="J816" s="7" t="s">
        <v>91</v>
      </c>
      <c r="K816" s="7" t="s">
        <v>91</v>
      </c>
    </row>
    <row r="817" spans="1:11" ht="43.2" x14ac:dyDescent="0.3">
      <c r="A817" s="1">
        <v>57</v>
      </c>
      <c r="B817" s="1">
        <v>2024</v>
      </c>
      <c r="C817" s="3">
        <v>45462</v>
      </c>
      <c r="D817" s="8" t="s">
        <v>38</v>
      </c>
      <c r="E817" s="9" t="s">
        <v>48</v>
      </c>
      <c r="F817" s="9" t="s">
        <v>45</v>
      </c>
      <c r="G817" s="10"/>
      <c r="H817" s="11">
        <v>90</v>
      </c>
      <c r="I817" s="11">
        <v>110</v>
      </c>
      <c r="J817" s="11">
        <v>100</v>
      </c>
      <c r="K817" s="11">
        <v>100</v>
      </c>
    </row>
    <row r="818" spans="1:11" ht="43.2" x14ac:dyDescent="0.3">
      <c r="A818" s="1">
        <v>57</v>
      </c>
      <c r="B818" s="1">
        <v>2024</v>
      </c>
      <c r="C818" s="3">
        <v>45462</v>
      </c>
      <c r="D818" s="4" t="s">
        <v>38</v>
      </c>
      <c r="E818" s="5" t="s">
        <v>49</v>
      </c>
      <c r="F818" s="5" t="s">
        <v>50</v>
      </c>
      <c r="G818" s="7">
        <v>110</v>
      </c>
      <c r="H818" s="7">
        <v>90</v>
      </c>
      <c r="I818" s="7">
        <v>110</v>
      </c>
      <c r="J818" s="7" t="s">
        <v>183</v>
      </c>
      <c r="K818" s="7">
        <v>105</v>
      </c>
    </row>
    <row r="819" spans="1:11" ht="43.2" x14ac:dyDescent="0.3">
      <c r="A819" s="1">
        <v>57</v>
      </c>
      <c r="B819" s="1">
        <v>2024</v>
      </c>
      <c r="C819" s="3">
        <v>45462</v>
      </c>
      <c r="D819" s="8" t="s">
        <v>38</v>
      </c>
      <c r="E819" s="9" t="s">
        <v>52</v>
      </c>
      <c r="F819" s="9" t="s">
        <v>43</v>
      </c>
      <c r="G819" s="11">
        <v>80</v>
      </c>
      <c r="H819" s="11">
        <v>70</v>
      </c>
      <c r="I819" s="11">
        <v>100</v>
      </c>
      <c r="J819" s="11">
        <v>84</v>
      </c>
      <c r="K819" s="11">
        <v>80</v>
      </c>
    </row>
    <row r="820" spans="1:11" ht="43.2" x14ac:dyDescent="0.3">
      <c r="A820" s="1">
        <v>57</v>
      </c>
      <c r="B820" s="1">
        <v>2024</v>
      </c>
      <c r="C820" s="3">
        <v>45462</v>
      </c>
      <c r="D820" s="4" t="s">
        <v>38</v>
      </c>
      <c r="E820" s="5" t="s">
        <v>53</v>
      </c>
      <c r="F820" s="5" t="s">
        <v>43</v>
      </c>
      <c r="G820" s="6"/>
      <c r="H820" s="7">
        <v>50</v>
      </c>
      <c r="I820" s="7">
        <v>85</v>
      </c>
      <c r="J820" s="7" t="s">
        <v>265</v>
      </c>
      <c r="K820" s="7">
        <v>65</v>
      </c>
    </row>
    <row r="821" spans="1:11" ht="43.2" x14ac:dyDescent="0.3">
      <c r="A821" s="1">
        <v>57</v>
      </c>
      <c r="B821" s="1">
        <v>2024</v>
      </c>
      <c r="C821" s="3">
        <v>45462</v>
      </c>
      <c r="D821" s="8" t="s">
        <v>38</v>
      </c>
      <c r="E821" s="9" t="s">
        <v>54</v>
      </c>
      <c r="F821" s="9" t="s">
        <v>40</v>
      </c>
      <c r="G821" s="11">
        <v>100</v>
      </c>
      <c r="H821" s="11">
        <v>100</v>
      </c>
      <c r="I821" s="11">
        <v>100</v>
      </c>
      <c r="J821" s="11">
        <v>100</v>
      </c>
      <c r="K821" s="11">
        <v>100</v>
      </c>
    </row>
    <row r="822" spans="1:11" ht="43.2" x14ac:dyDescent="0.3">
      <c r="A822" s="1">
        <v>57</v>
      </c>
      <c r="B822" s="1">
        <v>2024</v>
      </c>
      <c r="C822" s="3">
        <v>45462</v>
      </c>
      <c r="D822" s="4" t="s">
        <v>38</v>
      </c>
      <c r="E822" s="5" t="s">
        <v>56</v>
      </c>
      <c r="F822" s="5" t="s">
        <v>43</v>
      </c>
      <c r="G822" s="6"/>
      <c r="H822" s="7">
        <v>60</v>
      </c>
      <c r="I822" s="7">
        <v>70</v>
      </c>
      <c r="J822" s="7">
        <v>65</v>
      </c>
      <c r="K822" s="7">
        <v>65</v>
      </c>
    </row>
    <row r="823" spans="1:11" ht="43.2" x14ac:dyDescent="0.3">
      <c r="A823" s="1">
        <v>57</v>
      </c>
      <c r="B823" s="1">
        <v>2024</v>
      </c>
      <c r="C823" s="3">
        <v>45462</v>
      </c>
      <c r="D823" s="8" t="s">
        <v>38</v>
      </c>
      <c r="E823" s="9" t="s">
        <v>57</v>
      </c>
      <c r="F823" s="9" t="s">
        <v>40</v>
      </c>
      <c r="G823" s="11">
        <v>80</v>
      </c>
      <c r="H823" s="11">
        <v>80</v>
      </c>
      <c r="I823" s="11">
        <v>80</v>
      </c>
      <c r="J823" s="11">
        <v>80</v>
      </c>
      <c r="K823" s="11">
        <v>80</v>
      </c>
    </row>
    <row r="824" spans="1:11" ht="43.2" x14ac:dyDescent="0.3">
      <c r="A824" s="1">
        <v>57</v>
      </c>
      <c r="B824" s="1">
        <v>2024</v>
      </c>
      <c r="C824" s="3">
        <v>45462</v>
      </c>
      <c r="D824" s="4" t="s">
        <v>38</v>
      </c>
      <c r="E824" s="5" t="s">
        <v>58</v>
      </c>
      <c r="F824" s="5" t="s">
        <v>40</v>
      </c>
      <c r="G824" s="7">
        <v>80</v>
      </c>
      <c r="H824" s="7">
        <v>65</v>
      </c>
      <c r="I824" s="7">
        <v>80</v>
      </c>
      <c r="J824" s="7">
        <v>75</v>
      </c>
      <c r="K824" s="7">
        <v>80</v>
      </c>
    </row>
    <row r="825" spans="1:11" ht="43.2" x14ac:dyDescent="0.3">
      <c r="A825" s="1">
        <v>57</v>
      </c>
      <c r="B825" s="1">
        <v>2024</v>
      </c>
      <c r="C825" s="3">
        <v>45462</v>
      </c>
      <c r="D825" s="8" t="s">
        <v>38</v>
      </c>
      <c r="E825" s="9" t="s">
        <v>59</v>
      </c>
      <c r="F825" s="9" t="s">
        <v>45</v>
      </c>
      <c r="G825" s="11">
        <v>60</v>
      </c>
      <c r="H825" s="11">
        <v>50</v>
      </c>
      <c r="I825" s="11">
        <v>60</v>
      </c>
      <c r="J825" s="11" t="s">
        <v>235</v>
      </c>
      <c r="K825" s="11" t="s">
        <v>41</v>
      </c>
    </row>
    <row r="826" spans="1:11" ht="43.2" x14ac:dyDescent="0.3">
      <c r="A826" s="1">
        <v>57</v>
      </c>
      <c r="B826" s="1">
        <v>2024</v>
      </c>
      <c r="C826" s="3">
        <v>45462</v>
      </c>
      <c r="D826" s="4" t="s">
        <v>38</v>
      </c>
      <c r="E826" s="5" t="s">
        <v>60</v>
      </c>
      <c r="F826" s="5" t="s">
        <v>61</v>
      </c>
      <c r="G826" s="7">
        <v>180</v>
      </c>
      <c r="H826" s="7">
        <v>180</v>
      </c>
      <c r="I826" s="7">
        <v>180</v>
      </c>
      <c r="J826" s="7">
        <v>180</v>
      </c>
      <c r="K826" s="7">
        <v>180</v>
      </c>
    </row>
    <row r="827" spans="1:11" ht="43.2" x14ac:dyDescent="0.3">
      <c r="A827" s="1">
        <v>57</v>
      </c>
      <c r="B827" s="1">
        <v>2024</v>
      </c>
      <c r="C827" s="3">
        <v>45462</v>
      </c>
      <c r="D827" s="8" t="s">
        <v>38</v>
      </c>
      <c r="E827" s="9" t="s">
        <v>63</v>
      </c>
      <c r="F827" s="9" t="s">
        <v>40</v>
      </c>
      <c r="G827" s="11">
        <v>90</v>
      </c>
      <c r="H827" s="11">
        <v>80</v>
      </c>
      <c r="I827" s="11">
        <v>100</v>
      </c>
      <c r="J827" s="11">
        <v>92</v>
      </c>
      <c r="K827" s="11">
        <v>90</v>
      </c>
    </row>
    <row r="828" spans="1:11" ht="43.2" x14ac:dyDescent="0.3">
      <c r="A828" s="1">
        <v>57</v>
      </c>
      <c r="B828" s="1">
        <v>2024</v>
      </c>
      <c r="C828" s="3">
        <v>45462</v>
      </c>
      <c r="D828" s="4" t="s">
        <v>38</v>
      </c>
      <c r="E828" s="5" t="s">
        <v>64</v>
      </c>
      <c r="F828" s="5" t="s">
        <v>40</v>
      </c>
      <c r="G828" s="6"/>
      <c r="H828" s="7">
        <v>150</v>
      </c>
      <c r="I828" s="7">
        <v>220</v>
      </c>
      <c r="J828" s="7" t="s">
        <v>266</v>
      </c>
      <c r="K828" s="7">
        <v>160</v>
      </c>
    </row>
    <row r="829" spans="1:11" x14ac:dyDescent="0.3">
      <c r="A829" s="1">
        <v>57</v>
      </c>
      <c r="B829" s="1">
        <v>2024</v>
      </c>
      <c r="C829" s="3">
        <v>45462</v>
      </c>
      <c r="D829" s="8" t="s">
        <v>65</v>
      </c>
      <c r="E829" s="9" t="s">
        <v>66</v>
      </c>
      <c r="F829" s="9" t="s">
        <v>45</v>
      </c>
      <c r="G829" s="10"/>
      <c r="H829" s="11">
        <v>120</v>
      </c>
      <c r="I829" s="11">
        <v>120</v>
      </c>
      <c r="J829" s="11">
        <v>120</v>
      </c>
      <c r="K829" s="11">
        <v>120</v>
      </c>
    </row>
    <row r="830" spans="1:11" x14ac:dyDescent="0.3">
      <c r="A830" s="1">
        <v>57</v>
      </c>
      <c r="B830" s="1">
        <v>2024</v>
      </c>
      <c r="C830" s="3">
        <v>45462</v>
      </c>
      <c r="D830" s="4" t="s">
        <v>65</v>
      </c>
      <c r="E830" s="5" t="s">
        <v>67</v>
      </c>
      <c r="F830" s="5" t="s">
        <v>45</v>
      </c>
      <c r="G830" s="6"/>
      <c r="H830" s="6"/>
      <c r="I830" s="6"/>
      <c r="J830" s="6"/>
      <c r="K830" s="6"/>
    </row>
    <row r="831" spans="1:11" x14ac:dyDescent="0.3">
      <c r="A831" s="1">
        <v>57</v>
      </c>
      <c r="B831" s="1">
        <v>2024</v>
      </c>
      <c r="C831" s="3">
        <v>45462</v>
      </c>
      <c r="D831" s="8" t="s">
        <v>65</v>
      </c>
      <c r="E831" s="9" t="s">
        <v>68</v>
      </c>
      <c r="F831" s="9" t="s">
        <v>45</v>
      </c>
      <c r="G831" s="10"/>
      <c r="H831" s="10"/>
      <c r="I831" s="10"/>
      <c r="J831" s="10"/>
      <c r="K831" s="10"/>
    </row>
    <row r="832" spans="1:11" x14ac:dyDescent="0.3">
      <c r="A832" s="1">
        <v>57</v>
      </c>
      <c r="B832" s="1">
        <v>2024</v>
      </c>
      <c r="C832" s="3">
        <v>45462</v>
      </c>
      <c r="D832" s="4" t="s">
        <v>65</v>
      </c>
      <c r="E832" s="5" t="s">
        <v>69</v>
      </c>
      <c r="F832" s="5" t="s">
        <v>45</v>
      </c>
      <c r="G832" s="6"/>
      <c r="H832" s="7">
        <v>50</v>
      </c>
      <c r="I832" s="7">
        <v>50</v>
      </c>
      <c r="J832" s="7">
        <v>50</v>
      </c>
      <c r="K832" s="7">
        <v>50</v>
      </c>
    </row>
    <row r="833" spans="1:11" x14ac:dyDescent="0.3">
      <c r="A833" s="1">
        <v>57</v>
      </c>
      <c r="B833" s="1">
        <v>2024</v>
      </c>
      <c r="C833" s="3">
        <v>45462</v>
      </c>
      <c r="D833" s="8" t="s">
        <v>65</v>
      </c>
      <c r="E833" s="9" t="s">
        <v>70</v>
      </c>
      <c r="F833" s="9" t="s">
        <v>71</v>
      </c>
      <c r="G833" s="10"/>
      <c r="H833" s="11">
        <v>60</v>
      </c>
      <c r="I833" s="11">
        <v>60</v>
      </c>
      <c r="J833" s="11">
        <v>60</v>
      </c>
      <c r="K833" s="11">
        <v>60</v>
      </c>
    </row>
    <row r="834" spans="1:11" ht="28.8" x14ac:dyDescent="0.3">
      <c r="A834" s="1">
        <v>58</v>
      </c>
      <c r="B834" s="1">
        <v>2024</v>
      </c>
      <c r="C834" s="3">
        <v>45469</v>
      </c>
      <c r="D834" s="4" t="s">
        <v>11</v>
      </c>
      <c r="E834" s="5" t="s">
        <v>12</v>
      </c>
      <c r="F834" s="5" t="s">
        <v>13</v>
      </c>
      <c r="G834" s="7">
        <v>60</v>
      </c>
      <c r="H834" s="7">
        <v>60</v>
      </c>
      <c r="I834" s="7">
        <v>60</v>
      </c>
      <c r="J834" s="7">
        <v>60</v>
      </c>
      <c r="K834" s="7">
        <v>60</v>
      </c>
    </row>
    <row r="835" spans="1:11" ht="28.8" x14ac:dyDescent="0.3">
      <c r="A835" s="1">
        <v>58</v>
      </c>
      <c r="B835" s="1">
        <v>2024</v>
      </c>
      <c r="C835" s="3">
        <v>45469</v>
      </c>
      <c r="D835" s="8" t="s">
        <v>11</v>
      </c>
      <c r="E835" s="9" t="s">
        <v>14</v>
      </c>
      <c r="F835" s="9" t="s">
        <v>13</v>
      </c>
      <c r="G835" s="11">
        <v>84</v>
      </c>
      <c r="H835" s="11">
        <v>84</v>
      </c>
      <c r="I835" s="11">
        <v>84</v>
      </c>
      <c r="J835" s="11">
        <v>84</v>
      </c>
      <c r="K835" s="11">
        <v>84</v>
      </c>
    </row>
    <row r="836" spans="1:11" ht="28.8" x14ac:dyDescent="0.3">
      <c r="A836" s="1">
        <v>58</v>
      </c>
      <c r="B836" s="1">
        <v>2024</v>
      </c>
      <c r="C836" s="3">
        <v>45469</v>
      </c>
      <c r="D836" s="4" t="s">
        <v>11</v>
      </c>
      <c r="E836" s="5" t="s">
        <v>15</v>
      </c>
      <c r="F836" s="5" t="s">
        <v>13</v>
      </c>
      <c r="G836" s="6"/>
      <c r="H836" s="7">
        <v>36</v>
      </c>
      <c r="I836" s="7">
        <v>40</v>
      </c>
      <c r="J836" s="7">
        <v>38</v>
      </c>
      <c r="K836" s="7">
        <v>38</v>
      </c>
    </row>
    <row r="837" spans="1:11" ht="28.8" x14ac:dyDescent="0.3">
      <c r="A837" s="1">
        <v>58</v>
      </c>
      <c r="B837" s="1">
        <v>2024</v>
      </c>
      <c r="C837" s="3">
        <v>45469</v>
      </c>
      <c r="D837" s="8" t="s">
        <v>11</v>
      </c>
      <c r="E837" s="9" t="s">
        <v>16</v>
      </c>
      <c r="F837" s="9" t="s">
        <v>13</v>
      </c>
      <c r="G837" s="10"/>
      <c r="H837" s="11">
        <v>20</v>
      </c>
      <c r="I837" s="11">
        <v>24</v>
      </c>
      <c r="J837" s="11">
        <v>22</v>
      </c>
      <c r="K837" s="11">
        <v>22</v>
      </c>
    </row>
    <row r="838" spans="1:11" ht="28.8" x14ac:dyDescent="0.3">
      <c r="A838" s="1">
        <v>58</v>
      </c>
      <c r="B838" s="1">
        <v>2024</v>
      </c>
      <c r="C838" s="3">
        <v>45469</v>
      </c>
      <c r="D838" s="4" t="s">
        <v>11</v>
      </c>
      <c r="E838" s="5" t="s">
        <v>17</v>
      </c>
      <c r="F838" s="5" t="s">
        <v>13</v>
      </c>
      <c r="G838" s="6"/>
      <c r="H838" s="7">
        <v>20</v>
      </c>
      <c r="I838" s="7">
        <v>24</v>
      </c>
      <c r="J838" s="7">
        <v>22</v>
      </c>
      <c r="K838" s="7">
        <v>22</v>
      </c>
    </row>
    <row r="839" spans="1:11" ht="28.8" x14ac:dyDescent="0.3">
      <c r="A839" s="1">
        <v>58</v>
      </c>
      <c r="B839" s="1">
        <v>2024</v>
      </c>
      <c r="C839" s="3">
        <v>45469</v>
      </c>
      <c r="D839" s="8" t="s">
        <v>11</v>
      </c>
      <c r="E839" s="9" t="s">
        <v>18</v>
      </c>
      <c r="F839" s="9" t="s">
        <v>13</v>
      </c>
      <c r="G839" s="11">
        <v>60</v>
      </c>
      <c r="H839" s="11">
        <v>60</v>
      </c>
      <c r="I839" s="11">
        <v>60</v>
      </c>
      <c r="J839" s="11">
        <v>60</v>
      </c>
      <c r="K839" s="11">
        <v>60</v>
      </c>
    </row>
    <row r="840" spans="1:11" ht="28.8" x14ac:dyDescent="0.3">
      <c r="A840" s="1">
        <v>58</v>
      </c>
      <c r="B840" s="1">
        <v>2024</v>
      </c>
      <c r="C840" s="3">
        <v>45469</v>
      </c>
      <c r="D840" s="4" t="s">
        <v>11</v>
      </c>
      <c r="E840" s="5" t="s">
        <v>19</v>
      </c>
      <c r="F840" s="5" t="s">
        <v>13</v>
      </c>
      <c r="G840" s="7">
        <v>84</v>
      </c>
      <c r="H840" s="7">
        <v>60</v>
      </c>
      <c r="I840" s="7">
        <v>84</v>
      </c>
      <c r="J840" s="7">
        <v>76</v>
      </c>
      <c r="K840" s="7">
        <v>84</v>
      </c>
    </row>
    <row r="841" spans="1:11" ht="28.8" x14ac:dyDescent="0.3">
      <c r="A841" s="1">
        <v>58</v>
      </c>
      <c r="B841" s="1">
        <v>2024</v>
      </c>
      <c r="C841" s="3">
        <v>45469</v>
      </c>
      <c r="D841" s="8" t="s">
        <v>11</v>
      </c>
      <c r="E841" s="9" t="s">
        <v>20</v>
      </c>
      <c r="F841" s="9" t="s">
        <v>13</v>
      </c>
      <c r="G841" s="10"/>
      <c r="H841" s="11">
        <v>84</v>
      </c>
      <c r="I841" s="11">
        <v>96</v>
      </c>
      <c r="J841" s="11">
        <v>90</v>
      </c>
      <c r="K841" s="11">
        <v>90</v>
      </c>
    </row>
    <row r="842" spans="1:11" ht="28.8" x14ac:dyDescent="0.3">
      <c r="A842" s="1">
        <v>58</v>
      </c>
      <c r="B842" s="1">
        <v>2024</v>
      </c>
      <c r="C842" s="3">
        <v>45469</v>
      </c>
      <c r="D842" s="4" t="s">
        <v>11</v>
      </c>
      <c r="E842" s="5" t="s">
        <v>21</v>
      </c>
      <c r="F842" s="5" t="s">
        <v>13</v>
      </c>
      <c r="G842" s="7">
        <v>24</v>
      </c>
      <c r="H842" s="7">
        <v>24</v>
      </c>
      <c r="I842" s="7">
        <v>30</v>
      </c>
      <c r="J842" s="7">
        <v>26</v>
      </c>
      <c r="K842" s="7">
        <v>24</v>
      </c>
    </row>
    <row r="843" spans="1:11" ht="28.8" x14ac:dyDescent="0.3">
      <c r="A843" s="1">
        <v>58</v>
      </c>
      <c r="B843" s="1">
        <v>2024</v>
      </c>
      <c r="C843" s="3">
        <v>45469</v>
      </c>
      <c r="D843" s="8" t="s">
        <v>11</v>
      </c>
      <c r="E843" s="9" t="s">
        <v>73</v>
      </c>
      <c r="F843" s="9" t="s">
        <v>13</v>
      </c>
      <c r="G843" s="10"/>
      <c r="H843" s="11">
        <v>84</v>
      </c>
      <c r="I843" s="11">
        <v>96</v>
      </c>
      <c r="J843" s="11">
        <v>90</v>
      </c>
      <c r="K843" s="11">
        <v>90</v>
      </c>
    </row>
    <row r="844" spans="1:11" ht="28.8" x14ac:dyDescent="0.3">
      <c r="A844" s="1">
        <v>58</v>
      </c>
      <c r="B844" s="1">
        <v>2024</v>
      </c>
      <c r="C844" s="3">
        <v>45469</v>
      </c>
      <c r="D844" s="4" t="s">
        <v>11</v>
      </c>
      <c r="E844" s="5" t="s">
        <v>23</v>
      </c>
      <c r="F844" s="5" t="s">
        <v>13</v>
      </c>
      <c r="G844" s="6"/>
      <c r="H844" s="7">
        <v>20</v>
      </c>
      <c r="I844" s="7">
        <v>24</v>
      </c>
      <c r="J844" s="7">
        <v>22</v>
      </c>
      <c r="K844" s="7">
        <v>22</v>
      </c>
    </row>
    <row r="845" spans="1:11" ht="28.8" x14ac:dyDescent="0.3">
      <c r="A845" s="1">
        <v>58</v>
      </c>
      <c r="B845" s="1">
        <v>2024</v>
      </c>
      <c r="C845" s="3">
        <v>45469</v>
      </c>
      <c r="D845" s="8" t="s">
        <v>11</v>
      </c>
      <c r="E845" s="9" t="s">
        <v>24</v>
      </c>
      <c r="F845" s="9" t="s">
        <v>13</v>
      </c>
      <c r="G845" s="11">
        <v>72</v>
      </c>
      <c r="H845" s="11">
        <v>72</v>
      </c>
      <c r="I845" s="11">
        <v>72</v>
      </c>
      <c r="J845" s="11">
        <v>72</v>
      </c>
      <c r="K845" s="11">
        <v>72</v>
      </c>
    </row>
    <row r="846" spans="1:11" ht="28.8" x14ac:dyDescent="0.3">
      <c r="A846" s="1">
        <v>58</v>
      </c>
      <c r="B846" s="1">
        <v>2024</v>
      </c>
      <c r="C846" s="3">
        <v>45469</v>
      </c>
      <c r="D846" s="4" t="s">
        <v>11</v>
      </c>
      <c r="E846" s="5" t="s">
        <v>25</v>
      </c>
      <c r="F846" s="5" t="s">
        <v>26</v>
      </c>
      <c r="G846" s="6"/>
      <c r="H846" s="7">
        <v>60</v>
      </c>
      <c r="I846" s="7">
        <v>72</v>
      </c>
      <c r="J846" s="7">
        <v>66</v>
      </c>
      <c r="K846" s="7">
        <v>66</v>
      </c>
    </row>
    <row r="847" spans="1:11" ht="28.8" x14ac:dyDescent="0.3">
      <c r="A847" s="1">
        <v>58</v>
      </c>
      <c r="B847" s="1">
        <v>2024</v>
      </c>
      <c r="C847" s="3">
        <v>45469</v>
      </c>
      <c r="D847" s="8" t="s">
        <v>11</v>
      </c>
      <c r="E847" s="9" t="s">
        <v>27</v>
      </c>
      <c r="F847" s="9" t="s">
        <v>13</v>
      </c>
      <c r="G847" s="10"/>
      <c r="H847" s="11">
        <v>65</v>
      </c>
      <c r="I847" s="11">
        <v>72</v>
      </c>
      <c r="J847" s="11" t="s">
        <v>267</v>
      </c>
      <c r="K847" s="11" t="s">
        <v>267</v>
      </c>
    </row>
    <row r="848" spans="1:11" ht="28.8" x14ac:dyDescent="0.3">
      <c r="A848" s="1">
        <v>58</v>
      </c>
      <c r="B848" s="1">
        <v>2024</v>
      </c>
      <c r="C848" s="3">
        <v>45469</v>
      </c>
      <c r="D848" s="4" t="s">
        <v>11</v>
      </c>
      <c r="E848" s="5" t="s">
        <v>28</v>
      </c>
      <c r="F848" s="5" t="s">
        <v>13</v>
      </c>
      <c r="G848" s="7">
        <v>60</v>
      </c>
      <c r="H848" s="7">
        <v>50</v>
      </c>
      <c r="I848" s="7">
        <v>60</v>
      </c>
      <c r="J848" s="7" t="s">
        <v>55</v>
      </c>
      <c r="K848" s="7">
        <v>60</v>
      </c>
    </row>
    <row r="849" spans="1:11" ht="28.8" x14ac:dyDescent="0.3">
      <c r="A849" s="1">
        <v>58</v>
      </c>
      <c r="B849" s="1">
        <v>2024</v>
      </c>
      <c r="C849" s="3">
        <v>45469</v>
      </c>
      <c r="D849" s="8" t="s">
        <v>11</v>
      </c>
      <c r="E849" s="9" t="s">
        <v>29</v>
      </c>
      <c r="F849" s="9" t="s">
        <v>13</v>
      </c>
      <c r="G849" s="10"/>
      <c r="H849" s="11">
        <v>54</v>
      </c>
      <c r="I849" s="11">
        <v>72</v>
      </c>
      <c r="J849" s="11">
        <v>62</v>
      </c>
      <c r="K849" s="11">
        <v>60</v>
      </c>
    </row>
    <row r="850" spans="1:11" ht="28.8" x14ac:dyDescent="0.3">
      <c r="A850" s="1">
        <v>58</v>
      </c>
      <c r="B850" s="1">
        <v>2024</v>
      </c>
      <c r="C850" s="3">
        <v>45469</v>
      </c>
      <c r="D850" s="4" t="s">
        <v>30</v>
      </c>
      <c r="E850" s="5" t="s">
        <v>31</v>
      </c>
      <c r="F850" s="5" t="s">
        <v>32</v>
      </c>
      <c r="G850" s="7">
        <v>5</v>
      </c>
      <c r="H850" s="7">
        <v>5</v>
      </c>
      <c r="I850" s="7">
        <v>5</v>
      </c>
      <c r="J850" s="7">
        <v>5</v>
      </c>
      <c r="K850" s="7">
        <v>5</v>
      </c>
    </row>
    <row r="851" spans="1:11" ht="28.8" x14ac:dyDescent="0.3">
      <c r="A851" s="1">
        <v>58</v>
      </c>
      <c r="B851" s="1">
        <v>2024</v>
      </c>
      <c r="C851" s="3">
        <v>45469</v>
      </c>
      <c r="D851" s="8" t="s">
        <v>30</v>
      </c>
      <c r="E851" s="9" t="s">
        <v>34</v>
      </c>
      <c r="F851" s="9" t="s">
        <v>35</v>
      </c>
      <c r="G851" s="11">
        <v>20</v>
      </c>
      <c r="H851" s="11">
        <v>20</v>
      </c>
      <c r="I851" s="11">
        <v>20</v>
      </c>
      <c r="J851" s="11">
        <v>20</v>
      </c>
      <c r="K851" s="11">
        <v>20</v>
      </c>
    </row>
    <row r="852" spans="1:11" ht="28.8" x14ac:dyDescent="0.3">
      <c r="A852" s="1">
        <v>58</v>
      </c>
      <c r="B852" s="1">
        <v>2024</v>
      </c>
      <c r="C852" s="3">
        <v>45469</v>
      </c>
      <c r="D852" s="4" t="s">
        <v>30</v>
      </c>
      <c r="E852" s="5" t="s">
        <v>36</v>
      </c>
      <c r="F852" s="5" t="s">
        <v>35</v>
      </c>
      <c r="G852" s="6"/>
      <c r="H852" s="7">
        <v>15</v>
      </c>
      <c r="I852" s="7">
        <v>35</v>
      </c>
      <c r="J852" s="7">
        <v>25</v>
      </c>
      <c r="K852" s="7">
        <v>25</v>
      </c>
    </row>
    <row r="853" spans="1:11" ht="43.2" x14ac:dyDescent="0.3">
      <c r="A853" s="1">
        <v>58</v>
      </c>
      <c r="B853" s="1">
        <v>2024</v>
      </c>
      <c r="C853" s="3">
        <v>45469</v>
      </c>
      <c r="D853" s="8" t="s">
        <v>38</v>
      </c>
      <c r="E853" s="9" t="s">
        <v>153</v>
      </c>
      <c r="F853" s="9" t="s">
        <v>154</v>
      </c>
      <c r="G853" s="10"/>
      <c r="H853" s="11">
        <v>70</v>
      </c>
      <c r="I853" s="11">
        <v>90</v>
      </c>
      <c r="J853" s="11">
        <v>80</v>
      </c>
      <c r="K853" s="11">
        <v>80</v>
      </c>
    </row>
    <row r="854" spans="1:11" ht="43.2" x14ac:dyDescent="0.3">
      <c r="A854" s="1">
        <v>58</v>
      </c>
      <c r="B854" s="1">
        <v>2024</v>
      </c>
      <c r="C854" s="3">
        <v>45469</v>
      </c>
      <c r="D854" s="4" t="s">
        <v>38</v>
      </c>
      <c r="E854" s="5" t="s">
        <v>39</v>
      </c>
      <c r="F854" s="5" t="s">
        <v>40</v>
      </c>
      <c r="G854" s="7">
        <v>45</v>
      </c>
      <c r="H854" s="7">
        <v>40</v>
      </c>
      <c r="I854" s="7">
        <v>100</v>
      </c>
      <c r="J854" s="7" t="s">
        <v>242</v>
      </c>
      <c r="K854" s="7">
        <v>45</v>
      </c>
    </row>
    <row r="855" spans="1:11" ht="43.2" x14ac:dyDescent="0.3">
      <c r="A855" s="1">
        <v>58</v>
      </c>
      <c r="B855" s="1">
        <v>2024</v>
      </c>
      <c r="C855" s="3">
        <v>45469</v>
      </c>
      <c r="D855" s="8" t="s">
        <v>38</v>
      </c>
      <c r="E855" s="9" t="s">
        <v>42</v>
      </c>
      <c r="F855" s="9" t="s">
        <v>43</v>
      </c>
      <c r="G855" s="11">
        <v>65</v>
      </c>
      <c r="H855" s="11">
        <v>45</v>
      </c>
      <c r="I855" s="11">
        <v>70</v>
      </c>
      <c r="J855" s="11" t="s">
        <v>268</v>
      </c>
      <c r="K855" s="11" t="s">
        <v>80</v>
      </c>
    </row>
    <row r="856" spans="1:11" ht="43.2" x14ac:dyDescent="0.3">
      <c r="A856" s="1">
        <v>58</v>
      </c>
      <c r="B856" s="1">
        <v>2024</v>
      </c>
      <c r="C856" s="3">
        <v>45469</v>
      </c>
      <c r="D856" s="4" t="s">
        <v>38</v>
      </c>
      <c r="E856" s="5" t="s">
        <v>44</v>
      </c>
      <c r="F856" s="5" t="s">
        <v>45</v>
      </c>
      <c r="G856" s="7">
        <v>40</v>
      </c>
      <c r="H856" s="7">
        <v>40</v>
      </c>
      <c r="I856" s="7">
        <v>55</v>
      </c>
      <c r="J856" s="7" t="s">
        <v>90</v>
      </c>
      <c r="K856" s="7">
        <v>45</v>
      </c>
    </row>
    <row r="857" spans="1:11" ht="43.2" x14ac:dyDescent="0.3">
      <c r="A857" s="1">
        <v>58</v>
      </c>
      <c r="B857" s="1">
        <v>2024</v>
      </c>
      <c r="C857" s="3">
        <v>45469</v>
      </c>
      <c r="D857" s="8" t="s">
        <v>38</v>
      </c>
      <c r="E857" s="9" t="s">
        <v>48</v>
      </c>
      <c r="F857" s="9" t="s">
        <v>45</v>
      </c>
      <c r="G857" s="10"/>
      <c r="H857" s="11">
        <v>45</v>
      </c>
      <c r="I857" s="11">
        <v>115</v>
      </c>
      <c r="J857" s="11" t="s">
        <v>155</v>
      </c>
      <c r="K857" s="11" t="s">
        <v>134</v>
      </c>
    </row>
    <row r="858" spans="1:11" ht="43.2" x14ac:dyDescent="0.3">
      <c r="A858" s="1">
        <v>58</v>
      </c>
      <c r="B858" s="1">
        <v>2024</v>
      </c>
      <c r="C858" s="3">
        <v>45469</v>
      </c>
      <c r="D858" s="4" t="s">
        <v>38</v>
      </c>
      <c r="E858" s="5" t="s">
        <v>49</v>
      </c>
      <c r="F858" s="5" t="s">
        <v>50</v>
      </c>
      <c r="G858" s="7">
        <v>80</v>
      </c>
      <c r="H858" s="7">
        <v>70</v>
      </c>
      <c r="I858" s="7">
        <v>100</v>
      </c>
      <c r="J858" s="7">
        <v>85</v>
      </c>
      <c r="K858" s="7">
        <v>80</v>
      </c>
    </row>
    <row r="859" spans="1:11" ht="43.2" x14ac:dyDescent="0.3">
      <c r="A859" s="1">
        <v>58</v>
      </c>
      <c r="B859" s="1">
        <v>2024</v>
      </c>
      <c r="C859" s="3">
        <v>45469</v>
      </c>
      <c r="D859" s="8" t="s">
        <v>38</v>
      </c>
      <c r="E859" s="9" t="s">
        <v>52</v>
      </c>
      <c r="F859" s="9" t="s">
        <v>43</v>
      </c>
      <c r="G859" s="11">
        <v>90</v>
      </c>
      <c r="H859" s="11">
        <v>65</v>
      </c>
      <c r="I859" s="11">
        <v>90</v>
      </c>
      <c r="J859" s="11">
        <v>81</v>
      </c>
      <c r="K859" s="11">
        <v>90</v>
      </c>
    </row>
    <row r="860" spans="1:11" ht="43.2" x14ac:dyDescent="0.3">
      <c r="A860" s="1">
        <v>58</v>
      </c>
      <c r="B860" s="1">
        <v>2024</v>
      </c>
      <c r="C860" s="3">
        <v>45469</v>
      </c>
      <c r="D860" s="4" t="s">
        <v>38</v>
      </c>
      <c r="E860" s="5" t="s">
        <v>53</v>
      </c>
      <c r="F860" s="5" t="s">
        <v>43</v>
      </c>
      <c r="G860" s="6"/>
      <c r="H860" s="7">
        <v>55</v>
      </c>
      <c r="I860" s="7">
        <v>80</v>
      </c>
      <c r="J860" s="7" t="s">
        <v>265</v>
      </c>
      <c r="K860" s="7">
        <v>65</v>
      </c>
    </row>
    <row r="861" spans="1:11" ht="43.2" x14ac:dyDescent="0.3">
      <c r="A861" s="1">
        <v>58</v>
      </c>
      <c r="B861" s="1">
        <v>2024</v>
      </c>
      <c r="C861" s="3">
        <v>45469</v>
      </c>
      <c r="D861" s="8" t="s">
        <v>38</v>
      </c>
      <c r="E861" s="9" t="s">
        <v>54</v>
      </c>
      <c r="F861" s="9" t="s">
        <v>40</v>
      </c>
      <c r="G861" s="11">
        <v>100</v>
      </c>
      <c r="H861" s="11">
        <v>80</v>
      </c>
      <c r="I861" s="11">
        <v>100</v>
      </c>
      <c r="J861" s="11">
        <v>95</v>
      </c>
      <c r="K861" s="11">
        <v>100</v>
      </c>
    </row>
    <row r="862" spans="1:11" ht="43.2" x14ac:dyDescent="0.3">
      <c r="A862" s="1">
        <v>58</v>
      </c>
      <c r="B862" s="1">
        <v>2024</v>
      </c>
      <c r="C862" s="3">
        <v>45469</v>
      </c>
      <c r="D862" s="4" t="s">
        <v>38</v>
      </c>
      <c r="E862" s="5" t="s">
        <v>56</v>
      </c>
      <c r="F862" s="5" t="s">
        <v>43</v>
      </c>
      <c r="G862" s="6"/>
      <c r="H862" s="7">
        <v>40</v>
      </c>
      <c r="I862" s="7">
        <v>60</v>
      </c>
      <c r="J862" s="7" t="s">
        <v>254</v>
      </c>
      <c r="K862" s="7" t="s">
        <v>78</v>
      </c>
    </row>
    <row r="863" spans="1:11" ht="43.2" x14ac:dyDescent="0.3">
      <c r="A863" s="1">
        <v>58</v>
      </c>
      <c r="B863" s="1">
        <v>2024</v>
      </c>
      <c r="C863" s="3">
        <v>45469</v>
      </c>
      <c r="D863" s="8" t="s">
        <v>38</v>
      </c>
      <c r="E863" s="9" t="s">
        <v>57</v>
      </c>
      <c r="F863" s="9" t="s">
        <v>40</v>
      </c>
      <c r="G863" s="10"/>
      <c r="H863" s="11">
        <v>50</v>
      </c>
      <c r="I863" s="11">
        <v>70</v>
      </c>
      <c r="J863" s="11" t="s">
        <v>131</v>
      </c>
      <c r="K863" s="11">
        <v>65</v>
      </c>
    </row>
    <row r="864" spans="1:11" ht="43.2" x14ac:dyDescent="0.3">
      <c r="A864" s="1">
        <v>58</v>
      </c>
      <c r="B864" s="1">
        <v>2024</v>
      </c>
      <c r="C864" s="3">
        <v>45469</v>
      </c>
      <c r="D864" s="4" t="s">
        <v>38</v>
      </c>
      <c r="E864" s="5" t="s">
        <v>58</v>
      </c>
      <c r="F864" s="5" t="s">
        <v>40</v>
      </c>
      <c r="G864" s="7">
        <v>60</v>
      </c>
      <c r="H864" s="7">
        <v>60</v>
      </c>
      <c r="I864" s="7">
        <v>70</v>
      </c>
      <c r="J864" s="7">
        <v>65</v>
      </c>
      <c r="K864" s="7">
        <v>65</v>
      </c>
    </row>
    <row r="865" spans="1:11" ht="43.2" x14ac:dyDescent="0.3">
      <c r="A865" s="1">
        <v>58</v>
      </c>
      <c r="B865" s="1">
        <v>2024</v>
      </c>
      <c r="C865" s="3">
        <v>45469</v>
      </c>
      <c r="D865" s="8" t="s">
        <v>38</v>
      </c>
      <c r="E865" s="9" t="s">
        <v>59</v>
      </c>
      <c r="F865" s="9" t="s">
        <v>45</v>
      </c>
      <c r="G865" s="11">
        <v>45</v>
      </c>
      <c r="H865" s="11">
        <v>40</v>
      </c>
      <c r="I865" s="11">
        <v>60</v>
      </c>
      <c r="J865" s="11" t="s">
        <v>112</v>
      </c>
      <c r="K865" s="11">
        <v>50</v>
      </c>
    </row>
    <row r="866" spans="1:11" ht="43.2" x14ac:dyDescent="0.3">
      <c r="A866" s="1">
        <v>58</v>
      </c>
      <c r="B866" s="1">
        <v>2024</v>
      </c>
      <c r="C866" s="3">
        <v>45469</v>
      </c>
      <c r="D866" s="4" t="s">
        <v>38</v>
      </c>
      <c r="E866" s="5" t="s">
        <v>60</v>
      </c>
      <c r="F866" s="5" t="s">
        <v>61</v>
      </c>
      <c r="G866" s="6"/>
      <c r="H866" s="7">
        <v>120</v>
      </c>
      <c r="I866" s="7">
        <v>180</v>
      </c>
      <c r="J866" s="7" t="s">
        <v>269</v>
      </c>
      <c r="K866" s="7">
        <v>130</v>
      </c>
    </row>
    <row r="867" spans="1:11" ht="43.2" x14ac:dyDescent="0.3">
      <c r="A867" s="1">
        <v>58</v>
      </c>
      <c r="B867" s="1">
        <v>2024</v>
      </c>
      <c r="C867" s="3">
        <v>45469</v>
      </c>
      <c r="D867" s="8" t="s">
        <v>38</v>
      </c>
      <c r="E867" s="9" t="s">
        <v>63</v>
      </c>
      <c r="F867" s="9" t="s">
        <v>40</v>
      </c>
      <c r="G867" s="11">
        <v>70</v>
      </c>
      <c r="H867" s="11">
        <v>70</v>
      </c>
      <c r="I867" s="11">
        <v>100</v>
      </c>
      <c r="J867" s="11" t="s">
        <v>270</v>
      </c>
      <c r="K867" s="11">
        <v>80</v>
      </c>
    </row>
    <row r="868" spans="1:11" ht="43.2" x14ac:dyDescent="0.3">
      <c r="A868" s="1">
        <v>58</v>
      </c>
      <c r="B868" s="1">
        <v>2024</v>
      </c>
      <c r="C868" s="3">
        <v>45469</v>
      </c>
      <c r="D868" s="4" t="s">
        <v>38</v>
      </c>
      <c r="E868" s="5" t="s">
        <v>64</v>
      </c>
      <c r="F868" s="5" t="s">
        <v>40</v>
      </c>
      <c r="G868" s="7">
        <v>120</v>
      </c>
      <c r="H868" s="7">
        <v>100</v>
      </c>
      <c r="I868" s="7">
        <v>200</v>
      </c>
      <c r="J868" s="7">
        <v>135</v>
      </c>
      <c r="K868" s="7">
        <v>120</v>
      </c>
    </row>
    <row r="869" spans="1:11" x14ac:dyDescent="0.3">
      <c r="A869" s="1">
        <v>58</v>
      </c>
      <c r="B869" s="1">
        <v>2024</v>
      </c>
      <c r="C869" s="3">
        <v>45469</v>
      </c>
      <c r="D869" s="8" t="s">
        <v>65</v>
      </c>
      <c r="E869" s="9" t="s">
        <v>66</v>
      </c>
      <c r="F869" s="9" t="s">
        <v>45</v>
      </c>
      <c r="G869" s="10"/>
      <c r="H869" s="11">
        <v>130</v>
      </c>
      <c r="I869" s="11">
        <v>130</v>
      </c>
      <c r="J869" s="11">
        <v>130</v>
      </c>
      <c r="K869" s="11">
        <v>130</v>
      </c>
    </row>
    <row r="870" spans="1:11" x14ac:dyDescent="0.3">
      <c r="A870" s="1">
        <v>58</v>
      </c>
      <c r="B870" s="1">
        <v>2024</v>
      </c>
      <c r="C870" s="3">
        <v>45469</v>
      </c>
      <c r="D870" s="4" t="s">
        <v>65</v>
      </c>
      <c r="E870" s="5" t="s">
        <v>67</v>
      </c>
      <c r="F870" s="5" t="s">
        <v>45</v>
      </c>
      <c r="G870" s="6"/>
      <c r="H870" s="6"/>
      <c r="I870" s="6"/>
      <c r="J870" s="6"/>
      <c r="K870" s="6"/>
    </row>
    <row r="871" spans="1:11" x14ac:dyDescent="0.3">
      <c r="A871" s="1">
        <v>58</v>
      </c>
      <c r="B871" s="1">
        <v>2024</v>
      </c>
      <c r="C871" s="3">
        <v>45469</v>
      </c>
      <c r="D871" s="8" t="s">
        <v>65</v>
      </c>
      <c r="E871" s="9" t="s">
        <v>68</v>
      </c>
      <c r="F871" s="9" t="s">
        <v>45</v>
      </c>
      <c r="G871" s="10"/>
      <c r="H871" s="10"/>
      <c r="I871" s="10"/>
      <c r="J871" s="10"/>
      <c r="K871" s="10"/>
    </row>
    <row r="872" spans="1:11" x14ac:dyDescent="0.3">
      <c r="A872" s="1">
        <v>58</v>
      </c>
      <c r="B872" s="1">
        <v>2024</v>
      </c>
      <c r="C872" s="3">
        <v>45469</v>
      </c>
      <c r="D872" s="4" t="s">
        <v>65</v>
      </c>
      <c r="E872" s="5" t="s">
        <v>69</v>
      </c>
      <c r="F872" s="5" t="s">
        <v>45</v>
      </c>
      <c r="G872" s="6"/>
      <c r="H872" s="7">
        <v>50</v>
      </c>
      <c r="I872" s="7">
        <v>50</v>
      </c>
      <c r="J872" s="7">
        <v>50</v>
      </c>
      <c r="K872" s="7">
        <v>50</v>
      </c>
    </row>
    <row r="873" spans="1:11" x14ac:dyDescent="0.3">
      <c r="A873" s="1">
        <v>58</v>
      </c>
      <c r="B873" s="1">
        <v>2024</v>
      </c>
      <c r="C873" s="3">
        <v>45469</v>
      </c>
      <c r="D873" s="8" t="s">
        <v>65</v>
      </c>
      <c r="E873" s="9" t="s">
        <v>70</v>
      </c>
      <c r="F873" s="9" t="s">
        <v>71</v>
      </c>
      <c r="G873" s="10"/>
      <c r="H873" s="11">
        <v>60</v>
      </c>
      <c r="I873" s="11">
        <v>65</v>
      </c>
      <c r="J873" s="11" t="s">
        <v>80</v>
      </c>
      <c r="K873" s="11" t="s">
        <v>80</v>
      </c>
    </row>
    <row r="874" spans="1:11" ht="28.8" x14ac:dyDescent="0.3">
      <c r="A874" s="1">
        <v>59</v>
      </c>
      <c r="B874" s="1">
        <v>2024</v>
      </c>
      <c r="C874" s="3">
        <v>45476</v>
      </c>
      <c r="D874" s="4" t="s">
        <v>11</v>
      </c>
      <c r="E874" s="5" t="s">
        <v>12</v>
      </c>
      <c r="F874" s="5" t="s">
        <v>13</v>
      </c>
      <c r="G874" s="7">
        <v>60</v>
      </c>
      <c r="H874" s="7">
        <v>48</v>
      </c>
      <c r="I874" s="7">
        <v>60</v>
      </c>
      <c r="J874" s="7">
        <v>57</v>
      </c>
      <c r="K874" s="7">
        <v>60</v>
      </c>
    </row>
    <row r="875" spans="1:11" ht="28.8" x14ac:dyDescent="0.3">
      <c r="A875" s="1">
        <v>59</v>
      </c>
      <c r="B875" s="1">
        <v>2024</v>
      </c>
      <c r="C875" s="3">
        <v>45476</v>
      </c>
      <c r="D875" s="8" t="s">
        <v>11</v>
      </c>
      <c r="E875" s="9" t="s">
        <v>14</v>
      </c>
      <c r="F875" s="9" t="s">
        <v>13</v>
      </c>
      <c r="G875" s="11">
        <v>72</v>
      </c>
      <c r="H875" s="11">
        <v>72</v>
      </c>
      <c r="I875" s="11">
        <v>84</v>
      </c>
      <c r="J875" s="11">
        <v>75</v>
      </c>
      <c r="K875" s="11">
        <v>72</v>
      </c>
    </row>
    <row r="876" spans="1:11" ht="28.8" x14ac:dyDescent="0.3">
      <c r="A876" s="1">
        <v>59</v>
      </c>
      <c r="B876" s="1">
        <v>2024</v>
      </c>
      <c r="C876" s="3">
        <v>45476</v>
      </c>
      <c r="D876" s="4" t="s">
        <v>11</v>
      </c>
      <c r="E876" s="5" t="s">
        <v>15</v>
      </c>
      <c r="F876" s="5" t="s">
        <v>13</v>
      </c>
      <c r="G876" s="6"/>
      <c r="H876" s="7">
        <v>30</v>
      </c>
      <c r="I876" s="7">
        <v>48</v>
      </c>
      <c r="J876" s="7">
        <v>39</v>
      </c>
      <c r="K876" s="7">
        <v>39</v>
      </c>
    </row>
    <row r="877" spans="1:11" ht="28.8" x14ac:dyDescent="0.3">
      <c r="A877" s="1">
        <v>59</v>
      </c>
      <c r="B877" s="1">
        <v>2024</v>
      </c>
      <c r="C877" s="3">
        <v>45476</v>
      </c>
      <c r="D877" s="8" t="s">
        <v>11</v>
      </c>
      <c r="E877" s="9" t="s">
        <v>16</v>
      </c>
      <c r="F877" s="9" t="s">
        <v>13</v>
      </c>
      <c r="G877" s="11">
        <v>30</v>
      </c>
      <c r="H877" s="11">
        <v>20</v>
      </c>
      <c r="I877" s="11">
        <v>30</v>
      </c>
      <c r="J877" s="11">
        <v>26</v>
      </c>
      <c r="K877" s="11">
        <v>27</v>
      </c>
    </row>
    <row r="878" spans="1:11" ht="28.8" x14ac:dyDescent="0.3">
      <c r="A878" s="1">
        <v>59</v>
      </c>
      <c r="B878" s="1">
        <v>2024</v>
      </c>
      <c r="C878" s="3">
        <v>45476</v>
      </c>
      <c r="D878" s="4" t="s">
        <v>11</v>
      </c>
      <c r="E878" s="5" t="s">
        <v>17</v>
      </c>
      <c r="F878" s="5" t="s">
        <v>13</v>
      </c>
      <c r="G878" s="7">
        <v>30</v>
      </c>
      <c r="H878" s="7">
        <v>18</v>
      </c>
      <c r="I878" s="7">
        <v>30</v>
      </c>
      <c r="J878" s="7" t="s">
        <v>271</v>
      </c>
      <c r="K878" s="7">
        <v>25</v>
      </c>
    </row>
    <row r="879" spans="1:11" ht="28.8" x14ac:dyDescent="0.3">
      <c r="A879" s="1">
        <v>59</v>
      </c>
      <c r="B879" s="1">
        <v>2024</v>
      </c>
      <c r="C879" s="3">
        <v>45476</v>
      </c>
      <c r="D879" s="8" t="s">
        <v>11</v>
      </c>
      <c r="E879" s="9" t="s">
        <v>18</v>
      </c>
      <c r="F879" s="9" t="s">
        <v>13</v>
      </c>
      <c r="G879" s="11">
        <v>60</v>
      </c>
      <c r="H879" s="11">
        <v>48</v>
      </c>
      <c r="I879" s="11">
        <v>60</v>
      </c>
      <c r="J879" s="11">
        <v>57</v>
      </c>
      <c r="K879" s="11">
        <v>60</v>
      </c>
    </row>
    <row r="880" spans="1:11" ht="28.8" x14ac:dyDescent="0.3">
      <c r="A880" s="1">
        <v>59</v>
      </c>
      <c r="B880" s="1">
        <v>2024</v>
      </c>
      <c r="C880" s="3">
        <v>45476</v>
      </c>
      <c r="D880" s="4" t="s">
        <v>11</v>
      </c>
      <c r="E880" s="5" t="s">
        <v>19</v>
      </c>
      <c r="F880" s="5" t="s">
        <v>13</v>
      </c>
      <c r="G880" s="7">
        <v>60</v>
      </c>
      <c r="H880" s="7">
        <v>60</v>
      </c>
      <c r="I880" s="7">
        <v>76</v>
      </c>
      <c r="J880" s="7">
        <v>64</v>
      </c>
      <c r="K880" s="7">
        <v>60</v>
      </c>
    </row>
    <row r="881" spans="1:11" ht="28.8" x14ac:dyDescent="0.3">
      <c r="A881" s="1">
        <v>59</v>
      </c>
      <c r="B881" s="1">
        <v>2024</v>
      </c>
      <c r="C881" s="3">
        <v>45476</v>
      </c>
      <c r="D881" s="8" t="s">
        <v>11</v>
      </c>
      <c r="E881" s="9" t="s">
        <v>20</v>
      </c>
      <c r="F881" s="9" t="s">
        <v>13</v>
      </c>
      <c r="G881" s="11">
        <v>84</v>
      </c>
      <c r="H881" s="11">
        <v>72</v>
      </c>
      <c r="I881" s="11">
        <v>84</v>
      </c>
      <c r="J881" s="11">
        <v>80</v>
      </c>
      <c r="K881" s="11">
        <v>82</v>
      </c>
    </row>
    <row r="882" spans="1:11" ht="28.8" x14ac:dyDescent="0.3">
      <c r="A882" s="1">
        <v>59</v>
      </c>
      <c r="B882" s="1">
        <v>2024</v>
      </c>
      <c r="C882" s="3">
        <v>45476</v>
      </c>
      <c r="D882" s="4" t="s">
        <v>11</v>
      </c>
      <c r="E882" s="5" t="s">
        <v>21</v>
      </c>
      <c r="F882" s="5" t="s">
        <v>13</v>
      </c>
      <c r="G882" s="7">
        <v>24</v>
      </c>
      <c r="H882" s="7">
        <v>20</v>
      </c>
      <c r="I882" s="7">
        <v>30</v>
      </c>
      <c r="J882" s="7" t="s">
        <v>271</v>
      </c>
      <c r="K882" s="7">
        <v>24</v>
      </c>
    </row>
    <row r="883" spans="1:11" ht="28.8" x14ac:dyDescent="0.3">
      <c r="A883" s="1">
        <v>59</v>
      </c>
      <c r="B883" s="1">
        <v>2024</v>
      </c>
      <c r="C883" s="3">
        <v>45476</v>
      </c>
      <c r="D883" s="8" t="s">
        <v>11</v>
      </c>
      <c r="E883" s="9" t="s">
        <v>73</v>
      </c>
      <c r="F883" s="9" t="s">
        <v>13</v>
      </c>
      <c r="G883" s="10"/>
      <c r="H883" s="11">
        <v>60</v>
      </c>
      <c r="I883" s="11">
        <v>84</v>
      </c>
      <c r="J883" s="11" t="s">
        <v>272</v>
      </c>
      <c r="K883" s="11">
        <v>71</v>
      </c>
    </row>
    <row r="884" spans="1:11" ht="28.8" x14ac:dyDescent="0.3">
      <c r="A884" s="1">
        <v>59</v>
      </c>
      <c r="B884" s="1">
        <v>2024</v>
      </c>
      <c r="C884" s="3">
        <v>45476</v>
      </c>
      <c r="D884" s="4" t="s">
        <v>11</v>
      </c>
      <c r="E884" s="5" t="s">
        <v>23</v>
      </c>
      <c r="F884" s="5" t="s">
        <v>13</v>
      </c>
      <c r="G884" s="7">
        <v>24</v>
      </c>
      <c r="H884" s="7">
        <v>24</v>
      </c>
      <c r="I884" s="7">
        <v>30</v>
      </c>
      <c r="J884" s="7">
        <v>27</v>
      </c>
      <c r="K884" s="7">
        <v>27</v>
      </c>
    </row>
    <row r="885" spans="1:11" ht="28.8" x14ac:dyDescent="0.3">
      <c r="A885" s="1">
        <v>59</v>
      </c>
      <c r="B885" s="1">
        <v>2024</v>
      </c>
      <c r="C885" s="3">
        <v>45476</v>
      </c>
      <c r="D885" s="8" t="s">
        <v>11</v>
      </c>
      <c r="E885" s="9" t="s">
        <v>24</v>
      </c>
      <c r="F885" s="9" t="s">
        <v>13</v>
      </c>
      <c r="G885" s="11">
        <v>72</v>
      </c>
      <c r="H885" s="11">
        <v>60</v>
      </c>
      <c r="I885" s="11">
        <v>72</v>
      </c>
      <c r="J885" s="11">
        <v>69</v>
      </c>
      <c r="K885" s="11">
        <v>72</v>
      </c>
    </row>
    <row r="886" spans="1:11" ht="28.8" x14ac:dyDescent="0.3">
      <c r="A886" s="1">
        <v>59</v>
      </c>
      <c r="B886" s="1">
        <v>2024</v>
      </c>
      <c r="C886" s="3">
        <v>45476</v>
      </c>
      <c r="D886" s="4" t="s">
        <v>11</v>
      </c>
      <c r="E886" s="5" t="s">
        <v>25</v>
      </c>
      <c r="F886" s="5" t="s">
        <v>26</v>
      </c>
      <c r="G886" s="7">
        <v>60</v>
      </c>
      <c r="H886" s="7">
        <v>60</v>
      </c>
      <c r="I886" s="7">
        <v>60</v>
      </c>
      <c r="J886" s="7">
        <v>60</v>
      </c>
      <c r="K886" s="7">
        <v>60</v>
      </c>
    </row>
    <row r="887" spans="1:11" ht="28.8" x14ac:dyDescent="0.3">
      <c r="A887" s="1">
        <v>59</v>
      </c>
      <c r="B887" s="1">
        <v>2024</v>
      </c>
      <c r="C887" s="3">
        <v>45476</v>
      </c>
      <c r="D887" s="8" t="s">
        <v>11</v>
      </c>
      <c r="E887" s="9" t="s">
        <v>27</v>
      </c>
      <c r="F887" s="9" t="s">
        <v>13</v>
      </c>
      <c r="G887" s="10"/>
      <c r="H887" s="11">
        <v>60</v>
      </c>
      <c r="I887" s="11">
        <v>84</v>
      </c>
      <c r="J887" s="11">
        <v>72</v>
      </c>
      <c r="K887" s="11">
        <v>72</v>
      </c>
    </row>
    <row r="888" spans="1:11" ht="28.8" x14ac:dyDescent="0.3">
      <c r="A888" s="1">
        <v>59</v>
      </c>
      <c r="B888" s="1">
        <v>2024</v>
      </c>
      <c r="C888" s="3">
        <v>45476</v>
      </c>
      <c r="D888" s="4" t="s">
        <v>11</v>
      </c>
      <c r="E888" s="5" t="s">
        <v>28</v>
      </c>
      <c r="F888" s="5" t="s">
        <v>13</v>
      </c>
      <c r="G888" s="6"/>
      <c r="H888" s="7">
        <v>36</v>
      </c>
      <c r="I888" s="7">
        <v>54</v>
      </c>
      <c r="J888" s="7">
        <v>47</v>
      </c>
      <c r="K888" s="7">
        <v>49</v>
      </c>
    </row>
    <row r="889" spans="1:11" ht="28.8" x14ac:dyDescent="0.3">
      <c r="A889" s="1">
        <v>59</v>
      </c>
      <c r="B889" s="1">
        <v>2024</v>
      </c>
      <c r="C889" s="3">
        <v>45476</v>
      </c>
      <c r="D889" s="8" t="s">
        <v>11</v>
      </c>
      <c r="E889" s="9" t="s">
        <v>29</v>
      </c>
      <c r="F889" s="9" t="s">
        <v>13</v>
      </c>
      <c r="G889" s="11">
        <v>54</v>
      </c>
      <c r="H889" s="11">
        <v>48</v>
      </c>
      <c r="I889" s="11">
        <v>60</v>
      </c>
      <c r="J889" s="11">
        <v>54</v>
      </c>
      <c r="K889" s="11">
        <v>54</v>
      </c>
    </row>
    <row r="890" spans="1:11" ht="28.8" x14ac:dyDescent="0.3">
      <c r="A890" s="1">
        <v>59</v>
      </c>
      <c r="B890" s="1">
        <v>2024</v>
      </c>
      <c r="C890" s="3">
        <v>45476</v>
      </c>
      <c r="D890" s="4" t="s">
        <v>30</v>
      </c>
      <c r="E890" s="5" t="s">
        <v>31</v>
      </c>
      <c r="F890" s="5" t="s">
        <v>32</v>
      </c>
      <c r="G890" s="7">
        <v>5</v>
      </c>
      <c r="H890" s="7">
        <v>5</v>
      </c>
      <c r="I890" s="7">
        <v>5</v>
      </c>
      <c r="J890" s="7">
        <v>5</v>
      </c>
      <c r="K890" s="7">
        <v>5</v>
      </c>
    </row>
    <row r="891" spans="1:11" ht="28.8" x14ac:dyDescent="0.3">
      <c r="A891" s="1">
        <v>59</v>
      </c>
      <c r="B891" s="1">
        <v>2024</v>
      </c>
      <c r="C891" s="3">
        <v>45476</v>
      </c>
      <c r="D891" s="8" t="s">
        <v>30</v>
      </c>
      <c r="E891" s="9" t="s">
        <v>34</v>
      </c>
      <c r="F891" s="9" t="s">
        <v>35</v>
      </c>
      <c r="G891" s="11">
        <v>18</v>
      </c>
      <c r="H891" s="11">
        <v>15</v>
      </c>
      <c r="I891" s="11">
        <v>18</v>
      </c>
      <c r="J891" s="11" t="s">
        <v>273</v>
      </c>
      <c r="K891" s="11">
        <v>18</v>
      </c>
    </row>
    <row r="892" spans="1:11" ht="28.8" x14ac:dyDescent="0.3">
      <c r="A892" s="1">
        <v>59</v>
      </c>
      <c r="B892" s="1">
        <v>2024</v>
      </c>
      <c r="C892" s="3">
        <v>45476</v>
      </c>
      <c r="D892" s="4" t="s">
        <v>30</v>
      </c>
      <c r="E892" s="5" t="s">
        <v>36</v>
      </c>
      <c r="F892" s="5" t="s">
        <v>35</v>
      </c>
      <c r="G892" s="7">
        <v>25</v>
      </c>
      <c r="H892" s="7">
        <v>25</v>
      </c>
      <c r="I892" s="7">
        <v>30</v>
      </c>
      <c r="J892" s="7" t="s">
        <v>151</v>
      </c>
      <c r="K892" s="7">
        <v>25</v>
      </c>
    </row>
    <row r="893" spans="1:11" ht="43.2" x14ac:dyDescent="0.3">
      <c r="A893" s="1">
        <v>59</v>
      </c>
      <c r="B893" s="1">
        <v>2024</v>
      </c>
      <c r="C893" s="3">
        <v>45476</v>
      </c>
      <c r="D893" s="8" t="s">
        <v>38</v>
      </c>
      <c r="E893" s="9" t="s">
        <v>153</v>
      </c>
      <c r="F893" s="9" t="s">
        <v>154</v>
      </c>
      <c r="G893" s="10"/>
      <c r="H893" s="11">
        <v>80</v>
      </c>
      <c r="I893" s="11">
        <v>90</v>
      </c>
      <c r="J893" s="11">
        <v>85</v>
      </c>
      <c r="K893" s="11">
        <v>85</v>
      </c>
    </row>
    <row r="894" spans="1:11" ht="43.2" x14ac:dyDescent="0.3">
      <c r="A894" s="1">
        <v>59</v>
      </c>
      <c r="B894" s="1">
        <v>2024</v>
      </c>
      <c r="C894" s="3">
        <v>45476</v>
      </c>
      <c r="D894" s="4" t="s">
        <v>38</v>
      </c>
      <c r="E894" s="5" t="s">
        <v>39</v>
      </c>
      <c r="F894" s="5" t="s">
        <v>40</v>
      </c>
      <c r="G894" s="7">
        <v>50</v>
      </c>
      <c r="H894" s="7">
        <v>40</v>
      </c>
      <c r="I894" s="7">
        <v>55</v>
      </c>
      <c r="J894" s="7" t="s">
        <v>137</v>
      </c>
      <c r="K894" s="7">
        <v>50</v>
      </c>
    </row>
    <row r="895" spans="1:11" ht="43.2" x14ac:dyDescent="0.3">
      <c r="A895" s="1">
        <v>59</v>
      </c>
      <c r="B895" s="1">
        <v>2024</v>
      </c>
      <c r="C895" s="3">
        <v>45476</v>
      </c>
      <c r="D895" s="8" t="s">
        <v>38</v>
      </c>
      <c r="E895" s="9" t="s">
        <v>42</v>
      </c>
      <c r="F895" s="9" t="s">
        <v>43</v>
      </c>
      <c r="G895" s="10"/>
      <c r="H895" s="11">
        <v>45</v>
      </c>
      <c r="I895" s="11">
        <v>70</v>
      </c>
      <c r="J895" s="11">
        <v>58</v>
      </c>
      <c r="K895" s="11">
        <v>60</v>
      </c>
    </row>
    <row r="896" spans="1:11" ht="43.2" x14ac:dyDescent="0.3">
      <c r="A896" s="1">
        <v>59</v>
      </c>
      <c r="B896" s="1">
        <v>2024</v>
      </c>
      <c r="C896" s="3">
        <v>45476</v>
      </c>
      <c r="D896" s="4" t="s">
        <v>38</v>
      </c>
      <c r="E896" s="5" t="s">
        <v>44</v>
      </c>
      <c r="F896" s="5" t="s">
        <v>45</v>
      </c>
      <c r="G896" s="7">
        <v>40</v>
      </c>
      <c r="H896" s="7">
        <v>40</v>
      </c>
      <c r="I896" s="7">
        <v>48</v>
      </c>
      <c r="J896" s="7">
        <v>42</v>
      </c>
      <c r="K896" s="7">
        <v>40</v>
      </c>
    </row>
    <row r="897" spans="1:11" ht="43.2" x14ac:dyDescent="0.3">
      <c r="A897" s="1">
        <v>59</v>
      </c>
      <c r="B897" s="1">
        <v>2024</v>
      </c>
      <c r="C897" s="3">
        <v>45476</v>
      </c>
      <c r="D897" s="8" t="s">
        <v>38</v>
      </c>
      <c r="E897" s="9" t="s">
        <v>48</v>
      </c>
      <c r="F897" s="9" t="s">
        <v>45</v>
      </c>
      <c r="G897" s="10"/>
      <c r="H897" s="11">
        <v>100</v>
      </c>
      <c r="I897" s="11">
        <v>100</v>
      </c>
      <c r="J897" s="11">
        <v>100</v>
      </c>
      <c r="K897" s="11">
        <v>100</v>
      </c>
    </row>
    <row r="898" spans="1:11" ht="43.2" x14ac:dyDescent="0.3">
      <c r="A898" s="1">
        <v>59</v>
      </c>
      <c r="B898" s="1">
        <v>2024</v>
      </c>
      <c r="C898" s="3">
        <v>45476</v>
      </c>
      <c r="D898" s="4" t="s">
        <v>38</v>
      </c>
      <c r="E898" s="5" t="s">
        <v>49</v>
      </c>
      <c r="F898" s="5" t="s">
        <v>50</v>
      </c>
      <c r="G898" s="6"/>
      <c r="H898" s="7">
        <v>75</v>
      </c>
      <c r="I898" s="7">
        <v>100</v>
      </c>
      <c r="J898" s="7">
        <v>86</v>
      </c>
      <c r="K898" s="7">
        <v>85</v>
      </c>
    </row>
    <row r="899" spans="1:11" ht="43.2" x14ac:dyDescent="0.3">
      <c r="A899" s="1">
        <v>59</v>
      </c>
      <c r="B899" s="1">
        <v>2024</v>
      </c>
      <c r="C899" s="3">
        <v>45476</v>
      </c>
      <c r="D899" s="8" t="s">
        <v>38</v>
      </c>
      <c r="E899" s="9" t="s">
        <v>52</v>
      </c>
      <c r="F899" s="9" t="s">
        <v>43</v>
      </c>
      <c r="G899" s="11">
        <v>65</v>
      </c>
      <c r="H899" s="11">
        <v>65</v>
      </c>
      <c r="I899" s="11">
        <v>80</v>
      </c>
      <c r="J899" s="11" t="s">
        <v>274</v>
      </c>
      <c r="K899" s="11">
        <v>70</v>
      </c>
    </row>
    <row r="900" spans="1:11" ht="43.2" x14ac:dyDescent="0.3">
      <c r="A900" s="1">
        <v>59</v>
      </c>
      <c r="B900" s="1">
        <v>2024</v>
      </c>
      <c r="C900" s="3">
        <v>45476</v>
      </c>
      <c r="D900" s="4" t="s">
        <v>38</v>
      </c>
      <c r="E900" s="5" t="s">
        <v>53</v>
      </c>
      <c r="F900" s="5" t="s">
        <v>43</v>
      </c>
      <c r="G900" s="6"/>
      <c r="H900" s="7">
        <v>50</v>
      </c>
      <c r="I900" s="7">
        <v>70</v>
      </c>
      <c r="J900" s="7" t="s">
        <v>225</v>
      </c>
      <c r="K900" s="7" t="s">
        <v>80</v>
      </c>
    </row>
    <row r="901" spans="1:11" ht="43.2" x14ac:dyDescent="0.3">
      <c r="A901" s="1">
        <v>59</v>
      </c>
      <c r="B901" s="1">
        <v>2024</v>
      </c>
      <c r="C901" s="3">
        <v>45476</v>
      </c>
      <c r="D901" s="8" t="s">
        <v>38</v>
      </c>
      <c r="E901" s="9" t="s">
        <v>54</v>
      </c>
      <c r="F901" s="9" t="s">
        <v>40</v>
      </c>
      <c r="G901" s="11">
        <v>100</v>
      </c>
      <c r="H901" s="11">
        <v>80</v>
      </c>
      <c r="I901" s="11">
        <v>100</v>
      </c>
      <c r="J901" s="11" t="s">
        <v>196</v>
      </c>
      <c r="K901" s="11">
        <v>100</v>
      </c>
    </row>
    <row r="902" spans="1:11" ht="43.2" x14ac:dyDescent="0.3">
      <c r="A902" s="1">
        <v>59</v>
      </c>
      <c r="B902" s="1">
        <v>2024</v>
      </c>
      <c r="C902" s="3">
        <v>45476</v>
      </c>
      <c r="D902" s="4" t="s">
        <v>38</v>
      </c>
      <c r="E902" s="5" t="s">
        <v>56</v>
      </c>
      <c r="F902" s="5" t="s">
        <v>43</v>
      </c>
      <c r="G902" s="6"/>
      <c r="H902" s="7">
        <v>50</v>
      </c>
      <c r="I902" s="7">
        <v>53</v>
      </c>
      <c r="J902" s="7" t="s">
        <v>275</v>
      </c>
      <c r="K902" s="7" t="s">
        <v>275</v>
      </c>
    </row>
    <row r="903" spans="1:11" ht="43.2" x14ac:dyDescent="0.3">
      <c r="A903" s="1">
        <v>59</v>
      </c>
      <c r="B903" s="1">
        <v>2024</v>
      </c>
      <c r="C903" s="3">
        <v>45476</v>
      </c>
      <c r="D903" s="8" t="s">
        <v>38</v>
      </c>
      <c r="E903" s="9" t="s">
        <v>57</v>
      </c>
      <c r="F903" s="9" t="s">
        <v>40</v>
      </c>
      <c r="G903" s="10"/>
      <c r="H903" s="11">
        <v>50</v>
      </c>
      <c r="I903" s="11">
        <v>65</v>
      </c>
      <c r="J903" s="11" t="s">
        <v>258</v>
      </c>
      <c r="K903" s="11">
        <v>60</v>
      </c>
    </row>
    <row r="904" spans="1:11" ht="43.2" x14ac:dyDescent="0.3">
      <c r="A904" s="1">
        <v>59</v>
      </c>
      <c r="B904" s="1">
        <v>2024</v>
      </c>
      <c r="C904" s="3">
        <v>45476</v>
      </c>
      <c r="D904" s="4" t="s">
        <v>38</v>
      </c>
      <c r="E904" s="5" t="s">
        <v>58</v>
      </c>
      <c r="F904" s="5" t="s">
        <v>40</v>
      </c>
      <c r="G904" s="7">
        <v>60</v>
      </c>
      <c r="H904" s="7">
        <v>60</v>
      </c>
      <c r="I904" s="7">
        <v>70</v>
      </c>
      <c r="J904" s="7">
        <v>63</v>
      </c>
      <c r="K904" s="7">
        <v>60</v>
      </c>
    </row>
    <row r="905" spans="1:11" ht="43.2" x14ac:dyDescent="0.3">
      <c r="A905" s="1">
        <v>59</v>
      </c>
      <c r="B905" s="1">
        <v>2024</v>
      </c>
      <c r="C905" s="3">
        <v>45476</v>
      </c>
      <c r="D905" s="8" t="s">
        <v>38</v>
      </c>
      <c r="E905" s="9" t="s">
        <v>59</v>
      </c>
      <c r="F905" s="9" t="s">
        <v>45</v>
      </c>
      <c r="G905" s="11">
        <v>50</v>
      </c>
      <c r="H905" s="11">
        <v>40</v>
      </c>
      <c r="I905" s="11">
        <v>55</v>
      </c>
      <c r="J905" s="11">
        <v>50</v>
      </c>
      <c r="K905" s="11">
        <v>50</v>
      </c>
    </row>
    <row r="906" spans="1:11" ht="43.2" x14ac:dyDescent="0.3">
      <c r="A906" s="1">
        <v>59</v>
      </c>
      <c r="B906" s="1">
        <v>2024</v>
      </c>
      <c r="C906" s="3">
        <v>45476</v>
      </c>
      <c r="D906" s="4" t="s">
        <v>38</v>
      </c>
      <c r="E906" s="5" t="s">
        <v>60</v>
      </c>
      <c r="F906" s="5" t="s">
        <v>61</v>
      </c>
      <c r="G906" s="7">
        <v>100</v>
      </c>
      <c r="H906" s="7">
        <v>90</v>
      </c>
      <c r="I906" s="7">
        <v>120</v>
      </c>
      <c r="J906" s="7" t="s">
        <v>183</v>
      </c>
      <c r="K906" s="7">
        <v>100</v>
      </c>
    </row>
    <row r="907" spans="1:11" ht="43.2" x14ac:dyDescent="0.3">
      <c r="A907" s="1">
        <v>59</v>
      </c>
      <c r="B907" s="1">
        <v>2024</v>
      </c>
      <c r="C907" s="3">
        <v>45476</v>
      </c>
      <c r="D907" s="8" t="s">
        <v>38</v>
      </c>
      <c r="E907" s="9" t="s">
        <v>63</v>
      </c>
      <c r="F907" s="9" t="s">
        <v>40</v>
      </c>
      <c r="G907" s="10"/>
      <c r="H907" s="11">
        <v>65</v>
      </c>
      <c r="I907" s="11">
        <v>100</v>
      </c>
      <c r="J907" s="11">
        <v>78</v>
      </c>
      <c r="K907" s="11">
        <v>75</v>
      </c>
    </row>
    <row r="908" spans="1:11" ht="43.2" x14ac:dyDescent="0.3">
      <c r="A908" s="1">
        <v>59</v>
      </c>
      <c r="B908" s="1">
        <v>2024</v>
      </c>
      <c r="C908" s="3">
        <v>45476</v>
      </c>
      <c r="D908" s="4" t="s">
        <v>38</v>
      </c>
      <c r="E908" s="5" t="s">
        <v>64</v>
      </c>
      <c r="F908" s="5" t="s">
        <v>40</v>
      </c>
      <c r="G908" s="7">
        <v>100</v>
      </c>
      <c r="H908" s="7">
        <v>100</v>
      </c>
      <c r="I908" s="7">
        <v>120</v>
      </c>
      <c r="J908" s="7" t="s">
        <v>263</v>
      </c>
      <c r="K908" s="7">
        <v>100</v>
      </c>
    </row>
    <row r="909" spans="1:11" x14ac:dyDescent="0.3">
      <c r="A909" s="1">
        <v>59</v>
      </c>
      <c r="B909" s="1">
        <v>2024</v>
      </c>
      <c r="C909" s="3">
        <v>45476</v>
      </c>
      <c r="D909" s="8" t="s">
        <v>65</v>
      </c>
      <c r="E909" s="9" t="s">
        <v>66</v>
      </c>
      <c r="F909" s="9" t="s">
        <v>45</v>
      </c>
      <c r="G909" s="10"/>
      <c r="H909" s="10"/>
      <c r="I909" s="10"/>
      <c r="J909" s="10"/>
      <c r="K909" s="10"/>
    </row>
    <row r="910" spans="1:11" x14ac:dyDescent="0.3">
      <c r="A910" s="1">
        <v>59</v>
      </c>
      <c r="B910" s="1">
        <v>2024</v>
      </c>
      <c r="C910" s="3">
        <v>45476</v>
      </c>
      <c r="D910" s="4" t="s">
        <v>65</v>
      </c>
      <c r="E910" s="5" t="s">
        <v>67</v>
      </c>
      <c r="F910" s="5" t="s">
        <v>45</v>
      </c>
      <c r="G910" s="6"/>
      <c r="H910" s="6"/>
      <c r="I910" s="6"/>
      <c r="J910" s="6"/>
      <c r="K910" s="6"/>
    </row>
    <row r="911" spans="1:11" x14ac:dyDescent="0.3">
      <c r="A911" s="1">
        <v>59</v>
      </c>
      <c r="B911" s="1">
        <v>2024</v>
      </c>
      <c r="C911" s="3">
        <v>45476</v>
      </c>
      <c r="D911" s="8" t="s">
        <v>65</v>
      </c>
      <c r="E911" s="9" t="s">
        <v>68</v>
      </c>
      <c r="F911" s="9" t="s">
        <v>45</v>
      </c>
      <c r="G911" s="10"/>
      <c r="H911" s="10"/>
      <c r="I911" s="10"/>
      <c r="J911" s="10"/>
      <c r="K911" s="10"/>
    </row>
    <row r="912" spans="1:11" x14ac:dyDescent="0.3">
      <c r="A912" s="1">
        <v>59</v>
      </c>
      <c r="B912" s="1">
        <v>2024</v>
      </c>
      <c r="C912" s="3">
        <v>45476</v>
      </c>
      <c r="D912" s="4" t="s">
        <v>65</v>
      </c>
      <c r="E912" s="5" t="s">
        <v>69</v>
      </c>
      <c r="F912" s="5" t="s">
        <v>45</v>
      </c>
      <c r="G912" s="6"/>
      <c r="H912" s="7">
        <v>50</v>
      </c>
      <c r="I912" s="7">
        <v>50</v>
      </c>
      <c r="J912" s="7">
        <v>50</v>
      </c>
      <c r="K912" s="7">
        <v>50</v>
      </c>
    </row>
    <row r="913" spans="1:11" x14ac:dyDescent="0.3">
      <c r="A913" s="1">
        <v>59</v>
      </c>
      <c r="B913" s="1">
        <v>2024</v>
      </c>
      <c r="C913" s="3">
        <v>45476</v>
      </c>
      <c r="D913" s="8" t="s">
        <v>65</v>
      </c>
      <c r="E913" s="9" t="s">
        <v>70</v>
      </c>
      <c r="F913" s="9" t="s">
        <v>71</v>
      </c>
      <c r="G913" s="10"/>
      <c r="H913" s="11">
        <v>65</v>
      </c>
      <c r="I913" s="11">
        <v>65</v>
      </c>
      <c r="J913" s="11">
        <v>65</v>
      </c>
      <c r="K913" s="11">
        <v>65</v>
      </c>
    </row>
    <row r="914" spans="1:11" ht="28.8" x14ac:dyDescent="0.3">
      <c r="A914" s="1">
        <v>60</v>
      </c>
      <c r="B914" s="1">
        <v>2024</v>
      </c>
      <c r="C914" s="3">
        <v>45483</v>
      </c>
      <c r="D914" s="4" t="s">
        <v>11</v>
      </c>
      <c r="E914" s="5" t="s">
        <v>12</v>
      </c>
      <c r="F914" s="5" t="s">
        <v>13</v>
      </c>
      <c r="G914" s="7">
        <v>48</v>
      </c>
      <c r="H914" s="7">
        <v>48</v>
      </c>
      <c r="I914" s="7">
        <v>60</v>
      </c>
      <c r="J914" s="7">
        <v>54</v>
      </c>
      <c r="K914" s="7">
        <v>54</v>
      </c>
    </row>
    <row r="915" spans="1:11" ht="28.8" x14ac:dyDescent="0.3">
      <c r="A915" s="1">
        <v>60</v>
      </c>
      <c r="B915" s="1">
        <v>2024</v>
      </c>
      <c r="C915" s="3">
        <v>45483</v>
      </c>
      <c r="D915" s="8" t="s">
        <v>11</v>
      </c>
      <c r="E915" s="9" t="s">
        <v>14</v>
      </c>
      <c r="F915" s="9" t="s">
        <v>13</v>
      </c>
      <c r="G915" s="11">
        <v>72</v>
      </c>
      <c r="H915" s="11">
        <v>72</v>
      </c>
      <c r="I915" s="11">
        <v>84</v>
      </c>
      <c r="J915" s="11">
        <v>78</v>
      </c>
      <c r="K915" s="11">
        <v>78</v>
      </c>
    </row>
    <row r="916" spans="1:11" ht="28.8" x14ac:dyDescent="0.3">
      <c r="A916" s="1">
        <v>60</v>
      </c>
      <c r="B916" s="1">
        <v>2024</v>
      </c>
      <c r="C916" s="3">
        <v>45483</v>
      </c>
      <c r="D916" s="4" t="s">
        <v>11</v>
      </c>
      <c r="E916" s="5" t="s">
        <v>15</v>
      </c>
      <c r="F916" s="5" t="s">
        <v>13</v>
      </c>
      <c r="G916" s="7">
        <v>36</v>
      </c>
      <c r="H916" s="7">
        <v>36</v>
      </c>
      <c r="I916" s="7">
        <v>48</v>
      </c>
      <c r="J916" s="7">
        <v>40</v>
      </c>
      <c r="K916" s="7">
        <v>38</v>
      </c>
    </row>
    <row r="917" spans="1:11" ht="28.8" x14ac:dyDescent="0.3">
      <c r="A917" s="1">
        <v>60</v>
      </c>
      <c r="B917" s="1">
        <v>2024</v>
      </c>
      <c r="C917" s="3">
        <v>45483</v>
      </c>
      <c r="D917" s="8" t="s">
        <v>11</v>
      </c>
      <c r="E917" s="9" t="s">
        <v>16</v>
      </c>
      <c r="F917" s="9" t="s">
        <v>13</v>
      </c>
      <c r="G917" s="11">
        <v>24</v>
      </c>
      <c r="H917" s="11">
        <v>20</v>
      </c>
      <c r="I917" s="11">
        <v>24</v>
      </c>
      <c r="J917" s="11">
        <v>23</v>
      </c>
      <c r="K917" s="11">
        <v>24</v>
      </c>
    </row>
    <row r="918" spans="1:11" ht="28.8" x14ac:dyDescent="0.3">
      <c r="A918" s="1">
        <v>60</v>
      </c>
      <c r="B918" s="1">
        <v>2024</v>
      </c>
      <c r="C918" s="3">
        <v>45483</v>
      </c>
      <c r="D918" s="4" t="s">
        <v>11</v>
      </c>
      <c r="E918" s="5" t="s">
        <v>17</v>
      </c>
      <c r="F918" s="5" t="s">
        <v>13</v>
      </c>
      <c r="G918" s="7">
        <v>24</v>
      </c>
      <c r="H918" s="7">
        <v>20</v>
      </c>
      <c r="I918" s="7">
        <v>24</v>
      </c>
      <c r="J918" s="7">
        <v>23</v>
      </c>
      <c r="K918" s="7">
        <v>24</v>
      </c>
    </row>
    <row r="919" spans="1:11" ht="28.8" x14ac:dyDescent="0.3">
      <c r="A919" s="1">
        <v>60</v>
      </c>
      <c r="B919" s="1">
        <v>2024</v>
      </c>
      <c r="C919" s="3">
        <v>45483</v>
      </c>
      <c r="D919" s="8" t="s">
        <v>11</v>
      </c>
      <c r="E919" s="9" t="s">
        <v>18</v>
      </c>
      <c r="F919" s="9" t="s">
        <v>13</v>
      </c>
      <c r="G919" s="11">
        <v>60</v>
      </c>
      <c r="H919" s="11">
        <v>60</v>
      </c>
      <c r="I919" s="11">
        <v>60</v>
      </c>
      <c r="J919" s="11">
        <v>60</v>
      </c>
      <c r="K919" s="11">
        <v>60</v>
      </c>
    </row>
    <row r="920" spans="1:11" ht="28.8" x14ac:dyDescent="0.3">
      <c r="A920" s="1">
        <v>60</v>
      </c>
      <c r="B920" s="1">
        <v>2024</v>
      </c>
      <c r="C920" s="3">
        <v>45483</v>
      </c>
      <c r="D920" s="4" t="s">
        <v>11</v>
      </c>
      <c r="E920" s="5" t="s">
        <v>19</v>
      </c>
      <c r="F920" s="5" t="s">
        <v>13</v>
      </c>
      <c r="G920" s="7">
        <v>60</v>
      </c>
      <c r="H920" s="7">
        <v>54</v>
      </c>
      <c r="I920" s="7">
        <v>60</v>
      </c>
      <c r="J920" s="7" t="s">
        <v>246</v>
      </c>
      <c r="K920" s="7">
        <v>60</v>
      </c>
    </row>
    <row r="921" spans="1:11" ht="28.8" x14ac:dyDescent="0.3">
      <c r="A921" s="1">
        <v>60</v>
      </c>
      <c r="B921" s="1">
        <v>2024</v>
      </c>
      <c r="C921" s="3">
        <v>45483</v>
      </c>
      <c r="D921" s="8" t="s">
        <v>11</v>
      </c>
      <c r="E921" s="9" t="s">
        <v>20</v>
      </c>
      <c r="F921" s="9" t="s">
        <v>13</v>
      </c>
      <c r="G921" s="11">
        <v>84</v>
      </c>
      <c r="H921" s="11">
        <v>72</v>
      </c>
      <c r="I921" s="11">
        <v>96</v>
      </c>
      <c r="J921" s="11">
        <v>84</v>
      </c>
      <c r="K921" s="11">
        <v>84</v>
      </c>
    </row>
    <row r="922" spans="1:11" ht="28.8" x14ac:dyDescent="0.3">
      <c r="A922" s="1">
        <v>60</v>
      </c>
      <c r="B922" s="1">
        <v>2024</v>
      </c>
      <c r="C922" s="3">
        <v>45483</v>
      </c>
      <c r="D922" s="4" t="s">
        <v>11</v>
      </c>
      <c r="E922" s="5" t="s">
        <v>21</v>
      </c>
      <c r="F922" s="5" t="s">
        <v>13</v>
      </c>
      <c r="G922" s="7">
        <v>24</v>
      </c>
      <c r="H922" s="7">
        <v>24</v>
      </c>
      <c r="I922" s="7">
        <v>30</v>
      </c>
      <c r="J922" s="7" t="s">
        <v>276</v>
      </c>
      <c r="K922" s="7">
        <v>24</v>
      </c>
    </row>
    <row r="923" spans="1:11" ht="28.8" x14ac:dyDescent="0.3">
      <c r="A923" s="1">
        <v>60</v>
      </c>
      <c r="B923" s="1">
        <v>2024</v>
      </c>
      <c r="C923" s="3">
        <v>45483</v>
      </c>
      <c r="D923" s="8" t="s">
        <v>11</v>
      </c>
      <c r="E923" s="9" t="s">
        <v>73</v>
      </c>
      <c r="F923" s="9" t="s">
        <v>13</v>
      </c>
      <c r="G923" s="11">
        <v>60</v>
      </c>
      <c r="H923" s="11">
        <v>60</v>
      </c>
      <c r="I923" s="11">
        <v>72</v>
      </c>
      <c r="J923" s="11">
        <v>63</v>
      </c>
      <c r="K923" s="11">
        <v>60</v>
      </c>
    </row>
    <row r="924" spans="1:11" ht="28.8" x14ac:dyDescent="0.3">
      <c r="A924" s="1">
        <v>60</v>
      </c>
      <c r="B924" s="1">
        <v>2024</v>
      </c>
      <c r="C924" s="3">
        <v>45483</v>
      </c>
      <c r="D924" s="4" t="s">
        <v>11</v>
      </c>
      <c r="E924" s="5" t="s">
        <v>23</v>
      </c>
      <c r="F924" s="5" t="s">
        <v>13</v>
      </c>
      <c r="G924" s="7">
        <v>24</v>
      </c>
      <c r="H924" s="7">
        <v>20</v>
      </c>
      <c r="I924" s="7">
        <v>24</v>
      </c>
      <c r="J924" s="7">
        <v>23</v>
      </c>
      <c r="K924" s="7">
        <v>24</v>
      </c>
    </row>
    <row r="925" spans="1:11" ht="28.8" x14ac:dyDescent="0.3">
      <c r="A925" s="1">
        <v>60</v>
      </c>
      <c r="B925" s="1">
        <v>2024</v>
      </c>
      <c r="C925" s="3">
        <v>45483</v>
      </c>
      <c r="D925" s="8" t="s">
        <v>11</v>
      </c>
      <c r="E925" s="9" t="s">
        <v>24</v>
      </c>
      <c r="F925" s="9" t="s">
        <v>13</v>
      </c>
      <c r="G925" s="11">
        <v>60</v>
      </c>
      <c r="H925" s="11">
        <v>60</v>
      </c>
      <c r="I925" s="11">
        <v>78</v>
      </c>
      <c r="J925" s="11" t="s">
        <v>178</v>
      </c>
      <c r="K925" s="11">
        <v>60</v>
      </c>
    </row>
    <row r="926" spans="1:11" ht="28.8" x14ac:dyDescent="0.3">
      <c r="A926" s="1">
        <v>60</v>
      </c>
      <c r="B926" s="1">
        <v>2024</v>
      </c>
      <c r="C926" s="3">
        <v>45483</v>
      </c>
      <c r="D926" s="4" t="s">
        <v>11</v>
      </c>
      <c r="E926" s="5" t="s">
        <v>25</v>
      </c>
      <c r="F926" s="5" t="s">
        <v>26</v>
      </c>
      <c r="G926" s="7">
        <v>60</v>
      </c>
      <c r="H926" s="7">
        <v>60</v>
      </c>
      <c r="I926" s="7">
        <v>60</v>
      </c>
      <c r="J926" s="7">
        <v>60</v>
      </c>
      <c r="K926" s="7">
        <v>60</v>
      </c>
    </row>
    <row r="927" spans="1:11" ht="28.8" x14ac:dyDescent="0.3">
      <c r="A927" s="1">
        <v>60</v>
      </c>
      <c r="B927" s="1">
        <v>2024</v>
      </c>
      <c r="C927" s="3">
        <v>45483</v>
      </c>
      <c r="D927" s="8" t="s">
        <v>11</v>
      </c>
      <c r="E927" s="9" t="s">
        <v>27</v>
      </c>
      <c r="F927" s="9" t="s">
        <v>13</v>
      </c>
      <c r="G927" s="10"/>
      <c r="H927" s="11">
        <v>50</v>
      </c>
      <c r="I927" s="11">
        <v>84</v>
      </c>
      <c r="J927" s="11" t="s">
        <v>277</v>
      </c>
      <c r="K927" s="11">
        <v>66</v>
      </c>
    </row>
    <row r="928" spans="1:11" ht="28.8" x14ac:dyDescent="0.3">
      <c r="A928" s="1">
        <v>60</v>
      </c>
      <c r="B928" s="1">
        <v>2024</v>
      </c>
      <c r="C928" s="3">
        <v>45483</v>
      </c>
      <c r="D928" s="4" t="s">
        <v>11</v>
      </c>
      <c r="E928" s="5" t="s">
        <v>28</v>
      </c>
      <c r="F928" s="5" t="s">
        <v>13</v>
      </c>
      <c r="G928" s="7">
        <v>45</v>
      </c>
      <c r="H928" s="7">
        <v>40</v>
      </c>
      <c r="I928" s="7">
        <v>48</v>
      </c>
      <c r="J928" s="7" t="s">
        <v>247</v>
      </c>
      <c r="K928" s="7">
        <v>45</v>
      </c>
    </row>
    <row r="929" spans="1:11" ht="28.8" x14ac:dyDescent="0.3">
      <c r="A929" s="1">
        <v>60</v>
      </c>
      <c r="B929" s="1">
        <v>2024</v>
      </c>
      <c r="C929" s="3">
        <v>45483</v>
      </c>
      <c r="D929" s="8" t="s">
        <v>11</v>
      </c>
      <c r="E929" s="9" t="s">
        <v>29</v>
      </c>
      <c r="F929" s="9" t="s">
        <v>13</v>
      </c>
      <c r="G929" s="11">
        <v>48</v>
      </c>
      <c r="H929" s="11">
        <v>48</v>
      </c>
      <c r="I929" s="11">
        <v>54</v>
      </c>
      <c r="J929" s="11" t="s">
        <v>173</v>
      </c>
      <c r="K929" s="11">
        <v>48</v>
      </c>
    </row>
    <row r="930" spans="1:11" ht="28.8" x14ac:dyDescent="0.3">
      <c r="A930" s="1">
        <v>60</v>
      </c>
      <c r="B930" s="1">
        <v>2024</v>
      </c>
      <c r="C930" s="3">
        <v>45483</v>
      </c>
      <c r="D930" s="4" t="s">
        <v>30</v>
      </c>
      <c r="E930" s="5" t="s">
        <v>31</v>
      </c>
      <c r="F930" s="5" t="s">
        <v>32</v>
      </c>
      <c r="G930" s="7">
        <v>5</v>
      </c>
      <c r="H930" s="7">
        <v>5</v>
      </c>
      <c r="I930" s="7">
        <v>5</v>
      </c>
      <c r="J930" s="7">
        <v>5</v>
      </c>
      <c r="K930" s="7">
        <v>5</v>
      </c>
    </row>
    <row r="931" spans="1:11" ht="28.8" x14ac:dyDescent="0.3">
      <c r="A931" s="1">
        <v>60</v>
      </c>
      <c r="B931" s="1">
        <v>2024</v>
      </c>
      <c r="C931" s="3">
        <v>45483</v>
      </c>
      <c r="D931" s="8" t="s">
        <v>30</v>
      </c>
      <c r="E931" s="9" t="s">
        <v>34</v>
      </c>
      <c r="F931" s="9" t="s">
        <v>35</v>
      </c>
      <c r="G931" s="11">
        <v>15</v>
      </c>
      <c r="H931" s="11">
        <v>10</v>
      </c>
      <c r="I931" s="11">
        <v>15</v>
      </c>
      <c r="J931" s="11">
        <v>13</v>
      </c>
      <c r="K931" s="11" t="s">
        <v>278</v>
      </c>
    </row>
    <row r="932" spans="1:11" ht="28.8" x14ac:dyDescent="0.3">
      <c r="A932" s="1">
        <v>60</v>
      </c>
      <c r="B932" s="1">
        <v>2024</v>
      </c>
      <c r="C932" s="3">
        <v>45483</v>
      </c>
      <c r="D932" s="4" t="s">
        <v>30</v>
      </c>
      <c r="E932" s="5" t="s">
        <v>36</v>
      </c>
      <c r="F932" s="5" t="s">
        <v>35</v>
      </c>
      <c r="G932" s="7">
        <v>25</v>
      </c>
      <c r="H932" s="7">
        <v>20</v>
      </c>
      <c r="I932" s="7">
        <v>30</v>
      </c>
      <c r="J932" s="7">
        <v>25</v>
      </c>
      <c r="K932" s="7">
        <v>25</v>
      </c>
    </row>
    <row r="933" spans="1:11" ht="43.2" x14ac:dyDescent="0.3">
      <c r="A933" s="1">
        <v>60</v>
      </c>
      <c r="B933" s="1">
        <v>2024</v>
      </c>
      <c r="C933" s="3">
        <v>45483</v>
      </c>
      <c r="D933" s="8" t="s">
        <v>38</v>
      </c>
      <c r="E933" s="9" t="s">
        <v>153</v>
      </c>
      <c r="F933" s="9" t="s">
        <v>154</v>
      </c>
      <c r="G933" s="10"/>
      <c r="H933" s="11">
        <v>65</v>
      </c>
      <c r="I933" s="11">
        <v>80</v>
      </c>
      <c r="J933" s="11" t="s">
        <v>279</v>
      </c>
      <c r="K933" s="11">
        <v>70</v>
      </c>
    </row>
    <row r="934" spans="1:11" ht="43.2" x14ac:dyDescent="0.3">
      <c r="A934" s="1">
        <v>60</v>
      </c>
      <c r="B934" s="1">
        <v>2024</v>
      </c>
      <c r="C934" s="3">
        <v>45483</v>
      </c>
      <c r="D934" s="4" t="s">
        <v>38</v>
      </c>
      <c r="E934" s="5" t="s">
        <v>39</v>
      </c>
      <c r="F934" s="5" t="s">
        <v>40</v>
      </c>
      <c r="G934" s="7">
        <v>60</v>
      </c>
      <c r="H934" s="7">
        <v>45</v>
      </c>
      <c r="I934" s="7">
        <v>70</v>
      </c>
      <c r="J934" s="7">
        <v>59</v>
      </c>
      <c r="K934" s="7">
        <v>60</v>
      </c>
    </row>
    <row r="935" spans="1:11" ht="43.2" x14ac:dyDescent="0.3">
      <c r="A935" s="1">
        <v>60</v>
      </c>
      <c r="B935" s="1">
        <v>2024</v>
      </c>
      <c r="C935" s="3">
        <v>45483</v>
      </c>
      <c r="D935" s="8" t="s">
        <v>38</v>
      </c>
      <c r="E935" s="9" t="s">
        <v>42</v>
      </c>
      <c r="F935" s="9" t="s">
        <v>43</v>
      </c>
      <c r="G935" s="11">
        <v>70</v>
      </c>
      <c r="H935" s="11">
        <v>45</v>
      </c>
      <c r="I935" s="11">
        <v>70</v>
      </c>
      <c r="J935" s="11">
        <v>64</v>
      </c>
      <c r="K935" s="11">
        <v>70</v>
      </c>
    </row>
    <row r="936" spans="1:11" ht="43.2" x14ac:dyDescent="0.3">
      <c r="A936" s="1">
        <v>60</v>
      </c>
      <c r="B936" s="1">
        <v>2024</v>
      </c>
      <c r="C936" s="3">
        <v>45483</v>
      </c>
      <c r="D936" s="4" t="s">
        <v>38</v>
      </c>
      <c r="E936" s="5" t="s">
        <v>44</v>
      </c>
      <c r="F936" s="5" t="s">
        <v>45</v>
      </c>
      <c r="G936" s="7">
        <v>50</v>
      </c>
      <c r="H936" s="7">
        <v>30</v>
      </c>
      <c r="I936" s="7">
        <v>50</v>
      </c>
      <c r="J936" s="7">
        <v>45</v>
      </c>
      <c r="K936" s="7">
        <v>50</v>
      </c>
    </row>
    <row r="937" spans="1:11" ht="43.2" x14ac:dyDescent="0.3">
      <c r="A937" s="1">
        <v>60</v>
      </c>
      <c r="B937" s="1">
        <v>2024</v>
      </c>
      <c r="C937" s="3">
        <v>45483</v>
      </c>
      <c r="D937" s="8" t="s">
        <v>38</v>
      </c>
      <c r="E937" s="9" t="s">
        <v>48</v>
      </c>
      <c r="F937" s="9" t="s">
        <v>45</v>
      </c>
      <c r="G937" s="10"/>
      <c r="H937" s="11">
        <v>40</v>
      </c>
      <c r="I937" s="11">
        <v>110</v>
      </c>
      <c r="J937" s="11">
        <v>85</v>
      </c>
      <c r="K937" s="11">
        <v>95</v>
      </c>
    </row>
    <row r="938" spans="1:11" ht="43.2" x14ac:dyDescent="0.3">
      <c r="A938" s="1">
        <v>60</v>
      </c>
      <c r="B938" s="1">
        <v>2024</v>
      </c>
      <c r="C938" s="3">
        <v>45483</v>
      </c>
      <c r="D938" s="4" t="s">
        <v>38</v>
      </c>
      <c r="E938" s="5" t="s">
        <v>49</v>
      </c>
      <c r="F938" s="5" t="s">
        <v>50</v>
      </c>
      <c r="G938" s="7">
        <v>70</v>
      </c>
      <c r="H938" s="7">
        <v>70</v>
      </c>
      <c r="I938" s="7">
        <v>90</v>
      </c>
      <c r="J938" s="7">
        <v>79</v>
      </c>
      <c r="K938" s="7">
        <v>80</v>
      </c>
    </row>
    <row r="939" spans="1:11" ht="43.2" x14ac:dyDescent="0.3">
      <c r="A939" s="1">
        <v>60</v>
      </c>
      <c r="B939" s="1">
        <v>2024</v>
      </c>
      <c r="C939" s="3">
        <v>45483</v>
      </c>
      <c r="D939" s="8" t="s">
        <v>38</v>
      </c>
      <c r="E939" s="9" t="s">
        <v>52</v>
      </c>
      <c r="F939" s="9" t="s">
        <v>43</v>
      </c>
      <c r="G939" s="11">
        <v>60</v>
      </c>
      <c r="H939" s="11">
        <v>40</v>
      </c>
      <c r="I939" s="11">
        <v>80</v>
      </c>
      <c r="J939" s="11" t="s">
        <v>241</v>
      </c>
      <c r="K939" s="11" t="s">
        <v>80</v>
      </c>
    </row>
    <row r="940" spans="1:11" ht="43.2" x14ac:dyDescent="0.3">
      <c r="A940" s="1">
        <v>60</v>
      </c>
      <c r="B940" s="1">
        <v>2024</v>
      </c>
      <c r="C940" s="3">
        <v>45483</v>
      </c>
      <c r="D940" s="4" t="s">
        <v>38</v>
      </c>
      <c r="E940" s="5" t="s">
        <v>53</v>
      </c>
      <c r="F940" s="5" t="s">
        <v>43</v>
      </c>
      <c r="G940" s="7">
        <v>65</v>
      </c>
      <c r="H940" s="7">
        <v>45</v>
      </c>
      <c r="I940" s="7">
        <v>65</v>
      </c>
      <c r="J940" s="7">
        <v>57</v>
      </c>
      <c r="K940" s="7">
        <v>60</v>
      </c>
    </row>
    <row r="941" spans="1:11" ht="43.2" x14ac:dyDescent="0.3">
      <c r="A941" s="1">
        <v>60</v>
      </c>
      <c r="B941" s="1">
        <v>2024</v>
      </c>
      <c r="C941" s="3">
        <v>45483</v>
      </c>
      <c r="D941" s="8" t="s">
        <v>38</v>
      </c>
      <c r="E941" s="9" t="s">
        <v>54</v>
      </c>
      <c r="F941" s="9" t="s">
        <v>40</v>
      </c>
      <c r="G941" s="11">
        <v>90</v>
      </c>
      <c r="H941" s="11">
        <v>60</v>
      </c>
      <c r="I941" s="11">
        <v>100</v>
      </c>
      <c r="J941" s="11" t="s">
        <v>270</v>
      </c>
      <c r="K941" s="11">
        <v>85</v>
      </c>
    </row>
    <row r="942" spans="1:11" ht="43.2" x14ac:dyDescent="0.3">
      <c r="A942" s="1">
        <v>60</v>
      </c>
      <c r="B942" s="1">
        <v>2024</v>
      </c>
      <c r="C942" s="3">
        <v>45483</v>
      </c>
      <c r="D942" s="4" t="s">
        <v>38</v>
      </c>
      <c r="E942" s="5" t="s">
        <v>56</v>
      </c>
      <c r="F942" s="5" t="s">
        <v>43</v>
      </c>
      <c r="G942" s="7">
        <v>50</v>
      </c>
      <c r="H942" s="7">
        <v>50</v>
      </c>
      <c r="I942" s="7">
        <v>60</v>
      </c>
      <c r="J942" s="7" t="s">
        <v>92</v>
      </c>
      <c r="K942" s="7" t="s">
        <v>78</v>
      </c>
    </row>
    <row r="943" spans="1:11" ht="43.2" x14ac:dyDescent="0.3">
      <c r="A943" s="1">
        <v>60</v>
      </c>
      <c r="B943" s="1">
        <v>2024</v>
      </c>
      <c r="C943" s="3">
        <v>45483</v>
      </c>
      <c r="D943" s="8" t="s">
        <v>38</v>
      </c>
      <c r="E943" s="9" t="s">
        <v>57</v>
      </c>
      <c r="F943" s="9" t="s">
        <v>40</v>
      </c>
      <c r="G943" s="11">
        <v>60</v>
      </c>
      <c r="H943" s="11">
        <v>40</v>
      </c>
      <c r="I943" s="11">
        <v>60</v>
      </c>
      <c r="J943" s="11" t="s">
        <v>78</v>
      </c>
      <c r="K943" s="11">
        <v>55</v>
      </c>
    </row>
    <row r="944" spans="1:11" ht="43.2" x14ac:dyDescent="0.3">
      <c r="A944" s="1">
        <v>60</v>
      </c>
      <c r="B944" s="1">
        <v>2024</v>
      </c>
      <c r="C944" s="3">
        <v>45483</v>
      </c>
      <c r="D944" s="4" t="s">
        <v>38</v>
      </c>
      <c r="E944" s="5" t="s">
        <v>58</v>
      </c>
      <c r="F944" s="5" t="s">
        <v>40</v>
      </c>
      <c r="G944" s="7">
        <v>80</v>
      </c>
      <c r="H944" s="7">
        <v>70</v>
      </c>
      <c r="I944" s="7">
        <v>80</v>
      </c>
      <c r="J944" s="7">
        <v>77</v>
      </c>
      <c r="K944" s="7">
        <v>80</v>
      </c>
    </row>
    <row r="945" spans="1:11" ht="43.2" x14ac:dyDescent="0.3">
      <c r="A945" s="1">
        <v>60</v>
      </c>
      <c r="B945" s="1">
        <v>2024</v>
      </c>
      <c r="C945" s="3">
        <v>45483</v>
      </c>
      <c r="D945" s="8" t="s">
        <v>38</v>
      </c>
      <c r="E945" s="9" t="s">
        <v>59</v>
      </c>
      <c r="F945" s="9" t="s">
        <v>45</v>
      </c>
      <c r="G945" s="11">
        <v>50</v>
      </c>
      <c r="H945" s="11">
        <v>50</v>
      </c>
      <c r="I945" s="11">
        <v>60</v>
      </c>
      <c r="J945" s="11">
        <v>53</v>
      </c>
      <c r="K945" s="11">
        <v>50</v>
      </c>
    </row>
    <row r="946" spans="1:11" ht="43.2" x14ac:dyDescent="0.3">
      <c r="A946" s="1">
        <v>60</v>
      </c>
      <c r="B946" s="1">
        <v>2024</v>
      </c>
      <c r="C946" s="3">
        <v>45483</v>
      </c>
      <c r="D946" s="4" t="s">
        <v>38</v>
      </c>
      <c r="E946" s="5" t="s">
        <v>60</v>
      </c>
      <c r="F946" s="5" t="s">
        <v>61</v>
      </c>
      <c r="G946" s="7">
        <v>100</v>
      </c>
      <c r="H946" s="7">
        <v>90</v>
      </c>
      <c r="I946" s="7">
        <v>120</v>
      </c>
      <c r="J946" s="7" t="s">
        <v>183</v>
      </c>
      <c r="K946" s="7">
        <v>100</v>
      </c>
    </row>
    <row r="947" spans="1:11" ht="43.2" x14ac:dyDescent="0.3">
      <c r="A947" s="1">
        <v>60</v>
      </c>
      <c r="B947" s="1">
        <v>2024</v>
      </c>
      <c r="C947" s="3">
        <v>45483</v>
      </c>
      <c r="D947" s="8" t="s">
        <v>38</v>
      </c>
      <c r="E947" s="9" t="s">
        <v>63</v>
      </c>
      <c r="F947" s="9" t="s">
        <v>40</v>
      </c>
      <c r="G947" s="10"/>
      <c r="H947" s="11">
        <v>30</v>
      </c>
      <c r="I947" s="11">
        <v>90</v>
      </c>
      <c r="J947" s="11" t="s">
        <v>84</v>
      </c>
      <c r="K947" s="11" t="s">
        <v>200</v>
      </c>
    </row>
    <row r="948" spans="1:11" ht="43.2" x14ac:dyDescent="0.3">
      <c r="A948" s="1">
        <v>60</v>
      </c>
      <c r="B948" s="1">
        <v>2024</v>
      </c>
      <c r="C948" s="3">
        <v>45483</v>
      </c>
      <c r="D948" s="4" t="s">
        <v>38</v>
      </c>
      <c r="E948" s="5" t="s">
        <v>64</v>
      </c>
      <c r="F948" s="5" t="s">
        <v>40</v>
      </c>
      <c r="G948" s="7">
        <v>120</v>
      </c>
      <c r="H948" s="7">
        <v>120</v>
      </c>
      <c r="I948" s="7">
        <v>150</v>
      </c>
      <c r="J948" s="7">
        <v>130</v>
      </c>
      <c r="K948" s="7">
        <v>125</v>
      </c>
    </row>
    <row r="949" spans="1:11" x14ac:dyDescent="0.3">
      <c r="A949" s="1">
        <v>60</v>
      </c>
      <c r="B949" s="1">
        <v>2024</v>
      </c>
      <c r="C949" s="3">
        <v>45483</v>
      </c>
      <c r="D949" s="8" t="s">
        <v>65</v>
      </c>
      <c r="E949" s="9" t="s">
        <v>66</v>
      </c>
      <c r="F949" s="9" t="s">
        <v>45</v>
      </c>
      <c r="G949" s="10"/>
      <c r="H949" s="10"/>
      <c r="I949" s="10"/>
      <c r="J949" s="10"/>
      <c r="K949" s="10"/>
    </row>
    <row r="950" spans="1:11" x14ac:dyDescent="0.3">
      <c r="A950" s="1">
        <v>60</v>
      </c>
      <c r="B950" s="1">
        <v>2024</v>
      </c>
      <c r="C950" s="3">
        <v>45483</v>
      </c>
      <c r="D950" s="4" t="s">
        <v>65</v>
      </c>
      <c r="E950" s="5" t="s">
        <v>67</v>
      </c>
      <c r="F950" s="5" t="s">
        <v>45</v>
      </c>
      <c r="G950" s="6"/>
      <c r="H950" s="6"/>
      <c r="I950" s="6"/>
      <c r="J950" s="6"/>
      <c r="K950" s="6"/>
    </row>
    <row r="951" spans="1:11" x14ac:dyDescent="0.3">
      <c r="A951" s="1">
        <v>60</v>
      </c>
      <c r="B951" s="1">
        <v>2024</v>
      </c>
      <c r="C951" s="3">
        <v>45483</v>
      </c>
      <c r="D951" s="8" t="s">
        <v>65</v>
      </c>
      <c r="E951" s="9" t="s">
        <v>68</v>
      </c>
      <c r="F951" s="9" t="s">
        <v>45</v>
      </c>
      <c r="G951" s="10"/>
      <c r="H951" s="10"/>
      <c r="I951" s="10"/>
      <c r="J951" s="10"/>
      <c r="K951" s="10"/>
    </row>
    <row r="952" spans="1:11" x14ac:dyDescent="0.3">
      <c r="A952" s="1">
        <v>60</v>
      </c>
      <c r="B952" s="1">
        <v>2024</v>
      </c>
      <c r="C952" s="3">
        <v>45483</v>
      </c>
      <c r="D952" s="4" t="s">
        <v>65</v>
      </c>
      <c r="E952" s="5" t="s">
        <v>69</v>
      </c>
      <c r="F952" s="5" t="s">
        <v>45</v>
      </c>
      <c r="G952" s="7">
        <v>48</v>
      </c>
      <c r="H952" s="7">
        <v>48</v>
      </c>
      <c r="I952" s="7">
        <v>48</v>
      </c>
      <c r="J952" s="7">
        <v>48</v>
      </c>
      <c r="K952" s="7">
        <v>48</v>
      </c>
    </row>
    <row r="953" spans="1:11" x14ac:dyDescent="0.3">
      <c r="A953" s="1">
        <v>60</v>
      </c>
      <c r="B953" s="1">
        <v>2024</v>
      </c>
      <c r="C953" s="3">
        <v>45483</v>
      </c>
      <c r="D953" s="8" t="s">
        <v>65</v>
      </c>
      <c r="E953" s="9" t="s">
        <v>70</v>
      </c>
      <c r="F953" s="9" t="s">
        <v>71</v>
      </c>
      <c r="G953" s="11">
        <v>70</v>
      </c>
      <c r="H953" s="11">
        <v>65</v>
      </c>
      <c r="I953" s="11">
        <v>70</v>
      </c>
      <c r="J953" s="11" t="s">
        <v>62</v>
      </c>
      <c r="K953" s="11">
        <v>70</v>
      </c>
    </row>
    <row r="954" spans="1:11" ht="28.8" x14ac:dyDescent="0.3">
      <c r="A954" s="1">
        <v>62</v>
      </c>
      <c r="B954" s="1">
        <v>2024</v>
      </c>
      <c r="C954" s="3">
        <v>45497</v>
      </c>
      <c r="D954" s="4" t="s">
        <v>11</v>
      </c>
      <c r="E954" s="5" t="s">
        <v>12</v>
      </c>
      <c r="F954" s="5" t="s">
        <v>13</v>
      </c>
      <c r="G954" s="7">
        <v>60</v>
      </c>
      <c r="H954" s="7">
        <v>48</v>
      </c>
      <c r="I954" s="7">
        <v>60</v>
      </c>
      <c r="J954" s="7">
        <v>54</v>
      </c>
      <c r="K954" s="7">
        <v>54</v>
      </c>
    </row>
    <row r="955" spans="1:11" ht="28.8" x14ac:dyDescent="0.3">
      <c r="A955" s="1">
        <v>62</v>
      </c>
      <c r="B955" s="1">
        <v>2024</v>
      </c>
      <c r="C955" s="3">
        <v>45497</v>
      </c>
      <c r="D955" s="8" t="s">
        <v>11</v>
      </c>
      <c r="E955" s="9" t="s">
        <v>14</v>
      </c>
      <c r="F955" s="9" t="s">
        <v>13</v>
      </c>
      <c r="G955" s="11">
        <v>84</v>
      </c>
      <c r="H955" s="11">
        <v>60</v>
      </c>
      <c r="I955" s="11">
        <v>84</v>
      </c>
      <c r="J955" s="11" t="s">
        <v>280</v>
      </c>
      <c r="K955" s="11">
        <v>72</v>
      </c>
    </row>
    <row r="956" spans="1:11" ht="28.8" x14ac:dyDescent="0.3">
      <c r="A956" s="1">
        <v>62</v>
      </c>
      <c r="B956" s="1">
        <v>2024</v>
      </c>
      <c r="C956" s="3">
        <v>45497</v>
      </c>
      <c r="D956" s="4" t="s">
        <v>11</v>
      </c>
      <c r="E956" s="5" t="s">
        <v>15</v>
      </c>
      <c r="F956" s="5" t="s">
        <v>13</v>
      </c>
      <c r="G956" s="7">
        <v>36</v>
      </c>
      <c r="H956" s="7">
        <v>30</v>
      </c>
      <c r="I956" s="7">
        <v>48</v>
      </c>
      <c r="J956" s="7">
        <v>36</v>
      </c>
      <c r="K956" s="7">
        <v>36</v>
      </c>
    </row>
    <row r="957" spans="1:11" ht="28.8" x14ac:dyDescent="0.3">
      <c r="A957" s="1">
        <v>62</v>
      </c>
      <c r="B957" s="1">
        <v>2024</v>
      </c>
      <c r="C957" s="3">
        <v>45497</v>
      </c>
      <c r="D957" s="8" t="s">
        <v>11</v>
      </c>
      <c r="E957" s="9" t="s">
        <v>16</v>
      </c>
      <c r="F957" s="9" t="s">
        <v>13</v>
      </c>
      <c r="G957" s="11">
        <v>24</v>
      </c>
      <c r="H957" s="11">
        <v>18</v>
      </c>
      <c r="I957" s="11">
        <v>30</v>
      </c>
      <c r="J957" s="11" t="s">
        <v>281</v>
      </c>
      <c r="K957" s="11">
        <v>24</v>
      </c>
    </row>
    <row r="958" spans="1:11" ht="28.8" x14ac:dyDescent="0.3">
      <c r="A958" s="1">
        <v>62</v>
      </c>
      <c r="B958" s="1">
        <v>2024</v>
      </c>
      <c r="C958" s="3">
        <v>45497</v>
      </c>
      <c r="D958" s="4" t="s">
        <v>11</v>
      </c>
      <c r="E958" s="5" t="s">
        <v>17</v>
      </c>
      <c r="F958" s="5" t="s">
        <v>13</v>
      </c>
      <c r="G958" s="7">
        <v>30</v>
      </c>
      <c r="H958" s="7">
        <v>18</v>
      </c>
      <c r="I958" s="7">
        <v>30</v>
      </c>
      <c r="J958" s="7" t="s">
        <v>282</v>
      </c>
      <c r="K958" s="7">
        <v>24</v>
      </c>
    </row>
    <row r="959" spans="1:11" ht="28.8" x14ac:dyDescent="0.3">
      <c r="A959" s="1">
        <v>62</v>
      </c>
      <c r="B959" s="1">
        <v>2024</v>
      </c>
      <c r="C959" s="3">
        <v>45497</v>
      </c>
      <c r="D959" s="8" t="s">
        <v>11</v>
      </c>
      <c r="E959" s="9" t="s">
        <v>18</v>
      </c>
      <c r="F959" s="9" t="s">
        <v>13</v>
      </c>
      <c r="G959" s="11">
        <v>60</v>
      </c>
      <c r="H959" s="11">
        <v>60</v>
      </c>
      <c r="I959" s="11">
        <v>60</v>
      </c>
      <c r="J959" s="11">
        <v>60</v>
      </c>
      <c r="K959" s="11">
        <v>60</v>
      </c>
    </row>
    <row r="960" spans="1:11" ht="28.8" x14ac:dyDescent="0.3">
      <c r="A960" s="1">
        <v>62</v>
      </c>
      <c r="B960" s="1">
        <v>2024</v>
      </c>
      <c r="C960" s="3">
        <v>45497</v>
      </c>
      <c r="D960" s="4" t="s">
        <v>11</v>
      </c>
      <c r="E960" s="5" t="s">
        <v>19</v>
      </c>
      <c r="F960" s="5" t="s">
        <v>13</v>
      </c>
      <c r="G960" s="7">
        <v>60</v>
      </c>
      <c r="H960" s="7">
        <v>60</v>
      </c>
      <c r="I960" s="7">
        <v>72</v>
      </c>
      <c r="J960" s="7" t="s">
        <v>283</v>
      </c>
      <c r="K960" s="7">
        <v>60</v>
      </c>
    </row>
    <row r="961" spans="1:11" ht="28.8" x14ac:dyDescent="0.3">
      <c r="A961" s="1">
        <v>62</v>
      </c>
      <c r="B961" s="1">
        <v>2024</v>
      </c>
      <c r="C961" s="3">
        <v>45497</v>
      </c>
      <c r="D961" s="8" t="s">
        <v>11</v>
      </c>
      <c r="E961" s="9" t="s">
        <v>20</v>
      </c>
      <c r="F961" s="9" t="s">
        <v>13</v>
      </c>
      <c r="G961" s="11">
        <v>84</v>
      </c>
      <c r="H961" s="11">
        <v>72</v>
      </c>
      <c r="I961" s="11">
        <v>96</v>
      </c>
      <c r="J961" s="11">
        <v>84</v>
      </c>
      <c r="K961" s="11">
        <v>84</v>
      </c>
    </row>
    <row r="962" spans="1:11" ht="28.8" x14ac:dyDescent="0.3">
      <c r="A962" s="1">
        <v>62</v>
      </c>
      <c r="B962" s="1">
        <v>2024</v>
      </c>
      <c r="C962" s="3">
        <v>45497</v>
      </c>
      <c r="D962" s="4" t="s">
        <v>11</v>
      </c>
      <c r="E962" s="5" t="s">
        <v>21</v>
      </c>
      <c r="F962" s="5" t="s">
        <v>13</v>
      </c>
      <c r="G962" s="7">
        <v>24</v>
      </c>
      <c r="H962" s="7">
        <v>18</v>
      </c>
      <c r="I962" s="7">
        <v>30</v>
      </c>
      <c r="J962" s="7" t="s">
        <v>281</v>
      </c>
      <c r="K962" s="7">
        <v>24</v>
      </c>
    </row>
    <row r="963" spans="1:11" ht="28.8" x14ac:dyDescent="0.3">
      <c r="A963" s="1">
        <v>62</v>
      </c>
      <c r="B963" s="1">
        <v>2024</v>
      </c>
      <c r="C963" s="3">
        <v>45497</v>
      </c>
      <c r="D963" s="8" t="s">
        <v>11</v>
      </c>
      <c r="E963" s="9" t="s">
        <v>73</v>
      </c>
      <c r="F963" s="9" t="s">
        <v>13</v>
      </c>
      <c r="G963" s="11">
        <v>72</v>
      </c>
      <c r="H963" s="11">
        <v>72</v>
      </c>
      <c r="I963" s="11">
        <v>84</v>
      </c>
      <c r="J963" s="11">
        <v>75</v>
      </c>
      <c r="K963" s="11">
        <v>72</v>
      </c>
    </row>
    <row r="964" spans="1:11" ht="28.8" x14ac:dyDescent="0.3">
      <c r="A964" s="1">
        <v>62</v>
      </c>
      <c r="B964" s="1">
        <v>2024</v>
      </c>
      <c r="C964" s="3">
        <v>45497</v>
      </c>
      <c r="D964" s="4" t="s">
        <v>11</v>
      </c>
      <c r="E964" s="5" t="s">
        <v>23</v>
      </c>
      <c r="F964" s="5" t="s">
        <v>13</v>
      </c>
      <c r="G964" s="7">
        <v>30</v>
      </c>
      <c r="H964" s="7">
        <v>18</v>
      </c>
      <c r="I964" s="7">
        <v>30</v>
      </c>
      <c r="J964" s="7" t="s">
        <v>282</v>
      </c>
      <c r="K964" s="7">
        <v>24</v>
      </c>
    </row>
    <row r="965" spans="1:11" ht="28.8" x14ac:dyDescent="0.3">
      <c r="A965" s="1">
        <v>62</v>
      </c>
      <c r="B965" s="1">
        <v>2024</v>
      </c>
      <c r="C965" s="3">
        <v>45497</v>
      </c>
      <c r="D965" s="8" t="s">
        <v>11</v>
      </c>
      <c r="E965" s="9" t="s">
        <v>24</v>
      </c>
      <c r="F965" s="9" t="s">
        <v>13</v>
      </c>
      <c r="G965" s="11">
        <v>60</v>
      </c>
      <c r="H965" s="11">
        <v>60</v>
      </c>
      <c r="I965" s="11">
        <v>60</v>
      </c>
      <c r="J965" s="11">
        <v>60</v>
      </c>
      <c r="K965" s="11">
        <v>60</v>
      </c>
    </row>
    <row r="966" spans="1:11" ht="28.8" x14ac:dyDescent="0.3">
      <c r="A966" s="1">
        <v>62</v>
      </c>
      <c r="B966" s="1">
        <v>2024</v>
      </c>
      <c r="C966" s="3">
        <v>45497</v>
      </c>
      <c r="D966" s="4" t="s">
        <v>11</v>
      </c>
      <c r="E966" s="5" t="s">
        <v>25</v>
      </c>
      <c r="F966" s="5" t="s">
        <v>26</v>
      </c>
      <c r="G966" s="7">
        <v>60</v>
      </c>
      <c r="H966" s="7">
        <v>48</v>
      </c>
      <c r="I966" s="7">
        <v>60</v>
      </c>
      <c r="J966" s="7">
        <v>54</v>
      </c>
      <c r="K966" s="7">
        <v>54</v>
      </c>
    </row>
    <row r="967" spans="1:11" ht="28.8" x14ac:dyDescent="0.3">
      <c r="A967" s="1">
        <v>62</v>
      </c>
      <c r="B967" s="1">
        <v>2024</v>
      </c>
      <c r="C967" s="3">
        <v>45497</v>
      </c>
      <c r="D967" s="8" t="s">
        <v>11</v>
      </c>
      <c r="E967" s="9" t="s">
        <v>27</v>
      </c>
      <c r="F967" s="9" t="s">
        <v>13</v>
      </c>
      <c r="G967" s="11">
        <v>60</v>
      </c>
      <c r="H967" s="11">
        <v>60</v>
      </c>
      <c r="I967" s="11">
        <v>96</v>
      </c>
      <c r="J967" s="11">
        <v>75</v>
      </c>
      <c r="K967" s="11">
        <v>72</v>
      </c>
    </row>
    <row r="968" spans="1:11" ht="28.8" x14ac:dyDescent="0.3">
      <c r="A968" s="1">
        <v>62</v>
      </c>
      <c r="B968" s="1">
        <v>2024</v>
      </c>
      <c r="C968" s="3">
        <v>45497</v>
      </c>
      <c r="D968" s="4" t="s">
        <v>11</v>
      </c>
      <c r="E968" s="5" t="s">
        <v>28</v>
      </c>
      <c r="F968" s="5" t="s">
        <v>13</v>
      </c>
      <c r="G968" s="7">
        <v>48</v>
      </c>
      <c r="H968" s="7">
        <v>25</v>
      </c>
      <c r="I968" s="7">
        <v>60</v>
      </c>
      <c r="J968" s="7" t="s">
        <v>284</v>
      </c>
      <c r="K968" s="7">
        <v>48</v>
      </c>
    </row>
    <row r="969" spans="1:11" ht="28.8" x14ac:dyDescent="0.3">
      <c r="A969" s="1">
        <v>62</v>
      </c>
      <c r="B969" s="1">
        <v>2024</v>
      </c>
      <c r="C969" s="3">
        <v>45497</v>
      </c>
      <c r="D969" s="8" t="s">
        <v>11</v>
      </c>
      <c r="E969" s="9" t="s">
        <v>29</v>
      </c>
      <c r="F969" s="9" t="s">
        <v>13</v>
      </c>
      <c r="G969" s="11">
        <v>54</v>
      </c>
      <c r="H969" s="11">
        <v>48</v>
      </c>
      <c r="I969" s="11">
        <v>54</v>
      </c>
      <c r="J969" s="11">
        <v>51</v>
      </c>
      <c r="K969" s="11">
        <v>51</v>
      </c>
    </row>
    <row r="970" spans="1:11" ht="28.8" x14ac:dyDescent="0.3">
      <c r="A970" s="1">
        <v>62</v>
      </c>
      <c r="B970" s="1">
        <v>2024</v>
      </c>
      <c r="C970" s="3">
        <v>45497</v>
      </c>
      <c r="D970" s="4" t="s">
        <v>30</v>
      </c>
      <c r="E970" s="5" t="s">
        <v>31</v>
      </c>
      <c r="F970" s="5" t="s">
        <v>32</v>
      </c>
      <c r="G970" s="7">
        <v>5</v>
      </c>
      <c r="H970" s="7">
        <v>5</v>
      </c>
      <c r="I970" s="7">
        <v>5</v>
      </c>
      <c r="J970" s="7">
        <v>5</v>
      </c>
      <c r="K970" s="7">
        <v>5</v>
      </c>
    </row>
    <row r="971" spans="1:11" ht="28.8" x14ac:dyDescent="0.3">
      <c r="A971" s="1">
        <v>62</v>
      </c>
      <c r="B971" s="1">
        <v>2024</v>
      </c>
      <c r="C971" s="3">
        <v>45497</v>
      </c>
      <c r="D971" s="8" t="s">
        <v>30</v>
      </c>
      <c r="E971" s="9" t="s">
        <v>34</v>
      </c>
      <c r="F971" s="9" t="s">
        <v>35</v>
      </c>
      <c r="G971" s="11">
        <v>15</v>
      </c>
      <c r="H971" s="11">
        <v>10</v>
      </c>
      <c r="I971" s="11">
        <v>15</v>
      </c>
      <c r="J971" s="11" t="s">
        <v>285</v>
      </c>
      <c r="K971" s="11">
        <v>12</v>
      </c>
    </row>
    <row r="972" spans="1:11" ht="28.8" x14ac:dyDescent="0.3">
      <c r="A972" s="1">
        <v>62</v>
      </c>
      <c r="B972" s="1">
        <v>2024</v>
      </c>
      <c r="C972" s="3">
        <v>45497</v>
      </c>
      <c r="D972" s="4" t="s">
        <v>30</v>
      </c>
      <c r="E972" s="5" t="s">
        <v>36</v>
      </c>
      <c r="F972" s="5" t="s">
        <v>35</v>
      </c>
      <c r="G972" s="7">
        <v>20</v>
      </c>
      <c r="H972" s="7">
        <v>20</v>
      </c>
      <c r="I972" s="7">
        <v>35</v>
      </c>
      <c r="J972" s="7">
        <v>26</v>
      </c>
      <c r="K972" s="7">
        <v>25</v>
      </c>
    </row>
    <row r="973" spans="1:11" ht="43.2" x14ac:dyDescent="0.3">
      <c r="A973" s="1">
        <v>62</v>
      </c>
      <c r="B973" s="1">
        <v>2024</v>
      </c>
      <c r="C973" s="3">
        <v>45497</v>
      </c>
      <c r="D973" s="8" t="s">
        <v>38</v>
      </c>
      <c r="E973" s="9" t="s">
        <v>153</v>
      </c>
      <c r="F973" s="9" t="s">
        <v>154</v>
      </c>
      <c r="G973" s="10"/>
      <c r="H973" s="11">
        <v>85</v>
      </c>
      <c r="I973" s="11">
        <v>85</v>
      </c>
      <c r="J973" s="11">
        <v>85</v>
      </c>
      <c r="K973" s="11">
        <v>85</v>
      </c>
    </row>
    <row r="974" spans="1:11" ht="43.2" x14ac:dyDescent="0.3">
      <c r="A974" s="1">
        <v>62</v>
      </c>
      <c r="B974" s="1">
        <v>2024</v>
      </c>
      <c r="C974" s="3">
        <v>45497</v>
      </c>
      <c r="D974" s="4" t="s">
        <v>38</v>
      </c>
      <c r="E974" s="5" t="s">
        <v>39</v>
      </c>
      <c r="F974" s="5" t="s">
        <v>40</v>
      </c>
      <c r="G974" s="7">
        <v>60</v>
      </c>
      <c r="H974" s="7">
        <v>50</v>
      </c>
      <c r="I974" s="7">
        <v>60</v>
      </c>
      <c r="J974" s="7" t="s">
        <v>235</v>
      </c>
      <c r="K974" s="7" t="s">
        <v>41</v>
      </c>
    </row>
    <row r="975" spans="1:11" ht="43.2" x14ac:dyDescent="0.3">
      <c r="A975" s="1">
        <v>62</v>
      </c>
      <c r="B975" s="1">
        <v>2024</v>
      </c>
      <c r="C975" s="3">
        <v>45497</v>
      </c>
      <c r="D975" s="8" t="s">
        <v>38</v>
      </c>
      <c r="E975" s="9" t="s">
        <v>42</v>
      </c>
      <c r="F975" s="9" t="s">
        <v>43</v>
      </c>
      <c r="G975" s="11">
        <v>70</v>
      </c>
      <c r="H975" s="11">
        <v>45</v>
      </c>
      <c r="I975" s="11">
        <v>70</v>
      </c>
      <c r="J975" s="11" t="s">
        <v>286</v>
      </c>
      <c r="K975" s="11">
        <v>70</v>
      </c>
    </row>
    <row r="976" spans="1:11" ht="43.2" x14ac:dyDescent="0.3">
      <c r="A976" s="1">
        <v>62</v>
      </c>
      <c r="B976" s="1">
        <v>2024</v>
      </c>
      <c r="C976" s="3">
        <v>45497</v>
      </c>
      <c r="D976" s="4" t="s">
        <v>38</v>
      </c>
      <c r="E976" s="5" t="s">
        <v>44</v>
      </c>
      <c r="F976" s="5" t="s">
        <v>45</v>
      </c>
      <c r="G976" s="7">
        <v>45</v>
      </c>
      <c r="H976" s="7">
        <v>40</v>
      </c>
      <c r="I976" s="7">
        <v>50</v>
      </c>
      <c r="J976" s="7">
        <v>46</v>
      </c>
      <c r="K976" s="7">
        <v>45</v>
      </c>
    </row>
    <row r="977" spans="1:11" ht="43.2" x14ac:dyDescent="0.3">
      <c r="A977" s="1">
        <v>62</v>
      </c>
      <c r="B977" s="1">
        <v>2024</v>
      </c>
      <c r="C977" s="3">
        <v>45497</v>
      </c>
      <c r="D977" s="8" t="s">
        <v>38</v>
      </c>
      <c r="E977" s="9" t="s">
        <v>48</v>
      </c>
      <c r="F977" s="9" t="s">
        <v>45</v>
      </c>
      <c r="G977" s="10"/>
      <c r="H977" s="11">
        <v>90</v>
      </c>
      <c r="I977" s="11">
        <v>90</v>
      </c>
      <c r="J977" s="11">
        <v>90</v>
      </c>
      <c r="K977" s="11">
        <v>90</v>
      </c>
    </row>
    <row r="978" spans="1:11" ht="43.2" x14ac:dyDescent="0.3">
      <c r="A978" s="1">
        <v>62</v>
      </c>
      <c r="B978" s="1">
        <v>2024</v>
      </c>
      <c r="C978" s="3">
        <v>45497</v>
      </c>
      <c r="D978" s="4" t="s">
        <v>38</v>
      </c>
      <c r="E978" s="5" t="s">
        <v>49</v>
      </c>
      <c r="F978" s="5" t="s">
        <v>50</v>
      </c>
      <c r="G978" s="7">
        <v>65</v>
      </c>
      <c r="H978" s="7">
        <v>60</v>
      </c>
      <c r="I978" s="7">
        <v>65</v>
      </c>
      <c r="J978" s="7" t="s">
        <v>80</v>
      </c>
      <c r="K978" s="7" t="s">
        <v>80</v>
      </c>
    </row>
    <row r="979" spans="1:11" ht="43.2" x14ac:dyDescent="0.3">
      <c r="A979" s="1">
        <v>62</v>
      </c>
      <c r="B979" s="1">
        <v>2024</v>
      </c>
      <c r="C979" s="3">
        <v>45497</v>
      </c>
      <c r="D979" s="8" t="s">
        <v>38</v>
      </c>
      <c r="E979" s="9" t="s">
        <v>52</v>
      </c>
      <c r="F979" s="9" t="s">
        <v>43</v>
      </c>
      <c r="G979" s="10"/>
      <c r="H979" s="11">
        <v>40</v>
      </c>
      <c r="I979" s="11">
        <v>65</v>
      </c>
      <c r="J979" s="11" t="s">
        <v>78</v>
      </c>
      <c r="K979" s="11" t="s">
        <v>78</v>
      </c>
    </row>
    <row r="980" spans="1:11" ht="43.2" x14ac:dyDescent="0.3">
      <c r="A980" s="1">
        <v>62</v>
      </c>
      <c r="B980" s="1">
        <v>2024</v>
      </c>
      <c r="C980" s="3">
        <v>45497</v>
      </c>
      <c r="D980" s="4" t="s">
        <v>38</v>
      </c>
      <c r="E980" s="5" t="s">
        <v>53</v>
      </c>
      <c r="F980" s="5" t="s">
        <v>43</v>
      </c>
      <c r="G980" s="7">
        <v>40</v>
      </c>
      <c r="H980" s="7">
        <v>40</v>
      </c>
      <c r="I980" s="7">
        <v>60</v>
      </c>
      <c r="J980" s="7">
        <v>46</v>
      </c>
      <c r="K980" s="7">
        <v>40</v>
      </c>
    </row>
    <row r="981" spans="1:11" ht="43.2" x14ac:dyDescent="0.3">
      <c r="A981" s="1">
        <v>62</v>
      </c>
      <c r="B981" s="1">
        <v>2024</v>
      </c>
      <c r="C981" s="3">
        <v>45497</v>
      </c>
      <c r="D981" s="8" t="s">
        <v>38</v>
      </c>
      <c r="E981" s="9" t="s">
        <v>54</v>
      </c>
      <c r="F981" s="9" t="s">
        <v>40</v>
      </c>
      <c r="G981" s="10"/>
      <c r="H981" s="11">
        <v>85</v>
      </c>
      <c r="I981" s="11">
        <v>100</v>
      </c>
      <c r="J981" s="11" t="s">
        <v>230</v>
      </c>
      <c r="K981" s="11">
        <v>90</v>
      </c>
    </row>
    <row r="982" spans="1:11" ht="43.2" x14ac:dyDescent="0.3">
      <c r="A982" s="1">
        <v>62</v>
      </c>
      <c r="B982" s="1">
        <v>2024</v>
      </c>
      <c r="C982" s="3">
        <v>45497</v>
      </c>
      <c r="D982" s="4" t="s">
        <v>38</v>
      </c>
      <c r="E982" s="5" t="s">
        <v>56</v>
      </c>
      <c r="F982" s="5" t="s">
        <v>43</v>
      </c>
      <c r="G982" s="6"/>
      <c r="H982" s="7">
        <v>45</v>
      </c>
      <c r="I982" s="7">
        <v>60</v>
      </c>
      <c r="J982" s="7" t="s">
        <v>78</v>
      </c>
      <c r="K982" s="7" t="s">
        <v>78</v>
      </c>
    </row>
    <row r="983" spans="1:11" ht="43.2" x14ac:dyDescent="0.3">
      <c r="A983" s="1">
        <v>62</v>
      </c>
      <c r="B983" s="1">
        <v>2024</v>
      </c>
      <c r="C983" s="3">
        <v>45497</v>
      </c>
      <c r="D983" s="8" t="s">
        <v>38</v>
      </c>
      <c r="E983" s="9" t="s">
        <v>57</v>
      </c>
      <c r="F983" s="9" t="s">
        <v>40</v>
      </c>
      <c r="G983" s="11">
        <v>50</v>
      </c>
      <c r="H983" s="11">
        <v>50</v>
      </c>
      <c r="I983" s="11">
        <v>60</v>
      </c>
      <c r="J983" s="11" t="s">
        <v>242</v>
      </c>
      <c r="K983" s="11">
        <v>50</v>
      </c>
    </row>
    <row r="984" spans="1:11" ht="43.2" x14ac:dyDescent="0.3">
      <c r="A984" s="1">
        <v>62</v>
      </c>
      <c r="B984" s="1">
        <v>2024</v>
      </c>
      <c r="C984" s="3">
        <v>45497</v>
      </c>
      <c r="D984" s="4" t="s">
        <v>38</v>
      </c>
      <c r="E984" s="5" t="s">
        <v>58</v>
      </c>
      <c r="F984" s="5" t="s">
        <v>40</v>
      </c>
      <c r="G984" s="7">
        <v>80</v>
      </c>
      <c r="H984" s="7">
        <v>70</v>
      </c>
      <c r="I984" s="7">
        <v>80</v>
      </c>
      <c r="J984" s="7">
        <v>75</v>
      </c>
      <c r="K984" s="7">
        <v>75</v>
      </c>
    </row>
    <row r="985" spans="1:11" ht="43.2" x14ac:dyDescent="0.3">
      <c r="A985" s="1">
        <v>62</v>
      </c>
      <c r="B985" s="1">
        <v>2024</v>
      </c>
      <c r="C985" s="3">
        <v>45497</v>
      </c>
      <c r="D985" s="8" t="s">
        <v>38</v>
      </c>
      <c r="E985" s="9" t="s">
        <v>59</v>
      </c>
      <c r="F985" s="9" t="s">
        <v>45</v>
      </c>
      <c r="G985" s="10"/>
      <c r="H985" s="11">
        <v>40</v>
      </c>
      <c r="I985" s="11">
        <v>60</v>
      </c>
      <c r="J985" s="11" t="s">
        <v>254</v>
      </c>
      <c r="K985" s="11" t="s">
        <v>78</v>
      </c>
    </row>
    <row r="986" spans="1:11" ht="43.2" x14ac:dyDescent="0.3">
      <c r="A986" s="1">
        <v>62</v>
      </c>
      <c r="B986" s="1">
        <v>2024</v>
      </c>
      <c r="C986" s="3">
        <v>45497</v>
      </c>
      <c r="D986" s="4" t="s">
        <v>38</v>
      </c>
      <c r="E986" s="5" t="s">
        <v>60</v>
      </c>
      <c r="F986" s="5" t="s">
        <v>61</v>
      </c>
      <c r="G986" s="6"/>
      <c r="H986" s="7">
        <v>130</v>
      </c>
      <c r="I986" s="7">
        <v>150</v>
      </c>
      <c r="J986" s="7">
        <v>140</v>
      </c>
      <c r="K986" s="7">
        <v>140</v>
      </c>
    </row>
    <row r="987" spans="1:11" ht="43.2" x14ac:dyDescent="0.3">
      <c r="A987" s="1">
        <v>62</v>
      </c>
      <c r="B987" s="1">
        <v>2024</v>
      </c>
      <c r="C987" s="3">
        <v>45497</v>
      </c>
      <c r="D987" s="8" t="s">
        <v>38</v>
      </c>
      <c r="E987" s="9" t="s">
        <v>63</v>
      </c>
      <c r="F987" s="9" t="s">
        <v>40</v>
      </c>
      <c r="G987" s="11">
        <v>70</v>
      </c>
      <c r="H987" s="11">
        <v>70</v>
      </c>
      <c r="I987" s="11">
        <v>100</v>
      </c>
      <c r="J987" s="11">
        <v>84</v>
      </c>
      <c r="K987" s="11">
        <v>90</v>
      </c>
    </row>
    <row r="988" spans="1:11" ht="43.2" x14ac:dyDescent="0.3">
      <c r="A988" s="1">
        <v>62</v>
      </c>
      <c r="B988" s="1">
        <v>2024</v>
      </c>
      <c r="C988" s="3">
        <v>45497</v>
      </c>
      <c r="D988" s="4" t="s">
        <v>38</v>
      </c>
      <c r="E988" s="5" t="s">
        <v>64</v>
      </c>
      <c r="F988" s="5" t="s">
        <v>40</v>
      </c>
      <c r="G988" s="7">
        <v>140</v>
      </c>
      <c r="H988" s="7">
        <v>120</v>
      </c>
      <c r="I988" s="7">
        <v>140</v>
      </c>
      <c r="J988" s="7" t="s">
        <v>287</v>
      </c>
      <c r="K988" s="7">
        <v>140</v>
      </c>
    </row>
    <row r="989" spans="1:11" x14ac:dyDescent="0.3">
      <c r="A989" s="1">
        <v>62</v>
      </c>
      <c r="B989" s="1">
        <v>2024</v>
      </c>
      <c r="C989" s="3">
        <v>45497</v>
      </c>
      <c r="D989" s="8" t="s">
        <v>65</v>
      </c>
      <c r="E989" s="9" t="s">
        <v>66</v>
      </c>
      <c r="F989" s="9" t="s">
        <v>45</v>
      </c>
      <c r="G989" s="10"/>
      <c r="H989" s="10"/>
      <c r="I989" s="10"/>
      <c r="J989" s="10"/>
      <c r="K989" s="10"/>
    </row>
    <row r="990" spans="1:11" x14ac:dyDescent="0.3">
      <c r="A990" s="1">
        <v>62</v>
      </c>
      <c r="B990" s="1">
        <v>2024</v>
      </c>
      <c r="C990" s="3">
        <v>45497</v>
      </c>
      <c r="D990" s="4" t="s">
        <v>65</v>
      </c>
      <c r="E990" s="5" t="s">
        <v>67</v>
      </c>
      <c r="F990" s="5" t="s">
        <v>45</v>
      </c>
      <c r="G990" s="6"/>
      <c r="H990" s="6"/>
      <c r="I990" s="6"/>
      <c r="J990" s="6"/>
      <c r="K990" s="6"/>
    </row>
    <row r="991" spans="1:11" x14ac:dyDescent="0.3">
      <c r="A991" s="1">
        <v>62</v>
      </c>
      <c r="B991" s="1">
        <v>2024</v>
      </c>
      <c r="C991" s="3">
        <v>45497</v>
      </c>
      <c r="D991" s="8" t="s">
        <v>65</v>
      </c>
      <c r="E991" s="9" t="s">
        <v>68</v>
      </c>
      <c r="F991" s="9" t="s">
        <v>45</v>
      </c>
      <c r="G991" s="10"/>
      <c r="H991" s="10"/>
      <c r="I991" s="10"/>
      <c r="J991" s="10"/>
      <c r="K991" s="10"/>
    </row>
    <row r="992" spans="1:11" x14ac:dyDescent="0.3">
      <c r="A992" s="1">
        <v>62</v>
      </c>
      <c r="B992" s="1">
        <v>2024</v>
      </c>
      <c r="C992" s="3">
        <v>45497</v>
      </c>
      <c r="D992" s="4" t="s">
        <v>65</v>
      </c>
      <c r="E992" s="5" t="s">
        <v>69</v>
      </c>
      <c r="F992" s="5" t="s">
        <v>45</v>
      </c>
      <c r="G992" s="6"/>
      <c r="H992" s="7">
        <v>60</v>
      </c>
      <c r="I992" s="7">
        <v>60</v>
      </c>
      <c r="J992" s="7">
        <v>60</v>
      </c>
      <c r="K992" s="7">
        <v>60</v>
      </c>
    </row>
    <row r="993" spans="1:11" x14ac:dyDescent="0.3">
      <c r="A993" s="1">
        <v>62</v>
      </c>
      <c r="B993" s="1">
        <v>2024</v>
      </c>
      <c r="C993" s="3">
        <v>45497</v>
      </c>
      <c r="D993" s="8" t="s">
        <v>65</v>
      </c>
      <c r="E993" s="9" t="s">
        <v>70</v>
      </c>
      <c r="F993" s="9" t="s">
        <v>71</v>
      </c>
      <c r="G993" s="10"/>
      <c r="H993" s="11">
        <v>80</v>
      </c>
      <c r="I993" s="11">
        <v>80</v>
      </c>
      <c r="J993" s="11">
        <v>80</v>
      </c>
      <c r="K993" s="11">
        <v>80</v>
      </c>
    </row>
    <row r="994" spans="1:11" ht="28.8" x14ac:dyDescent="0.3">
      <c r="A994" s="1">
        <v>63</v>
      </c>
      <c r="B994" s="1">
        <v>2024</v>
      </c>
      <c r="C994" s="3">
        <v>45505</v>
      </c>
      <c r="D994" s="4" t="s">
        <v>11</v>
      </c>
      <c r="E994" s="5" t="s">
        <v>12</v>
      </c>
      <c r="F994" s="5" t="s">
        <v>13</v>
      </c>
      <c r="G994" s="7">
        <v>60</v>
      </c>
      <c r="H994" s="7">
        <v>48</v>
      </c>
      <c r="I994" s="7">
        <v>48</v>
      </c>
      <c r="J994" s="7">
        <v>60</v>
      </c>
      <c r="K994" s="7" t="s">
        <v>288</v>
      </c>
    </row>
    <row r="995" spans="1:11" ht="28.8" x14ac:dyDescent="0.3">
      <c r="A995" s="1">
        <v>63</v>
      </c>
      <c r="B995" s="1">
        <v>2024</v>
      </c>
      <c r="C995" s="3">
        <v>45505</v>
      </c>
      <c r="D995" s="8" t="s">
        <v>11</v>
      </c>
      <c r="E995" s="9" t="s">
        <v>14</v>
      </c>
      <c r="F995" s="9" t="s">
        <v>13</v>
      </c>
      <c r="G995" s="11">
        <v>84</v>
      </c>
      <c r="H995" s="11">
        <v>72</v>
      </c>
      <c r="I995" s="11">
        <v>72</v>
      </c>
      <c r="J995" s="11">
        <v>84</v>
      </c>
      <c r="K995" s="11">
        <v>78</v>
      </c>
    </row>
    <row r="996" spans="1:11" ht="28.8" x14ac:dyDescent="0.3">
      <c r="A996" s="1">
        <v>63</v>
      </c>
      <c r="B996" s="1">
        <v>2024</v>
      </c>
      <c r="C996" s="3">
        <v>45505</v>
      </c>
      <c r="D996" s="4" t="s">
        <v>11</v>
      </c>
      <c r="E996" s="5" t="s">
        <v>15</v>
      </c>
      <c r="F996" s="5" t="s">
        <v>13</v>
      </c>
      <c r="G996" s="7">
        <v>36</v>
      </c>
      <c r="H996" s="7">
        <v>36</v>
      </c>
      <c r="I996" s="7">
        <v>30</v>
      </c>
      <c r="J996" s="7">
        <v>42</v>
      </c>
      <c r="K996" s="7" t="s">
        <v>289</v>
      </c>
    </row>
    <row r="997" spans="1:11" ht="28.8" x14ac:dyDescent="0.3">
      <c r="A997" s="1">
        <v>63</v>
      </c>
      <c r="B997" s="1">
        <v>2024</v>
      </c>
      <c r="C997" s="3">
        <v>45505</v>
      </c>
      <c r="D997" s="8" t="s">
        <v>11</v>
      </c>
      <c r="E997" s="9" t="s">
        <v>16</v>
      </c>
      <c r="F997" s="9" t="s">
        <v>13</v>
      </c>
      <c r="G997" s="11">
        <v>24</v>
      </c>
      <c r="H997" s="11">
        <v>18</v>
      </c>
      <c r="I997" s="11">
        <v>18</v>
      </c>
      <c r="J997" s="11">
        <v>24</v>
      </c>
      <c r="K997" s="11" t="s">
        <v>290</v>
      </c>
    </row>
    <row r="998" spans="1:11" ht="28.8" x14ac:dyDescent="0.3">
      <c r="A998" s="1">
        <v>63</v>
      </c>
      <c r="B998" s="1">
        <v>2024</v>
      </c>
      <c r="C998" s="3">
        <v>45505</v>
      </c>
      <c r="D998" s="4" t="s">
        <v>11</v>
      </c>
      <c r="E998" s="5" t="s">
        <v>17</v>
      </c>
      <c r="F998" s="5" t="s">
        <v>13</v>
      </c>
      <c r="G998" s="7">
        <v>30</v>
      </c>
      <c r="H998" s="7">
        <v>24</v>
      </c>
      <c r="I998" s="7">
        <v>18</v>
      </c>
      <c r="J998" s="7">
        <v>24</v>
      </c>
      <c r="K998" s="7" t="s">
        <v>72</v>
      </c>
    </row>
    <row r="999" spans="1:11" ht="28.8" x14ac:dyDescent="0.3">
      <c r="A999" s="1">
        <v>63</v>
      </c>
      <c r="B999" s="1">
        <v>2024</v>
      </c>
      <c r="C999" s="3">
        <v>45505</v>
      </c>
      <c r="D999" s="8" t="s">
        <v>11</v>
      </c>
      <c r="E999" s="9" t="s">
        <v>18</v>
      </c>
      <c r="F999" s="9" t="s">
        <v>13</v>
      </c>
      <c r="G999" s="11">
        <v>60</v>
      </c>
      <c r="H999" s="11">
        <v>60</v>
      </c>
      <c r="I999" s="11">
        <v>60</v>
      </c>
      <c r="J999" s="11">
        <v>60</v>
      </c>
      <c r="K999" s="11">
        <v>60</v>
      </c>
    </row>
    <row r="1000" spans="1:11" ht="28.8" x14ac:dyDescent="0.3">
      <c r="A1000" s="1">
        <v>63</v>
      </c>
      <c r="B1000" s="1">
        <v>2024</v>
      </c>
      <c r="C1000" s="3">
        <v>45505</v>
      </c>
      <c r="D1000" s="4" t="s">
        <v>11</v>
      </c>
      <c r="E1000" s="5" t="s">
        <v>19</v>
      </c>
      <c r="F1000" s="5" t="s">
        <v>13</v>
      </c>
      <c r="G1000" s="7">
        <v>60</v>
      </c>
      <c r="H1000" s="7">
        <v>48</v>
      </c>
      <c r="I1000" s="7">
        <v>48</v>
      </c>
      <c r="J1000" s="7">
        <v>60</v>
      </c>
      <c r="K1000" s="7">
        <v>54</v>
      </c>
    </row>
    <row r="1001" spans="1:11" ht="28.8" x14ac:dyDescent="0.3">
      <c r="A1001" s="1">
        <v>63</v>
      </c>
      <c r="B1001" s="1">
        <v>2024</v>
      </c>
      <c r="C1001" s="3">
        <v>45505</v>
      </c>
      <c r="D1001" s="8" t="s">
        <v>11</v>
      </c>
      <c r="E1001" s="9" t="s">
        <v>20</v>
      </c>
      <c r="F1001" s="9" t="s">
        <v>13</v>
      </c>
      <c r="G1001" s="11">
        <v>84</v>
      </c>
      <c r="H1001" s="11">
        <v>60</v>
      </c>
      <c r="I1001" s="11">
        <v>60</v>
      </c>
      <c r="J1001" s="11">
        <v>84</v>
      </c>
      <c r="K1001" s="11">
        <v>72</v>
      </c>
    </row>
    <row r="1002" spans="1:11" ht="28.8" x14ac:dyDescent="0.3">
      <c r="A1002" s="1">
        <v>63</v>
      </c>
      <c r="B1002" s="1">
        <v>2024</v>
      </c>
      <c r="C1002" s="3">
        <v>45505</v>
      </c>
      <c r="D1002" s="4" t="s">
        <v>11</v>
      </c>
      <c r="E1002" s="5" t="s">
        <v>21</v>
      </c>
      <c r="F1002" s="5" t="s">
        <v>13</v>
      </c>
      <c r="G1002" s="7">
        <v>24</v>
      </c>
      <c r="H1002" s="7">
        <v>18</v>
      </c>
      <c r="I1002" s="7">
        <v>18</v>
      </c>
      <c r="J1002" s="7">
        <v>25</v>
      </c>
      <c r="K1002" s="7" t="s">
        <v>291</v>
      </c>
    </row>
    <row r="1003" spans="1:11" ht="28.8" x14ac:dyDescent="0.3">
      <c r="A1003" s="1">
        <v>63</v>
      </c>
      <c r="B1003" s="1">
        <v>2024</v>
      </c>
      <c r="C1003" s="3">
        <v>45505</v>
      </c>
      <c r="D1003" s="8" t="s">
        <v>11</v>
      </c>
      <c r="E1003" s="9" t="s">
        <v>73</v>
      </c>
      <c r="F1003" s="9" t="s">
        <v>13</v>
      </c>
      <c r="G1003" s="11">
        <v>72</v>
      </c>
      <c r="H1003" s="11">
        <v>60</v>
      </c>
      <c r="I1003" s="11">
        <v>60</v>
      </c>
      <c r="J1003" s="11">
        <v>84</v>
      </c>
      <c r="K1003" s="11">
        <v>72</v>
      </c>
    </row>
    <row r="1004" spans="1:11" ht="28.8" x14ac:dyDescent="0.3">
      <c r="A1004" s="1">
        <v>63</v>
      </c>
      <c r="B1004" s="1">
        <v>2024</v>
      </c>
      <c r="C1004" s="3">
        <v>45505</v>
      </c>
      <c r="D1004" s="4" t="s">
        <v>11</v>
      </c>
      <c r="E1004" s="5" t="s">
        <v>23</v>
      </c>
      <c r="F1004" s="5" t="s">
        <v>13</v>
      </c>
      <c r="G1004" s="7">
        <v>30</v>
      </c>
      <c r="H1004" s="7">
        <v>24</v>
      </c>
      <c r="I1004" s="7">
        <v>18</v>
      </c>
      <c r="J1004" s="7">
        <v>24</v>
      </c>
      <c r="K1004" s="7">
        <v>22</v>
      </c>
    </row>
    <row r="1005" spans="1:11" ht="28.8" x14ac:dyDescent="0.3">
      <c r="A1005" s="1">
        <v>63</v>
      </c>
      <c r="B1005" s="1">
        <v>2024</v>
      </c>
      <c r="C1005" s="3">
        <v>45505</v>
      </c>
      <c r="D1005" s="8" t="s">
        <v>11</v>
      </c>
      <c r="E1005" s="9" t="s">
        <v>24</v>
      </c>
      <c r="F1005" s="9" t="s">
        <v>13</v>
      </c>
      <c r="G1005" s="11">
        <v>60</v>
      </c>
      <c r="H1005" s="11">
        <v>60</v>
      </c>
      <c r="I1005" s="11">
        <v>60</v>
      </c>
      <c r="J1005" s="11">
        <v>72</v>
      </c>
      <c r="K1005" s="11">
        <v>66</v>
      </c>
    </row>
    <row r="1006" spans="1:11" ht="28.8" x14ac:dyDescent="0.3">
      <c r="A1006" s="1">
        <v>63</v>
      </c>
      <c r="B1006" s="1">
        <v>2024</v>
      </c>
      <c r="C1006" s="3">
        <v>45505</v>
      </c>
      <c r="D1006" s="4" t="s">
        <v>11</v>
      </c>
      <c r="E1006" s="5" t="s">
        <v>25</v>
      </c>
      <c r="F1006" s="5" t="s">
        <v>26</v>
      </c>
      <c r="G1006" s="7">
        <v>60</v>
      </c>
      <c r="H1006" s="7">
        <v>60</v>
      </c>
      <c r="I1006" s="7">
        <v>48</v>
      </c>
      <c r="J1006" s="7">
        <v>60</v>
      </c>
      <c r="K1006" s="7" t="s">
        <v>292</v>
      </c>
    </row>
    <row r="1007" spans="1:11" ht="28.8" x14ac:dyDescent="0.3">
      <c r="A1007" s="1">
        <v>63</v>
      </c>
      <c r="B1007" s="1">
        <v>2024</v>
      </c>
      <c r="C1007" s="3">
        <v>45505</v>
      </c>
      <c r="D1007" s="8" t="s">
        <v>11</v>
      </c>
      <c r="E1007" s="9" t="s">
        <v>27</v>
      </c>
      <c r="F1007" s="9" t="s">
        <v>13</v>
      </c>
      <c r="G1007" s="11">
        <v>60</v>
      </c>
      <c r="H1007" s="10"/>
      <c r="I1007" s="11">
        <v>48</v>
      </c>
      <c r="J1007" s="11">
        <v>78</v>
      </c>
      <c r="K1007" s="11">
        <v>59</v>
      </c>
    </row>
    <row r="1008" spans="1:11" ht="28.8" x14ac:dyDescent="0.3">
      <c r="A1008" s="1">
        <v>63</v>
      </c>
      <c r="B1008" s="1">
        <v>2024</v>
      </c>
      <c r="C1008" s="3">
        <v>45505</v>
      </c>
      <c r="D1008" s="4" t="s">
        <v>11</v>
      </c>
      <c r="E1008" s="5" t="s">
        <v>28</v>
      </c>
      <c r="F1008" s="5" t="s">
        <v>13</v>
      </c>
      <c r="G1008" s="7">
        <v>48</v>
      </c>
      <c r="H1008" s="7">
        <v>48</v>
      </c>
      <c r="I1008" s="7">
        <v>36</v>
      </c>
      <c r="J1008" s="7">
        <v>48</v>
      </c>
      <c r="K1008" s="7" t="s">
        <v>293</v>
      </c>
    </row>
    <row r="1009" spans="1:11" ht="28.8" x14ac:dyDescent="0.3">
      <c r="A1009" s="1">
        <v>63</v>
      </c>
      <c r="B1009" s="1">
        <v>2024</v>
      </c>
      <c r="C1009" s="3">
        <v>45505</v>
      </c>
      <c r="D1009" s="8" t="s">
        <v>11</v>
      </c>
      <c r="E1009" s="9" t="s">
        <v>29</v>
      </c>
      <c r="F1009" s="9" t="s">
        <v>13</v>
      </c>
      <c r="G1009" s="11">
        <v>54</v>
      </c>
      <c r="H1009" s="11">
        <v>48</v>
      </c>
      <c r="I1009" s="11">
        <v>48</v>
      </c>
      <c r="J1009" s="11">
        <v>54</v>
      </c>
      <c r="K1009" s="11" t="s">
        <v>294</v>
      </c>
    </row>
    <row r="1010" spans="1:11" ht="28.8" x14ac:dyDescent="0.3">
      <c r="A1010" s="1">
        <v>63</v>
      </c>
      <c r="B1010" s="1">
        <v>2024</v>
      </c>
      <c r="C1010" s="3">
        <v>45505</v>
      </c>
      <c r="D1010" s="4" t="s">
        <v>30</v>
      </c>
      <c r="E1010" s="5" t="s">
        <v>31</v>
      </c>
      <c r="F1010" s="5" t="s">
        <v>32</v>
      </c>
      <c r="G1010" s="7">
        <v>5</v>
      </c>
      <c r="H1010" s="7">
        <v>4</v>
      </c>
      <c r="I1010" s="7">
        <v>5</v>
      </c>
      <c r="J1010" s="7" t="s">
        <v>295</v>
      </c>
      <c r="K1010" s="7">
        <v>5</v>
      </c>
    </row>
    <row r="1011" spans="1:11" ht="28.8" x14ac:dyDescent="0.3">
      <c r="A1011" s="1">
        <v>63</v>
      </c>
      <c r="B1011" s="1">
        <v>2024</v>
      </c>
      <c r="C1011" s="3">
        <v>45505</v>
      </c>
      <c r="D1011" s="8" t="s">
        <v>30</v>
      </c>
      <c r="E1011" s="9" t="s">
        <v>34</v>
      </c>
      <c r="F1011" s="9" t="s">
        <v>35</v>
      </c>
      <c r="G1011" s="11">
        <v>12</v>
      </c>
      <c r="H1011" s="11">
        <v>10</v>
      </c>
      <c r="I1011" s="11">
        <v>12</v>
      </c>
      <c r="J1011" s="11" t="s">
        <v>296</v>
      </c>
      <c r="K1011" s="11">
        <v>12</v>
      </c>
    </row>
    <row r="1012" spans="1:11" ht="28.8" x14ac:dyDescent="0.3">
      <c r="A1012" s="1">
        <v>63</v>
      </c>
      <c r="B1012" s="1">
        <v>2024</v>
      </c>
      <c r="C1012" s="3">
        <v>45505</v>
      </c>
      <c r="D1012" s="4" t="s">
        <v>30</v>
      </c>
      <c r="E1012" s="5" t="s">
        <v>36</v>
      </c>
      <c r="F1012" s="5" t="s">
        <v>35</v>
      </c>
      <c r="G1012" s="7">
        <v>20</v>
      </c>
      <c r="H1012" s="7">
        <v>20</v>
      </c>
      <c r="I1012" s="7">
        <v>30</v>
      </c>
      <c r="J1012" s="7">
        <v>24</v>
      </c>
      <c r="K1012" s="7">
        <v>20</v>
      </c>
    </row>
    <row r="1013" spans="1:11" ht="43.2" x14ac:dyDescent="0.3">
      <c r="A1013" s="1">
        <v>63</v>
      </c>
      <c r="B1013" s="1">
        <v>2024</v>
      </c>
      <c r="C1013" s="3">
        <v>45505</v>
      </c>
      <c r="D1013" s="8" t="s">
        <v>38</v>
      </c>
      <c r="E1013" s="9" t="s">
        <v>153</v>
      </c>
      <c r="F1013" s="9" t="s">
        <v>154</v>
      </c>
      <c r="G1013" s="10"/>
      <c r="H1013" s="11">
        <v>80</v>
      </c>
      <c r="I1013" s="11">
        <v>80</v>
      </c>
      <c r="J1013" s="11">
        <v>80</v>
      </c>
      <c r="K1013" s="11">
        <v>80</v>
      </c>
    </row>
    <row r="1014" spans="1:11" ht="43.2" x14ac:dyDescent="0.3">
      <c r="A1014" s="1">
        <v>63</v>
      </c>
      <c r="B1014" s="1">
        <v>2024</v>
      </c>
      <c r="C1014" s="3">
        <v>45505</v>
      </c>
      <c r="D1014" s="4" t="s">
        <v>38</v>
      </c>
      <c r="E1014" s="5" t="s">
        <v>39</v>
      </c>
      <c r="F1014" s="5" t="s">
        <v>40</v>
      </c>
      <c r="G1014" s="7">
        <v>60</v>
      </c>
      <c r="H1014" s="7">
        <v>40</v>
      </c>
      <c r="I1014" s="7">
        <v>75</v>
      </c>
      <c r="J1014" s="7" t="s">
        <v>258</v>
      </c>
      <c r="K1014" s="7">
        <v>60</v>
      </c>
    </row>
    <row r="1015" spans="1:11" ht="43.2" x14ac:dyDescent="0.3">
      <c r="A1015" s="1">
        <v>63</v>
      </c>
      <c r="B1015" s="1">
        <v>2024</v>
      </c>
      <c r="C1015" s="3">
        <v>45505</v>
      </c>
      <c r="D1015" s="8" t="s">
        <v>38</v>
      </c>
      <c r="E1015" s="9" t="s">
        <v>42</v>
      </c>
      <c r="F1015" s="9" t="s">
        <v>43</v>
      </c>
      <c r="G1015" s="11">
        <v>70</v>
      </c>
      <c r="H1015" s="11">
        <v>45</v>
      </c>
      <c r="I1015" s="11">
        <v>75</v>
      </c>
      <c r="J1015" s="11" t="s">
        <v>131</v>
      </c>
      <c r="K1015" s="11">
        <v>65</v>
      </c>
    </row>
    <row r="1016" spans="1:11" ht="43.2" x14ac:dyDescent="0.3">
      <c r="A1016" s="1">
        <v>63</v>
      </c>
      <c r="B1016" s="1">
        <v>2024</v>
      </c>
      <c r="C1016" s="3">
        <v>45505</v>
      </c>
      <c r="D1016" s="4" t="s">
        <v>38</v>
      </c>
      <c r="E1016" s="5" t="s">
        <v>44</v>
      </c>
      <c r="F1016" s="5" t="s">
        <v>45</v>
      </c>
      <c r="G1016" s="7">
        <v>40</v>
      </c>
      <c r="H1016" s="7">
        <v>40</v>
      </c>
      <c r="I1016" s="7">
        <v>50</v>
      </c>
      <c r="J1016" s="7" t="s">
        <v>233</v>
      </c>
      <c r="K1016" s="7" t="s">
        <v>47</v>
      </c>
    </row>
    <row r="1017" spans="1:11" ht="43.2" x14ac:dyDescent="0.3">
      <c r="A1017" s="1">
        <v>63</v>
      </c>
      <c r="B1017" s="1">
        <v>2024</v>
      </c>
      <c r="C1017" s="3">
        <v>45505</v>
      </c>
      <c r="D1017" s="8" t="s">
        <v>38</v>
      </c>
      <c r="E1017" s="9" t="s">
        <v>48</v>
      </c>
      <c r="F1017" s="9" t="s">
        <v>45</v>
      </c>
      <c r="G1017" s="10"/>
      <c r="H1017" s="11">
        <v>90</v>
      </c>
      <c r="I1017" s="11">
        <v>105</v>
      </c>
      <c r="J1017" s="11" t="s">
        <v>156</v>
      </c>
      <c r="K1017" s="11" t="s">
        <v>156</v>
      </c>
    </row>
    <row r="1018" spans="1:11" ht="43.2" x14ac:dyDescent="0.3">
      <c r="A1018" s="1">
        <v>63</v>
      </c>
      <c r="B1018" s="1">
        <v>2024</v>
      </c>
      <c r="C1018" s="3">
        <v>45505</v>
      </c>
      <c r="D1018" s="4" t="s">
        <v>38</v>
      </c>
      <c r="E1018" s="5" t="s">
        <v>49</v>
      </c>
      <c r="F1018" s="5" t="s">
        <v>50</v>
      </c>
      <c r="G1018" s="7">
        <v>55</v>
      </c>
      <c r="H1018" s="7">
        <v>55</v>
      </c>
      <c r="I1018" s="7">
        <v>60</v>
      </c>
      <c r="J1018" s="7" t="s">
        <v>55</v>
      </c>
      <c r="K1018" s="7">
        <v>55</v>
      </c>
    </row>
    <row r="1019" spans="1:11" ht="43.2" x14ac:dyDescent="0.3">
      <c r="A1019" s="1">
        <v>63</v>
      </c>
      <c r="B1019" s="1">
        <v>2024</v>
      </c>
      <c r="C1019" s="3">
        <v>45505</v>
      </c>
      <c r="D1019" s="8" t="s">
        <v>38</v>
      </c>
      <c r="E1019" s="9" t="s">
        <v>52</v>
      </c>
      <c r="F1019" s="9" t="s">
        <v>43</v>
      </c>
      <c r="G1019" s="11">
        <v>60</v>
      </c>
      <c r="H1019" s="11">
        <v>45</v>
      </c>
      <c r="I1019" s="11">
        <v>60</v>
      </c>
      <c r="J1019" s="11" t="s">
        <v>242</v>
      </c>
      <c r="K1019" s="11">
        <v>55</v>
      </c>
    </row>
    <row r="1020" spans="1:11" ht="43.2" x14ac:dyDescent="0.3">
      <c r="A1020" s="1">
        <v>63</v>
      </c>
      <c r="B1020" s="1">
        <v>2024</v>
      </c>
      <c r="C1020" s="3">
        <v>45505</v>
      </c>
      <c r="D1020" s="4" t="s">
        <v>38</v>
      </c>
      <c r="E1020" s="5" t="s">
        <v>53</v>
      </c>
      <c r="F1020" s="5" t="s">
        <v>43</v>
      </c>
      <c r="G1020" s="7">
        <v>60</v>
      </c>
      <c r="H1020" s="7">
        <v>45</v>
      </c>
      <c r="I1020" s="7">
        <v>65</v>
      </c>
      <c r="J1020" s="7" t="s">
        <v>258</v>
      </c>
      <c r="K1020" s="7">
        <v>60</v>
      </c>
    </row>
    <row r="1021" spans="1:11" ht="43.2" x14ac:dyDescent="0.3">
      <c r="A1021" s="1">
        <v>63</v>
      </c>
      <c r="B1021" s="1">
        <v>2024</v>
      </c>
      <c r="C1021" s="3">
        <v>45505</v>
      </c>
      <c r="D1021" s="8" t="s">
        <v>38</v>
      </c>
      <c r="E1021" s="9" t="s">
        <v>54</v>
      </c>
      <c r="F1021" s="9" t="s">
        <v>40</v>
      </c>
      <c r="G1021" s="11">
        <v>90</v>
      </c>
      <c r="H1021" s="11">
        <v>60</v>
      </c>
      <c r="I1021" s="11">
        <v>100</v>
      </c>
      <c r="J1021" s="11">
        <v>86</v>
      </c>
      <c r="K1021" s="11">
        <v>90</v>
      </c>
    </row>
    <row r="1022" spans="1:11" ht="43.2" x14ac:dyDescent="0.3">
      <c r="A1022" s="1">
        <v>63</v>
      </c>
      <c r="B1022" s="1">
        <v>2024</v>
      </c>
      <c r="C1022" s="3">
        <v>45505</v>
      </c>
      <c r="D1022" s="4" t="s">
        <v>38</v>
      </c>
      <c r="E1022" s="5" t="s">
        <v>56</v>
      </c>
      <c r="F1022" s="5" t="s">
        <v>43</v>
      </c>
      <c r="G1022" s="7">
        <v>60</v>
      </c>
      <c r="H1022" s="7">
        <v>60</v>
      </c>
      <c r="I1022" s="7">
        <v>60</v>
      </c>
      <c r="J1022" s="7">
        <v>60</v>
      </c>
      <c r="K1022" s="7">
        <v>60</v>
      </c>
    </row>
    <row r="1023" spans="1:11" ht="43.2" x14ac:dyDescent="0.3">
      <c r="A1023" s="1">
        <v>63</v>
      </c>
      <c r="B1023" s="1">
        <v>2024</v>
      </c>
      <c r="C1023" s="3">
        <v>45505</v>
      </c>
      <c r="D1023" s="8" t="s">
        <v>38</v>
      </c>
      <c r="E1023" s="9" t="s">
        <v>57</v>
      </c>
      <c r="F1023" s="9" t="s">
        <v>40</v>
      </c>
      <c r="G1023" s="11">
        <v>65</v>
      </c>
      <c r="H1023" s="11">
        <v>50</v>
      </c>
      <c r="I1023" s="11">
        <v>65</v>
      </c>
      <c r="J1023" s="11">
        <v>60</v>
      </c>
      <c r="K1023" s="11" t="s">
        <v>80</v>
      </c>
    </row>
    <row r="1024" spans="1:11" ht="43.2" x14ac:dyDescent="0.3">
      <c r="A1024" s="1">
        <v>63</v>
      </c>
      <c r="B1024" s="1">
        <v>2024</v>
      </c>
      <c r="C1024" s="3">
        <v>45505</v>
      </c>
      <c r="D1024" s="4" t="s">
        <v>38</v>
      </c>
      <c r="E1024" s="5" t="s">
        <v>58</v>
      </c>
      <c r="F1024" s="5" t="s">
        <v>40</v>
      </c>
      <c r="G1024" s="7">
        <v>90</v>
      </c>
      <c r="H1024" s="7">
        <v>50</v>
      </c>
      <c r="I1024" s="7">
        <v>90</v>
      </c>
      <c r="J1024" s="7" t="s">
        <v>158</v>
      </c>
      <c r="K1024" s="7">
        <v>80</v>
      </c>
    </row>
    <row r="1025" spans="1:11" ht="43.2" x14ac:dyDescent="0.3">
      <c r="A1025" s="1">
        <v>63</v>
      </c>
      <c r="B1025" s="1">
        <v>2024</v>
      </c>
      <c r="C1025" s="3">
        <v>45505</v>
      </c>
      <c r="D1025" s="8" t="s">
        <v>38</v>
      </c>
      <c r="E1025" s="9" t="s">
        <v>59</v>
      </c>
      <c r="F1025" s="9" t="s">
        <v>45</v>
      </c>
      <c r="G1025" s="11">
        <v>50</v>
      </c>
      <c r="H1025" s="11">
        <v>40</v>
      </c>
      <c r="I1025" s="11">
        <v>80</v>
      </c>
      <c r="J1025" s="11">
        <v>55</v>
      </c>
      <c r="K1025" s="11">
        <v>50</v>
      </c>
    </row>
    <row r="1026" spans="1:11" ht="43.2" x14ac:dyDescent="0.3">
      <c r="A1026" s="1">
        <v>63</v>
      </c>
      <c r="B1026" s="1">
        <v>2024</v>
      </c>
      <c r="C1026" s="3">
        <v>45505</v>
      </c>
      <c r="D1026" s="4" t="s">
        <v>38</v>
      </c>
      <c r="E1026" s="5" t="s">
        <v>60</v>
      </c>
      <c r="F1026" s="5" t="s">
        <v>61</v>
      </c>
      <c r="G1026" s="7">
        <v>120</v>
      </c>
      <c r="H1026" s="7">
        <v>100</v>
      </c>
      <c r="I1026" s="7">
        <v>150</v>
      </c>
      <c r="J1026" s="7">
        <v>125</v>
      </c>
      <c r="K1026" s="7">
        <v>125</v>
      </c>
    </row>
    <row r="1027" spans="1:11" ht="43.2" x14ac:dyDescent="0.3">
      <c r="A1027" s="1">
        <v>63</v>
      </c>
      <c r="B1027" s="1">
        <v>2024</v>
      </c>
      <c r="C1027" s="3">
        <v>45505</v>
      </c>
      <c r="D1027" s="8" t="s">
        <v>38</v>
      </c>
      <c r="E1027" s="9" t="s">
        <v>63</v>
      </c>
      <c r="F1027" s="9" t="s">
        <v>40</v>
      </c>
      <c r="G1027" s="11">
        <v>80</v>
      </c>
      <c r="H1027" s="11">
        <v>50</v>
      </c>
      <c r="I1027" s="11">
        <v>90</v>
      </c>
      <c r="J1027" s="11" t="s">
        <v>132</v>
      </c>
      <c r="K1027" s="11">
        <v>75</v>
      </c>
    </row>
    <row r="1028" spans="1:11" ht="43.2" x14ac:dyDescent="0.3">
      <c r="A1028" s="1">
        <v>63</v>
      </c>
      <c r="B1028" s="1">
        <v>2024</v>
      </c>
      <c r="C1028" s="3">
        <v>45505</v>
      </c>
      <c r="D1028" s="4" t="s">
        <v>38</v>
      </c>
      <c r="E1028" s="5" t="s">
        <v>64</v>
      </c>
      <c r="F1028" s="5" t="s">
        <v>40</v>
      </c>
      <c r="G1028" s="6"/>
      <c r="H1028" s="7">
        <v>85</v>
      </c>
      <c r="I1028" s="7">
        <v>190</v>
      </c>
      <c r="J1028" s="7" t="s">
        <v>297</v>
      </c>
      <c r="K1028" s="7">
        <v>150</v>
      </c>
    </row>
    <row r="1029" spans="1:11" x14ac:dyDescent="0.3">
      <c r="A1029" s="1">
        <v>63</v>
      </c>
      <c r="B1029" s="1">
        <v>2024</v>
      </c>
      <c r="C1029" s="3">
        <v>45505</v>
      </c>
      <c r="D1029" s="8" t="s">
        <v>65</v>
      </c>
      <c r="E1029" s="9" t="s">
        <v>66</v>
      </c>
      <c r="F1029" s="9" t="s">
        <v>45</v>
      </c>
      <c r="G1029" s="10"/>
      <c r="H1029" s="10"/>
      <c r="I1029" s="10"/>
      <c r="J1029" s="10"/>
      <c r="K1029" s="10"/>
    </row>
    <row r="1030" spans="1:11" x14ac:dyDescent="0.3">
      <c r="A1030" s="1">
        <v>63</v>
      </c>
      <c r="B1030" s="1">
        <v>2024</v>
      </c>
      <c r="C1030" s="3">
        <v>45505</v>
      </c>
      <c r="D1030" s="4" t="s">
        <v>65</v>
      </c>
      <c r="E1030" s="5" t="s">
        <v>67</v>
      </c>
      <c r="F1030" s="5" t="s">
        <v>45</v>
      </c>
      <c r="G1030" s="6"/>
      <c r="H1030" s="6"/>
      <c r="I1030" s="6"/>
      <c r="J1030" s="6"/>
      <c r="K1030" s="6"/>
    </row>
    <row r="1031" spans="1:11" x14ac:dyDescent="0.3">
      <c r="A1031" s="1">
        <v>63</v>
      </c>
      <c r="B1031" s="1">
        <v>2024</v>
      </c>
      <c r="C1031" s="3">
        <v>45505</v>
      </c>
      <c r="D1031" s="8" t="s">
        <v>65</v>
      </c>
      <c r="E1031" s="9" t="s">
        <v>68</v>
      </c>
      <c r="F1031" s="9" t="s">
        <v>45</v>
      </c>
      <c r="G1031" s="10"/>
      <c r="H1031" s="10"/>
      <c r="I1031" s="10"/>
      <c r="J1031" s="10"/>
      <c r="K1031" s="10"/>
    </row>
    <row r="1032" spans="1:11" x14ac:dyDescent="0.3">
      <c r="A1032" s="1">
        <v>63</v>
      </c>
      <c r="B1032" s="1">
        <v>2024</v>
      </c>
      <c r="C1032" s="3">
        <v>45505</v>
      </c>
      <c r="D1032" s="4" t="s">
        <v>65</v>
      </c>
      <c r="E1032" s="5" t="s">
        <v>69</v>
      </c>
      <c r="F1032" s="5" t="s">
        <v>45</v>
      </c>
      <c r="G1032" s="6"/>
      <c r="H1032" s="7">
        <v>65</v>
      </c>
      <c r="I1032" s="7">
        <v>65</v>
      </c>
      <c r="J1032" s="7">
        <v>65</v>
      </c>
      <c r="K1032" s="7">
        <v>65</v>
      </c>
    </row>
    <row r="1033" spans="1:11" x14ac:dyDescent="0.3">
      <c r="A1033" s="1">
        <v>63</v>
      </c>
      <c r="B1033" s="1">
        <v>2024</v>
      </c>
      <c r="C1033" s="3">
        <v>45505</v>
      </c>
      <c r="D1033" s="8" t="s">
        <v>65</v>
      </c>
      <c r="E1033" s="9" t="s">
        <v>70</v>
      </c>
      <c r="F1033" s="9" t="s">
        <v>71</v>
      </c>
      <c r="G1033" s="10"/>
      <c r="H1033" s="11">
        <v>50</v>
      </c>
      <c r="I1033" s="11">
        <v>50</v>
      </c>
      <c r="J1033" s="11">
        <v>50</v>
      </c>
      <c r="K1033" s="11">
        <v>50</v>
      </c>
    </row>
    <row r="1034" spans="1:11" ht="28.8" x14ac:dyDescent="0.3">
      <c r="A1034" s="1">
        <v>64</v>
      </c>
      <c r="B1034" s="1">
        <v>2024</v>
      </c>
      <c r="C1034" s="3">
        <v>45513</v>
      </c>
      <c r="D1034" s="4" t="s">
        <v>11</v>
      </c>
      <c r="E1034" s="5" t="s">
        <v>12</v>
      </c>
      <c r="F1034" s="5" t="s">
        <v>13</v>
      </c>
      <c r="G1034" s="6"/>
      <c r="H1034" s="7">
        <v>48</v>
      </c>
      <c r="I1034" s="7">
        <v>60</v>
      </c>
      <c r="J1034" s="7">
        <v>54</v>
      </c>
      <c r="K1034" s="7">
        <v>54</v>
      </c>
    </row>
    <row r="1035" spans="1:11" ht="28.8" x14ac:dyDescent="0.3">
      <c r="A1035" s="1">
        <v>64</v>
      </c>
      <c r="B1035" s="1">
        <v>2024</v>
      </c>
      <c r="C1035" s="3">
        <v>45513</v>
      </c>
      <c r="D1035" s="8" t="s">
        <v>11</v>
      </c>
      <c r="E1035" s="9" t="s">
        <v>14</v>
      </c>
      <c r="F1035" s="9" t="s">
        <v>13</v>
      </c>
      <c r="G1035" s="10"/>
      <c r="H1035" s="11">
        <v>60</v>
      </c>
      <c r="I1035" s="11">
        <v>84</v>
      </c>
      <c r="J1035" s="11">
        <v>72</v>
      </c>
      <c r="K1035" s="11">
        <v>72</v>
      </c>
    </row>
    <row r="1036" spans="1:11" ht="28.8" x14ac:dyDescent="0.3">
      <c r="A1036" s="1">
        <v>64</v>
      </c>
      <c r="B1036" s="1">
        <v>2024</v>
      </c>
      <c r="C1036" s="3">
        <v>45513</v>
      </c>
      <c r="D1036" s="4" t="s">
        <v>11</v>
      </c>
      <c r="E1036" s="5" t="s">
        <v>15</v>
      </c>
      <c r="F1036" s="5" t="s">
        <v>13</v>
      </c>
      <c r="G1036" s="6"/>
      <c r="H1036" s="7">
        <v>30</v>
      </c>
      <c r="I1036" s="7">
        <v>36</v>
      </c>
      <c r="J1036" s="7" t="s">
        <v>208</v>
      </c>
      <c r="K1036" s="7">
        <v>35</v>
      </c>
    </row>
    <row r="1037" spans="1:11" ht="28.8" x14ac:dyDescent="0.3">
      <c r="A1037" s="1">
        <v>64</v>
      </c>
      <c r="B1037" s="1">
        <v>2024</v>
      </c>
      <c r="C1037" s="3">
        <v>45513</v>
      </c>
      <c r="D1037" s="8" t="s">
        <v>11</v>
      </c>
      <c r="E1037" s="9" t="s">
        <v>16</v>
      </c>
      <c r="F1037" s="9" t="s">
        <v>13</v>
      </c>
      <c r="G1037" s="11">
        <v>18</v>
      </c>
      <c r="H1037" s="11">
        <v>15</v>
      </c>
      <c r="I1037" s="11">
        <v>18</v>
      </c>
      <c r="J1037" s="11">
        <v>17</v>
      </c>
      <c r="K1037" s="11">
        <v>18</v>
      </c>
    </row>
    <row r="1038" spans="1:11" ht="28.8" x14ac:dyDescent="0.3">
      <c r="A1038" s="1">
        <v>64</v>
      </c>
      <c r="B1038" s="1">
        <v>2024</v>
      </c>
      <c r="C1038" s="3">
        <v>45513</v>
      </c>
      <c r="D1038" s="4" t="s">
        <v>11</v>
      </c>
      <c r="E1038" s="5" t="s">
        <v>17</v>
      </c>
      <c r="F1038" s="5" t="s">
        <v>13</v>
      </c>
      <c r="G1038" s="6"/>
      <c r="H1038" s="7">
        <v>15</v>
      </c>
      <c r="I1038" s="7">
        <v>60</v>
      </c>
      <c r="J1038" s="7" t="s">
        <v>86</v>
      </c>
      <c r="K1038" s="7" t="s">
        <v>86</v>
      </c>
    </row>
    <row r="1039" spans="1:11" ht="28.8" x14ac:dyDescent="0.3">
      <c r="A1039" s="1">
        <v>64</v>
      </c>
      <c r="B1039" s="1">
        <v>2024</v>
      </c>
      <c r="C1039" s="3">
        <v>45513</v>
      </c>
      <c r="D1039" s="8" t="s">
        <v>11</v>
      </c>
      <c r="E1039" s="9" t="s">
        <v>18</v>
      </c>
      <c r="F1039" s="9" t="s">
        <v>13</v>
      </c>
      <c r="G1039" s="11">
        <v>60</v>
      </c>
      <c r="H1039" s="11">
        <v>60</v>
      </c>
      <c r="I1039" s="11">
        <v>60</v>
      </c>
      <c r="J1039" s="11">
        <v>60</v>
      </c>
      <c r="K1039" s="11">
        <v>60</v>
      </c>
    </row>
    <row r="1040" spans="1:11" ht="28.8" x14ac:dyDescent="0.3">
      <c r="A1040" s="1">
        <v>64</v>
      </c>
      <c r="B1040" s="1">
        <v>2024</v>
      </c>
      <c r="C1040" s="3">
        <v>45513</v>
      </c>
      <c r="D1040" s="4" t="s">
        <v>11</v>
      </c>
      <c r="E1040" s="5" t="s">
        <v>19</v>
      </c>
      <c r="F1040" s="5" t="s">
        <v>13</v>
      </c>
      <c r="G1040" s="6"/>
      <c r="H1040" s="7">
        <v>60</v>
      </c>
      <c r="I1040" s="7">
        <v>72</v>
      </c>
      <c r="J1040" s="7">
        <v>66</v>
      </c>
      <c r="K1040" s="7">
        <v>66</v>
      </c>
    </row>
    <row r="1041" spans="1:11" ht="28.8" x14ac:dyDescent="0.3">
      <c r="A1041" s="1">
        <v>64</v>
      </c>
      <c r="B1041" s="1">
        <v>2024</v>
      </c>
      <c r="C1041" s="3">
        <v>45513</v>
      </c>
      <c r="D1041" s="8" t="s">
        <v>11</v>
      </c>
      <c r="E1041" s="9" t="s">
        <v>20</v>
      </c>
      <c r="F1041" s="9" t="s">
        <v>13</v>
      </c>
      <c r="G1041" s="11">
        <v>72</v>
      </c>
      <c r="H1041" s="11">
        <v>72</v>
      </c>
      <c r="I1041" s="11">
        <v>72</v>
      </c>
      <c r="J1041" s="11">
        <v>72</v>
      </c>
      <c r="K1041" s="11">
        <v>72</v>
      </c>
    </row>
    <row r="1042" spans="1:11" ht="28.8" x14ac:dyDescent="0.3">
      <c r="A1042" s="1">
        <v>64</v>
      </c>
      <c r="B1042" s="1">
        <v>2024</v>
      </c>
      <c r="C1042" s="3">
        <v>45513</v>
      </c>
      <c r="D1042" s="4" t="s">
        <v>11</v>
      </c>
      <c r="E1042" s="5" t="s">
        <v>21</v>
      </c>
      <c r="F1042" s="5" t="s">
        <v>13</v>
      </c>
      <c r="G1042" s="7">
        <v>18</v>
      </c>
      <c r="H1042" s="7">
        <v>18</v>
      </c>
      <c r="I1042" s="7">
        <v>24</v>
      </c>
      <c r="J1042" s="7">
        <v>20</v>
      </c>
      <c r="K1042" s="7">
        <v>18</v>
      </c>
    </row>
    <row r="1043" spans="1:11" ht="28.8" x14ac:dyDescent="0.3">
      <c r="A1043" s="1">
        <v>64</v>
      </c>
      <c r="B1043" s="1">
        <v>2024</v>
      </c>
      <c r="C1043" s="3">
        <v>45513</v>
      </c>
      <c r="D1043" s="8" t="s">
        <v>11</v>
      </c>
      <c r="E1043" s="9" t="s">
        <v>73</v>
      </c>
      <c r="F1043" s="9" t="s">
        <v>13</v>
      </c>
      <c r="G1043" s="10"/>
      <c r="H1043" s="11">
        <v>72</v>
      </c>
      <c r="I1043" s="11">
        <v>84</v>
      </c>
      <c r="J1043" s="11">
        <v>78</v>
      </c>
      <c r="K1043" s="11">
        <v>78</v>
      </c>
    </row>
    <row r="1044" spans="1:11" ht="28.8" x14ac:dyDescent="0.3">
      <c r="A1044" s="1">
        <v>64</v>
      </c>
      <c r="B1044" s="1">
        <v>2024</v>
      </c>
      <c r="C1044" s="3">
        <v>45513</v>
      </c>
      <c r="D1044" s="4" t="s">
        <v>11</v>
      </c>
      <c r="E1044" s="5" t="s">
        <v>23</v>
      </c>
      <c r="F1044" s="5" t="s">
        <v>13</v>
      </c>
      <c r="G1044" s="6"/>
      <c r="H1044" s="7">
        <v>15</v>
      </c>
      <c r="I1044" s="7">
        <v>24</v>
      </c>
      <c r="J1044" s="7">
        <v>19</v>
      </c>
      <c r="K1044" s="7">
        <v>18</v>
      </c>
    </row>
    <row r="1045" spans="1:11" ht="28.8" x14ac:dyDescent="0.3">
      <c r="A1045" s="1">
        <v>64</v>
      </c>
      <c r="B1045" s="1">
        <v>2024</v>
      </c>
      <c r="C1045" s="3">
        <v>45513</v>
      </c>
      <c r="D1045" s="8" t="s">
        <v>11</v>
      </c>
      <c r="E1045" s="9" t="s">
        <v>24</v>
      </c>
      <c r="F1045" s="9" t="s">
        <v>13</v>
      </c>
      <c r="G1045" s="10"/>
      <c r="H1045" s="11">
        <v>48</v>
      </c>
      <c r="I1045" s="11">
        <v>72</v>
      </c>
      <c r="J1045" s="11">
        <v>60</v>
      </c>
      <c r="K1045" s="11">
        <v>60</v>
      </c>
    </row>
    <row r="1046" spans="1:11" ht="28.8" x14ac:dyDescent="0.3">
      <c r="A1046" s="1">
        <v>64</v>
      </c>
      <c r="B1046" s="1">
        <v>2024</v>
      </c>
      <c r="C1046" s="3">
        <v>45513</v>
      </c>
      <c r="D1046" s="4" t="s">
        <v>11</v>
      </c>
      <c r="E1046" s="5" t="s">
        <v>25</v>
      </c>
      <c r="F1046" s="5" t="s">
        <v>26</v>
      </c>
      <c r="G1046" s="7">
        <v>60</v>
      </c>
      <c r="H1046" s="7">
        <v>48</v>
      </c>
      <c r="I1046" s="7">
        <v>60</v>
      </c>
      <c r="J1046" s="7">
        <v>56</v>
      </c>
      <c r="K1046" s="7">
        <v>60</v>
      </c>
    </row>
    <row r="1047" spans="1:11" ht="28.8" x14ac:dyDescent="0.3">
      <c r="A1047" s="1">
        <v>64</v>
      </c>
      <c r="B1047" s="1">
        <v>2024</v>
      </c>
      <c r="C1047" s="3">
        <v>45513</v>
      </c>
      <c r="D1047" s="8" t="s">
        <v>11</v>
      </c>
      <c r="E1047" s="9" t="s">
        <v>27</v>
      </c>
      <c r="F1047" s="9" t="s">
        <v>13</v>
      </c>
      <c r="G1047" s="10"/>
      <c r="H1047" s="11">
        <v>45</v>
      </c>
      <c r="I1047" s="11">
        <v>60</v>
      </c>
      <c r="J1047" s="11" t="s">
        <v>78</v>
      </c>
      <c r="K1047" s="11" t="s">
        <v>78</v>
      </c>
    </row>
    <row r="1048" spans="1:11" ht="28.8" x14ac:dyDescent="0.3">
      <c r="A1048" s="1">
        <v>64</v>
      </c>
      <c r="B1048" s="1">
        <v>2024</v>
      </c>
      <c r="C1048" s="3">
        <v>45513</v>
      </c>
      <c r="D1048" s="4" t="s">
        <v>11</v>
      </c>
      <c r="E1048" s="5" t="s">
        <v>28</v>
      </c>
      <c r="F1048" s="5" t="s">
        <v>13</v>
      </c>
      <c r="G1048" s="6"/>
      <c r="H1048" s="7">
        <v>36</v>
      </c>
      <c r="I1048" s="7">
        <v>40</v>
      </c>
      <c r="J1048" s="7">
        <v>38</v>
      </c>
      <c r="K1048" s="7">
        <v>38</v>
      </c>
    </row>
    <row r="1049" spans="1:11" ht="28.8" x14ac:dyDescent="0.3">
      <c r="A1049" s="1">
        <v>64</v>
      </c>
      <c r="B1049" s="1">
        <v>2024</v>
      </c>
      <c r="C1049" s="3">
        <v>45513</v>
      </c>
      <c r="D1049" s="8" t="s">
        <v>11</v>
      </c>
      <c r="E1049" s="9" t="s">
        <v>29</v>
      </c>
      <c r="F1049" s="9" t="s">
        <v>13</v>
      </c>
      <c r="G1049" s="10"/>
      <c r="H1049" s="11">
        <v>42</v>
      </c>
      <c r="I1049" s="11">
        <v>54</v>
      </c>
      <c r="J1049" s="11">
        <v>48</v>
      </c>
      <c r="K1049" s="11">
        <v>48</v>
      </c>
    </row>
    <row r="1050" spans="1:11" ht="28.8" x14ac:dyDescent="0.3">
      <c r="A1050" s="1">
        <v>64</v>
      </c>
      <c r="B1050" s="1">
        <v>2024</v>
      </c>
      <c r="C1050" s="3">
        <v>45513</v>
      </c>
      <c r="D1050" s="4" t="s">
        <v>30</v>
      </c>
      <c r="E1050" s="5" t="s">
        <v>31</v>
      </c>
      <c r="F1050" s="5" t="s">
        <v>32</v>
      </c>
      <c r="G1050" s="7">
        <v>5</v>
      </c>
      <c r="H1050" s="7">
        <v>5</v>
      </c>
      <c r="I1050" s="7">
        <v>5</v>
      </c>
      <c r="J1050" s="7">
        <v>5</v>
      </c>
      <c r="K1050" s="7">
        <v>5</v>
      </c>
    </row>
    <row r="1051" spans="1:11" ht="28.8" x14ac:dyDescent="0.3">
      <c r="A1051" s="1">
        <v>64</v>
      </c>
      <c r="B1051" s="1">
        <v>2024</v>
      </c>
      <c r="C1051" s="3">
        <v>45513</v>
      </c>
      <c r="D1051" s="8" t="s">
        <v>30</v>
      </c>
      <c r="E1051" s="9" t="s">
        <v>34</v>
      </c>
      <c r="F1051" s="9" t="s">
        <v>35</v>
      </c>
      <c r="G1051" s="11">
        <v>12</v>
      </c>
      <c r="H1051" s="11">
        <v>10</v>
      </c>
      <c r="I1051" s="11">
        <v>12</v>
      </c>
      <c r="J1051" s="11" t="s">
        <v>298</v>
      </c>
      <c r="K1051" s="11">
        <v>12</v>
      </c>
    </row>
    <row r="1052" spans="1:11" ht="28.8" x14ac:dyDescent="0.3">
      <c r="A1052" s="1">
        <v>64</v>
      </c>
      <c r="B1052" s="1">
        <v>2024</v>
      </c>
      <c r="C1052" s="3">
        <v>45513</v>
      </c>
      <c r="D1052" s="4" t="s">
        <v>30</v>
      </c>
      <c r="E1052" s="5" t="s">
        <v>36</v>
      </c>
      <c r="F1052" s="5" t="s">
        <v>35</v>
      </c>
      <c r="G1052" s="6"/>
      <c r="H1052" s="7">
        <v>15</v>
      </c>
      <c r="I1052" s="7">
        <v>30</v>
      </c>
      <c r="J1052" s="7" t="s">
        <v>299</v>
      </c>
      <c r="K1052" s="7">
        <v>20</v>
      </c>
    </row>
    <row r="1053" spans="1:11" ht="43.2" x14ac:dyDescent="0.3">
      <c r="A1053" s="1">
        <v>64</v>
      </c>
      <c r="B1053" s="1">
        <v>2024</v>
      </c>
      <c r="C1053" s="3">
        <v>45513</v>
      </c>
      <c r="D1053" s="8" t="s">
        <v>38</v>
      </c>
      <c r="E1053" s="9" t="s">
        <v>153</v>
      </c>
      <c r="F1053" s="9" t="s">
        <v>154</v>
      </c>
      <c r="G1053" s="10"/>
      <c r="H1053" s="11">
        <v>75</v>
      </c>
      <c r="I1053" s="11">
        <v>80</v>
      </c>
      <c r="J1053" s="11" t="s">
        <v>134</v>
      </c>
      <c r="K1053" s="11" t="s">
        <v>134</v>
      </c>
    </row>
    <row r="1054" spans="1:11" ht="43.2" x14ac:dyDescent="0.3">
      <c r="A1054" s="1">
        <v>64</v>
      </c>
      <c r="B1054" s="1">
        <v>2024</v>
      </c>
      <c r="C1054" s="3">
        <v>45513</v>
      </c>
      <c r="D1054" s="4" t="s">
        <v>38</v>
      </c>
      <c r="E1054" s="5" t="s">
        <v>39</v>
      </c>
      <c r="F1054" s="5" t="s">
        <v>40</v>
      </c>
      <c r="G1054" s="7">
        <v>50</v>
      </c>
      <c r="H1054" s="7">
        <v>40</v>
      </c>
      <c r="I1054" s="7">
        <v>60</v>
      </c>
      <c r="J1054" s="7">
        <v>51</v>
      </c>
      <c r="K1054" s="7">
        <v>50</v>
      </c>
    </row>
    <row r="1055" spans="1:11" ht="43.2" x14ac:dyDescent="0.3">
      <c r="A1055" s="1">
        <v>64</v>
      </c>
      <c r="B1055" s="1">
        <v>2024</v>
      </c>
      <c r="C1055" s="3">
        <v>45513</v>
      </c>
      <c r="D1055" s="8" t="s">
        <v>38</v>
      </c>
      <c r="E1055" s="9" t="s">
        <v>42</v>
      </c>
      <c r="F1055" s="9" t="s">
        <v>43</v>
      </c>
      <c r="G1055" s="11">
        <v>70</v>
      </c>
      <c r="H1055" s="11">
        <v>40</v>
      </c>
      <c r="I1055" s="11">
        <v>70</v>
      </c>
      <c r="J1055" s="11">
        <v>55</v>
      </c>
      <c r="K1055" s="11">
        <v>50</v>
      </c>
    </row>
    <row r="1056" spans="1:11" ht="43.2" x14ac:dyDescent="0.3">
      <c r="A1056" s="1">
        <v>64</v>
      </c>
      <c r="B1056" s="1">
        <v>2024</v>
      </c>
      <c r="C1056" s="3">
        <v>45513</v>
      </c>
      <c r="D1056" s="4" t="s">
        <v>38</v>
      </c>
      <c r="E1056" s="5" t="s">
        <v>44</v>
      </c>
      <c r="F1056" s="5" t="s">
        <v>45</v>
      </c>
      <c r="G1056" s="7">
        <v>50</v>
      </c>
      <c r="H1056" s="7">
        <v>35</v>
      </c>
      <c r="I1056" s="7">
        <v>50</v>
      </c>
      <c r="J1056" s="7">
        <v>44</v>
      </c>
      <c r="K1056" s="7">
        <v>45</v>
      </c>
    </row>
    <row r="1057" spans="1:11" ht="43.2" x14ac:dyDescent="0.3">
      <c r="A1057" s="1">
        <v>64</v>
      </c>
      <c r="B1057" s="1">
        <v>2024</v>
      </c>
      <c r="C1057" s="3">
        <v>45513</v>
      </c>
      <c r="D1057" s="8" t="s">
        <v>38</v>
      </c>
      <c r="E1057" s="9" t="s">
        <v>48</v>
      </c>
      <c r="F1057" s="9" t="s">
        <v>45</v>
      </c>
      <c r="G1057" s="10"/>
      <c r="H1057" s="11">
        <v>90</v>
      </c>
      <c r="I1057" s="11">
        <v>100</v>
      </c>
      <c r="J1057" s="11">
        <v>95</v>
      </c>
      <c r="K1057" s="11">
        <v>95</v>
      </c>
    </row>
    <row r="1058" spans="1:11" ht="43.2" x14ac:dyDescent="0.3">
      <c r="A1058" s="1">
        <v>64</v>
      </c>
      <c r="B1058" s="1">
        <v>2024</v>
      </c>
      <c r="C1058" s="3">
        <v>45513</v>
      </c>
      <c r="D1058" s="4" t="s">
        <v>38</v>
      </c>
      <c r="E1058" s="5" t="s">
        <v>49</v>
      </c>
      <c r="F1058" s="5" t="s">
        <v>50</v>
      </c>
      <c r="G1058" s="7">
        <v>60</v>
      </c>
      <c r="H1058" s="7">
        <v>57</v>
      </c>
      <c r="I1058" s="7">
        <v>60</v>
      </c>
      <c r="J1058" s="7" t="s">
        <v>300</v>
      </c>
      <c r="K1058" s="7">
        <v>60</v>
      </c>
    </row>
    <row r="1059" spans="1:11" ht="43.2" x14ac:dyDescent="0.3">
      <c r="A1059" s="1">
        <v>64</v>
      </c>
      <c r="B1059" s="1">
        <v>2024</v>
      </c>
      <c r="C1059" s="3">
        <v>45513</v>
      </c>
      <c r="D1059" s="8" t="s">
        <v>38</v>
      </c>
      <c r="E1059" s="9" t="s">
        <v>52</v>
      </c>
      <c r="F1059" s="9" t="s">
        <v>43</v>
      </c>
      <c r="G1059" s="11">
        <v>60</v>
      </c>
      <c r="H1059" s="11">
        <v>40</v>
      </c>
      <c r="I1059" s="11">
        <v>60</v>
      </c>
      <c r="J1059" s="11">
        <v>55</v>
      </c>
      <c r="K1059" s="11">
        <v>60</v>
      </c>
    </row>
    <row r="1060" spans="1:11" ht="43.2" x14ac:dyDescent="0.3">
      <c r="A1060" s="1">
        <v>64</v>
      </c>
      <c r="B1060" s="1">
        <v>2024</v>
      </c>
      <c r="C1060" s="3">
        <v>45513</v>
      </c>
      <c r="D1060" s="4" t="s">
        <v>38</v>
      </c>
      <c r="E1060" s="5" t="s">
        <v>53</v>
      </c>
      <c r="F1060" s="5" t="s">
        <v>43</v>
      </c>
      <c r="G1060" s="7">
        <v>45</v>
      </c>
      <c r="H1060" s="7">
        <v>45</v>
      </c>
      <c r="I1060" s="7">
        <v>75</v>
      </c>
      <c r="J1060" s="7">
        <v>57</v>
      </c>
      <c r="K1060" s="7">
        <v>60</v>
      </c>
    </row>
    <row r="1061" spans="1:11" ht="43.2" x14ac:dyDescent="0.3">
      <c r="A1061" s="1">
        <v>64</v>
      </c>
      <c r="B1061" s="1">
        <v>2024</v>
      </c>
      <c r="C1061" s="3">
        <v>45513</v>
      </c>
      <c r="D1061" s="8" t="s">
        <v>38</v>
      </c>
      <c r="E1061" s="9" t="s">
        <v>54</v>
      </c>
      <c r="F1061" s="9" t="s">
        <v>40</v>
      </c>
      <c r="G1061" s="10"/>
      <c r="H1061" s="11">
        <v>70</v>
      </c>
      <c r="I1061" s="11">
        <v>100</v>
      </c>
      <c r="J1061" s="11">
        <v>85</v>
      </c>
      <c r="K1061" s="11">
        <v>85</v>
      </c>
    </row>
    <row r="1062" spans="1:11" ht="43.2" x14ac:dyDescent="0.3">
      <c r="A1062" s="1">
        <v>64</v>
      </c>
      <c r="B1062" s="1">
        <v>2024</v>
      </c>
      <c r="C1062" s="3">
        <v>45513</v>
      </c>
      <c r="D1062" s="4" t="s">
        <v>38</v>
      </c>
      <c r="E1062" s="5" t="s">
        <v>56</v>
      </c>
      <c r="F1062" s="5" t="s">
        <v>43</v>
      </c>
      <c r="G1062" s="6"/>
      <c r="H1062" s="7">
        <v>60</v>
      </c>
      <c r="I1062" s="7">
        <v>65</v>
      </c>
      <c r="J1062" s="7" t="s">
        <v>80</v>
      </c>
      <c r="K1062" s="7" t="s">
        <v>80</v>
      </c>
    </row>
    <row r="1063" spans="1:11" ht="43.2" x14ac:dyDescent="0.3">
      <c r="A1063" s="1">
        <v>64</v>
      </c>
      <c r="B1063" s="1">
        <v>2024</v>
      </c>
      <c r="C1063" s="3">
        <v>45513</v>
      </c>
      <c r="D1063" s="8" t="s">
        <v>38</v>
      </c>
      <c r="E1063" s="9" t="s">
        <v>57</v>
      </c>
      <c r="F1063" s="9" t="s">
        <v>40</v>
      </c>
      <c r="G1063" s="11">
        <v>50</v>
      </c>
      <c r="H1063" s="11">
        <v>50</v>
      </c>
      <c r="I1063" s="11">
        <v>60</v>
      </c>
      <c r="J1063" s="11" t="s">
        <v>92</v>
      </c>
      <c r="K1063" s="11" t="s">
        <v>78</v>
      </c>
    </row>
    <row r="1064" spans="1:11" ht="43.2" x14ac:dyDescent="0.3">
      <c r="A1064" s="1">
        <v>64</v>
      </c>
      <c r="B1064" s="1">
        <v>2024</v>
      </c>
      <c r="C1064" s="3">
        <v>45513</v>
      </c>
      <c r="D1064" s="4" t="s">
        <v>38</v>
      </c>
      <c r="E1064" s="5" t="s">
        <v>58</v>
      </c>
      <c r="F1064" s="5" t="s">
        <v>40</v>
      </c>
      <c r="G1064" s="7">
        <v>80</v>
      </c>
      <c r="H1064" s="7">
        <v>70</v>
      </c>
      <c r="I1064" s="7">
        <v>80</v>
      </c>
      <c r="J1064" s="7">
        <v>77</v>
      </c>
      <c r="K1064" s="7">
        <v>80</v>
      </c>
    </row>
    <row r="1065" spans="1:11" ht="43.2" x14ac:dyDescent="0.3">
      <c r="A1065" s="1">
        <v>64</v>
      </c>
      <c r="B1065" s="1">
        <v>2024</v>
      </c>
      <c r="C1065" s="3">
        <v>45513</v>
      </c>
      <c r="D1065" s="8" t="s">
        <v>38</v>
      </c>
      <c r="E1065" s="9" t="s">
        <v>59</v>
      </c>
      <c r="F1065" s="9" t="s">
        <v>45</v>
      </c>
      <c r="G1065" s="11">
        <v>50</v>
      </c>
      <c r="H1065" s="11">
        <v>45</v>
      </c>
      <c r="I1065" s="11">
        <v>70</v>
      </c>
      <c r="J1065" s="11">
        <v>54</v>
      </c>
      <c r="K1065" s="11">
        <v>50</v>
      </c>
    </row>
    <row r="1066" spans="1:11" ht="43.2" x14ac:dyDescent="0.3">
      <c r="A1066" s="1">
        <v>64</v>
      </c>
      <c r="B1066" s="1">
        <v>2024</v>
      </c>
      <c r="C1066" s="3">
        <v>45513</v>
      </c>
      <c r="D1066" s="4" t="s">
        <v>38</v>
      </c>
      <c r="E1066" s="5" t="s">
        <v>60</v>
      </c>
      <c r="F1066" s="5" t="s">
        <v>61</v>
      </c>
      <c r="G1066" s="7">
        <v>110</v>
      </c>
      <c r="H1066" s="7">
        <v>100</v>
      </c>
      <c r="I1066" s="7">
        <v>155</v>
      </c>
      <c r="J1066" s="7" t="s">
        <v>301</v>
      </c>
      <c r="K1066" s="7">
        <v>110</v>
      </c>
    </row>
    <row r="1067" spans="1:11" ht="43.2" x14ac:dyDescent="0.3">
      <c r="A1067" s="1">
        <v>64</v>
      </c>
      <c r="B1067" s="1">
        <v>2024</v>
      </c>
      <c r="C1067" s="3">
        <v>45513</v>
      </c>
      <c r="D1067" s="8" t="s">
        <v>38</v>
      </c>
      <c r="E1067" s="9" t="s">
        <v>63</v>
      </c>
      <c r="F1067" s="9" t="s">
        <v>40</v>
      </c>
      <c r="G1067" s="11">
        <v>60</v>
      </c>
      <c r="H1067" s="11">
        <v>60</v>
      </c>
      <c r="I1067" s="11">
        <v>80</v>
      </c>
      <c r="J1067" s="11">
        <v>66</v>
      </c>
      <c r="K1067" s="11">
        <v>60</v>
      </c>
    </row>
    <row r="1068" spans="1:11" ht="43.2" x14ac:dyDescent="0.3">
      <c r="A1068" s="1">
        <v>64</v>
      </c>
      <c r="B1068" s="1">
        <v>2024</v>
      </c>
      <c r="C1068" s="3">
        <v>45513</v>
      </c>
      <c r="D1068" s="4" t="s">
        <v>38</v>
      </c>
      <c r="E1068" s="5" t="s">
        <v>64</v>
      </c>
      <c r="F1068" s="5" t="s">
        <v>40</v>
      </c>
      <c r="G1068" s="6"/>
      <c r="H1068" s="7">
        <v>150</v>
      </c>
      <c r="I1068" s="7">
        <v>160</v>
      </c>
      <c r="J1068" s="7">
        <v>155</v>
      </c>
      <c r="K1068" s="7">
        <v>155</v>
      </c>
    </row>
    <row r="1069" spans="1:11" x14ac:dyDescent="0.3">
      <c r="A1069" s="1">
        <v>64</v>
      </c>
      <c r="B1069" s="1">
        <v>2024</v>
      </c>
      <c r="C1069" s="3">
        <v>45513</v>
      </c>
      <c r="D1069" s="8" t="s">
        <v>65</v>
      </c>
      <c r="E1069" s="9" t="s">
        <v>66</v>
      </c>
      <c r="F1069" s="9" t="s">
        <v>45</v>
      </c>
      <c r="G1069" s="10"/>
      <c r="H1069" s="10"/>
      <c r="I1069" s="10"/>
      <c r="J1069" s="10"/>
      <c r="K1069" s="10"/>
    </row>
    <row r="1070" spans="1:11" x14ac:dyDescent="0.3">
      <c r="A1070" s="1">
        <v>64</v>
      </c>
      <c r="B1070" s="1">
        <v>2024</v>
      </c>
      <c r="C1070" s="3">
        <v>45513</v>
      </c>
      <c r="D1070" s="4" t="s">
        <v>65</v>
      </c>
      <c r="E1070" s="5" t="s">
        <v>67</v>
      </c>
      <c r="F1070" s="5" t="s">
        <v>45</v>
      </c>
      <c r="G1070" s="6"/>
      <c r="H1070" s="6"/>
      <c r="I1070" s="6"/>
      <c r="J1070" s="6"/>
      <c r="K1070" s="6"/>
    </row>
    <row r="1071" spans="1:11" x14ac:dyDescent="0.3">
      <c r="A1071" s="1">
        <v>64</v>
      </c>
      <c r="B1071" s="1">
        <v>2024</v>
      </c>
      <c r="C1071" s="3">
        <v>45513</v>
      </c>
      <c r="D1071" s="8" t="s">
        <v>65</v>
      </c>
      <c r="E1071" s="9" t="s">
        <v>68</v>
      </c>
      <c r="F1071" s="9" t="s">
        <v>45</v>
      </c>
      <c r="G1071" s="10"/>
      <c r="H1071" s="10"/>
      <c r="I1071" s="10"/>
      <c r="J1071" s="10"/>
      <c r="K1071" s="10"/>
    </row>
    <row r="1072" spans="1:11" x14ac:dyDescent="0.3">
      <c r="A1072" s="1">
        <v>64</v>
      </c>
      <c r="B1072" s="1">
        <v>2024</v>
      </c>
      <c r="C1072" s="3">
        <v>45513</v>
      </c>
      <c r="D1072" s="4" t="s">
        <v>65</v>
      </c>
      <c r="E1072" s="5" t="s">
        <v>69</v>
      </c>
      <c r="F1072" s="5" t="s">
        <v>45</v>
      </c>
      <c r="G1072" s="6"/>
      <c r="H1072" s="7">
        <v>60</v>
      </c>
      <c r="I1072" s="7">
        <v>60</v>
      </c>
      <c r="J1072" s="7">
        <v>60</v>
      </c>
      <c r="K1072" s="7">
        <v>60</v>
      </c>
    </row>
    <row r="1073" spans="1:11" x14ac:dyDescent="0.3">
      <c r="A1073" s="1">
        <v>64</v>
      </c>
      <c r="B1073" s="1">
        <v>2024</v>
      </c>
      <c r="C1073" s="3">
        <v>45513</v>
      </c>
      <c r="D1073" s="8" t="s">
        <v>65</v>
      </c>
      <c r="E1073" s="9" t="s">
        <v>70</v>
      </c>
      <c r="F1073" s="9" t="s">
        <v>71</v>
      </c>
      <c r="G1073" s="10"/>
      <c r="H1073" s="10"/>
      <c r="I1073" s="10"/>
      <c r="J1073" s="10"/>
      <c r="K1073" s="10"/>
    </row>
    <row r="1074" spans="1:11" ht="28.8" x14ac:dyDescent="0.3">
      <c r="A1074" s="1">
        <v>65</v>
      </c>
      <c r="B1074" s="1">
        <v>2024</v>
      </c>
      <c r="C1074" s="3">
        <v>45520</v>
      </c>
      <c r="D1074" s="4" t="s">
        <v>11</v>
      </c>
      <c r="E1074" s="5" t="s">
        <v>12</v>
      </c>
      <c r="F1074" s="5" t="s">
        <v>13</v>
      </c>
      <c r="G1074" s="7">
        <v>48</v>
      </c>
      <c r="H1074" s="7">
        <v>48</v>
      </c>
      <c r="I1074" s="7">
        <v>80</v>
      </c>
      <c r="J1074" s="7">
        <v>56</v>
      </c>
      <c r="K1074" s="7">
        <v>48</v>
      </c>
    </row>
    <row r="1075" spans="1:11" ht="28.8" x14ac:dyDescent="0.3">
      <c r="A1075" s="1">
        <v>65</v>
      </c>
      <c r="B1075" s="1">
        <v>2024</v>
      </c>
      <c r="C1075" s="3">
        <v>45520</v>
      </c>
      <c r="D1075" s="8" t="s">
        <v>11</v>
      </c>
      <c r="E1075" s="9" t="s">
        <v>14</v>
      </c>
      <c r="F1075" s="9" t="s">
        <v>13</v>
      </c>
      <c r="G1075" s="11">
        <v>72</v>
      </c>
      <c r="H1075" s="11">
        <v>72</v>
      </c>
      <c r="I1075" s="11">
        <v>84</v>
      </c>
      <c r="J1075" s="11">
        <v>77</v>
      </c>
      <c r="K1075" s="11">
        <v>76</v>
      </c>
    </row>
    <row r="1076" spans="1:11" ht="28.8" x14ac:dyDescent="0.3">
      <c r="A1076" s="1">
        <v>65</v>
      </c>
      <c r="B1076" s="1">
        <v>2024</v>
      </c>
      <c r="C1076" s="3">
        <v>45520</v>
      </c>
      <c r="D1076" s="4" t="s">
        <v>11</v>
      </c>
      <c r="E1076" s="5" t="s">
        <v>15</v>
      </c>
      <c r="F1076" s="5" t="s">
        <v>13</v>
      </c>
      <c r="G1076" s="7">
        <v>36</v>
      </c>
      <c r="H1076" s="7">
        <v>30</v>
      </c>
      <c r="I1076" s="7">
        <v>142</v>
      </c>
      <c r="J1076" s="7" t="s">
        <v>302</v>
      </c>
      <c r="K1076" s="7">
        <v>36</v>
      </c>
    </row>
    <row r="1077" spans="1:11" ht="28.8" x14ac:dyDescent="0.3">
      <c r="A1077" s="1">
        <v>65</v>
      </c>
      <c r="B1077" s="1">
        <v>2024</v>
      </c>
      <c r="C1077" s="3">
        <v>45520</v>
      </c>
      <c r="D1077" s="8" t="s">
        <v>11</v>
      </c>
      <c r="E1077" s="9" t="s">
        <v>16</v>
      </c>
      <c r="F1077" s="9" t="s">
        <v>13</v>
      </c>
      <c r="G1077" s="11">
        <v>24</v>
      </c>
      <c r="H1077" s="11">
        <v>18</v>
      </c>
      <c r="I1077" s="11">
        <v>36</v>
      </c>
      <c r="J1077" s="11" t="s">
        <v>282</v>
      </c>
      <c r="K1077" s="11">
        <v>24</v>
      </c>
    </row>
    <row r="1078" spans="1:11" ht="28.8" x14ac:dyDescent="0.3">
      <c r="A1078" s="1">
        <v>65</v>
      </c>
      <c r="B1078" s="1">
        <v>2024</v>
      </c>
      <c r="C1078" s="3">
        <v>45520</v>
      </c>
      <c r="D1078" s="4" t="s">
        <v>11</v>
      </c>
      <c r="E1078" s="5" t="s">
        <v>17</v>
      </c>
      <c r="F1078" s="5" t="s">
        <v>13</v>
      </c>
      <c r="G1078" s="7">
        <v>24</v>
      </c>
      <c r="H1078" s="7">
        <v>18</v>
      </c>
      <c r="I1078" s="7">
        <v>24</v>
      </c>
      <c r="J1078" s="7" t="s">
        <v>281</v>
      </c>
      <c r="K1078" s="7">
        <v>24</v>
      </c>
    </row>
    <row r="1079" spans="1:11" ht="28.8" x14ac:dyDescent="0.3">
      <c r="A1079" s="1">
        <v>65</v>
      </c>
      <c r="B1079" s="1">
        <v>2024</v>
      </c>
      <c r="C1079" s="3">
        <v>45520</v>
      </c>
      <c r="D1079" s="8" t="s">
        <v>11</v>
      </c>
      <c r="E1079" s="9" t="s">
        <v>18</v>
      </c>
      <c r="F1079" s="9" t="s">
        <v>13</v>
      </c>
      <c r="G1079" s="11">
        <v>60</v>
      </c>
      <c r="H1079" s="11">
        <v>60</v>
      </c>
      <c r="I1079" s="11">
        <v>60</v>
      </c>
      <c r="J1079" s="11">
        <v>60</v>
      </c>
      <c r="K1079" s="11">
        <v>60</v>
      </c>
    </row>
    <row r="1080" spans="1:11" ht="28.8" x14ac:dyDescent="0.3">
      <c r="A1080" s="1">
        <v>65</v>
      </c>
      <c r="B1080" s="1">
        <v>2024</v>
      </c>
      <c r="C1080" s="3">
        <v>45520</v>
      </c>
      <c r="D1080" s="4" t="s">
        <v>11</v>
      </c>
      <c r="E1080" s="5" t="s">
        <v>19</v>
      </c>
      <c r="F1080" s="5" t="s">
        <v>13</v>
      </c>
      <c r="G1080" s="7">
        <v>72</v>
      </c>
      <c r="H1080" s="7">
        <v>60</v>
      </c>
      <c r="I1080" s="7">
        <v>84</v>
      </c>
      <c r="J1080" s="7">
        <v>72</v>
      </c>
      <c r="K1080" s="7">
        <v>72</v>
      </c>
    </row>
    <row r="1081" spans="1:11" ht="28.8" x14ac:dyDescent="0.3">
      <c r="A1081" s="1">
        <v>65</v>
      </c>
      <c r="B1081" s="1">
        <v>2024</v>
      </c>
      <c r="C1081" s="3">
        <v>45520</v>
      </c>
      <c r="D1081" s="8" t="s">
        <v>11</v>
      </c>
      <c r="E1081" s="9" t="s">
        <v>20</v>
      </c>
      <c r="F1081" s="9" t="s">
        <v>13</v>
      </c>
      <c r="G1081" s="11">
        <v>84</v>
      </c>
      <c r="H1081" s="11">
        <v>60</v>
      </c>
      <c r="I1081" s="11">
        <v>84</v>
      </c>
      <c r="J1081" s="11" t="s">
        <v>280</v>
      </c>
      <c r="K1081" s="11">
        <v>72</v>
      </c>
    </row>
    <row r="1082" spans="1:11" ht="28.8" x14ac:dyDescent="0.3">
      <c r="A1082" s="1">
        <v>65</v>
      </c>
      <c r="B1082" s="1">
        <v>2024</v>
      </c>
      <c r="C1082" s="3">
        <v>45520</v>
      </c>
      <c r="D1082" s="4" t="s">
        <v>11</v>
      </c>
      <c r="E1082" s="5" t="s">
        <v>21</v>
      </c>
      <c r="F1082" s="5" t="s">
        <v>13</v>
      </c>
      <c r="G1082" s="7">
        <v>24</v>
      </c>
      <c r="H1082" s="7">
        <v>18</v>
      </c>
      <c r="I1082" s="7">
        <v>25</v>
      </c>
      <c r="J1082" s="7" t="s">
        <v>291</v>
      </c>
      <c r="K1082" s="7">
        <v>24</v>
      </c>
    </row>
    <row r="1083" spans="1:11" ht="28.8" x14ac:dyDescent="0.3">
      <c r="A1083" s="1">
        <v>65</v>
      </c>
      <c r="B1083" s="1">
        <v>2024</v>
      </c>
      <c r="C1083" s="3">
        <v>45520</v>
      </c>
      <c r="D1083" s="8" t="s">
        <v>11</v>
      </c>
      <c r="E1083" s="9" t="s">
        <v>73</v>
      </c>
      <c r="F1083" s="9" t="s">
        <v>13</v>
      </c>
      <c r="G1083" s="11">
        <v>72</v>
      </c>
      <c r="H1083" s="11">
        <v>72</v>
      </c>
      <c r="I1083" s="11">
        <v>84</v>
      </c>
      <c r="J1083" s="11">
        <v>75</v>
      </c>
      <c r="K1083" s="11">
        <v>72</v>
      </c>
    </row>
    <row r="1084" spans="1:11" ht="28.8" x14ac:dyDescent="0.3">
      <c r="A1084" s="1">
        <v>65</v>
      </c>
      <c r="B1084" s="1">
        <v>2024</v>
      </c>
      <c r="C1084" s="3">
        <v>45520</v>
      </c>
      <c r="D1084" s="4" t="s">
        <v>11</v>
      </c>
      <c r="E1084" s="5" t="s">
        <v>23</v>
      </c>
      <c r="F1084" s="5" t="s">
        <v>13</v>
      </c>
      <c r="G1084" s="7">
        <v>24</v>
      </c>
      <c r="H1084" s="7">
        <v>18</v>
      </c>
      <c r="I1084" s="7">
        <v>24</v>
      </c>
      <c r="J1084" s="7" t="s">
        <v>281</v>
      </c>
      <c r="K1084" s="7">
        <v>24</v>
      </c>
    </row>
    <row r="1085" spans="1:11" ht="28.8" x14ac:dyDescent="0.3">
      <c r="A1085" s="1">
        <v>65</v>
      </c>
      <c r="B1085" s="1">
        <v>2024</v>
      </c>
      <c r="C1085" s="3">
        <v>45520</v>
      </c>
      <c r="D1085" s="8" t="s">
        <v>11</v>
      </c>
      <c r="E1085" s="9" t="s">
        <v>24</v>
      </c>
      <c r="F1085" s="9" t="s">
        <v>13</v>
      </c>
      <c r="G1085" s="11">
        <v>60</v>
      </c>
      <c r="H1085" s="11">
        <v>60</v>
      </c>
      <c r="I1085" s="11">
        <v>72</v>
      </c>
      <c r="J1085" s="11">
        <v>63</v>
      </c>
      <c r="K1085" s="11">
        <v>60</v>
      </c>
    </row>
    <row r="1086" spans="1:11" ht="28.8" x14ac:dyDescent="0.3">
      <c r="A1086" s="1">
        <v>65</v>
      </c>
      <c r="B1086" s="1">
        <v>2024</v>
      </c>
      <c r="C1086" s="3">
        <v>45520</v>
      </c>
      <c r="D1086" s="4" t="s">
        <v>11</v>
      </c>
      <c r="E1086" s="5" t="s">
        <v>25</v>
      </c>
      <c r="F1086" s="5" t="s">
        <v>26</v>
      </c>
      <c r="G1086" s="7">
        <v>60</v>
      </c>
      <c r="H1086" s="7">
        <v>48</v>
      </c>
      <c r="I1086" s="7">
        <v>60</v>
      </c>
      <c r="J1086" s="7" t="s">
        <v>292</v>
      </c>
      <c r="K1086" s="7">
        <v>60</v>
      </c>
    </row>
    <row r="1087" spans="1:11" ht="28.8" x14ac:dyDescent="0.3">
      <c r="A1087" s="1">
        <v>65</v>
      </c>
      <c r="B1087" s="1">
        <v>2024</v>
      </c>
      <c r="C1087" s="3">
        <v>45520</v>
      </c>
      <c r="D1087" s="8" t="s">
        <v>11</v>
      </c>
      <c r="E1087" s="9" t="s">
        <v>27</v>
      </c>
      <c r="F1087" s="9" t="s">
        <v>13</v>
      </c>
      <c r="G1087" s="11">
        <v>48</v>
      </c>
      <c r="H1087" s="11">
        <v>45</v>
      </c>
      <c r="I1087" s="11">
        <v>72</v>
      </c>
      <c r="J1087" s="11" t="s">
        <v>303</v>
      </c>
      <c r="K1087" s="11">
        <v>48</v>
      </c>
    </row>
    <row r="1088" spans="1:11" ht="28.8" x14ac:dyDescent="0.3">
      <c r="A1088" s="1">
        <v>65</v>
      </c>
      <c r="B1088" s="1">
        <v>2024</v>
      </c>
      <c r="C1088" s="3">
        <v>45520</v>
      </c>
      <c r="D1088" s="4" t="s">
        <v>11</v>
      </c>
      <c r="E1088" s="5" t="s">
        <v>28</v>
      </c>
      <c r="F1088" s="5" t="s">
        <v>13</v>
      </c>
      <c r="G1088" s="7">
        <v>40</v>
      </c>
      <c r="H1088" s="7">
        <v>36</v>
      </c>
      <c r="I1088" s="7">
        <v>42</v>
      </c>
      <c r="J1088" s="7" t="s">
        <v>304</v>
      </c>
      <c r="K1088" s="7">
        <v>40</v>
      </c>
    </row>
    <row r="1089" spans="1:11" ht="28.8" x14ac:dyDescent="0.3">
      <c r="A1089" s="1">
        <v>65</v>
      </c>
      <c r="B1089" s="1">
        <v>2024</v>
      </c>
      <c r="C1089" s="3">
        <v>45520</v>
      </c>
      <c r="D1089" s="8" t="s">
        <v>11</v>
      </c>
      <c r="E1089" s="9" t="s">
        <v>29</v>
      </c>
      <c r="F1089" s="9" t="s">
        <v>13</v>
      </c>
      <c r="G1089" s="11">
        <v>48</v>
      </c>
      <c r="H1089" s="11">
        <v>48</v>
      </c>
      <c r="I1089" s="11">
        <v>54</v>
      </c>
      <c r="J1089" s="11" t="s">
        <v>305</v>
      </c>
      <c r="K1089" s="11">
        <v>48</v>
      </c>
    </row>
    <row r="1090" spans="1:11" ht="28.8" x14ac:dyDescent="0.3">
      <c r="A1090" s="1">
        <v>65</v>
      </c>
      <c r="B1090" s="1">
        <v>2024</v>
      </c>
      <c r="C1090" s="3">
        <v>45520</v>
      </c>
      <c r="D1090" s="4" t="s">
        <v>11</v>
      </c>
      <c r="E1090" s="5" t="s">
        <v>31</v>
      </c>
      <c r="F1090" s="5" t="s">
        <v>32</v>
      </c>
      <c r="G1090" s="7">
        <v>48</v>
      </c>
      <c r="H1090" s="7">
        <v>48</v>
      </c>
      <c r="I1090" s="7">
        <v>80</v>
      </c>
      <c r="J1090" s="7">
        <v>56</v>
      </c>
      <c r="K1090" s="7">
        <v>48</v>
      </c>
    </row>
    <row r="1091" spans="1:11" ht="28.8" x14ac:dyDescent="0.3">
      <c r="A1091" s="1">
        <v>65</v>
      </c>
      <c r="B1091" s="1">
        <v>2024</v>
      </c>
      <c r="C1091" s="3">
        <v>45520</v>
      </c>
      <c r="D1091" s="8" t="s">
        <v>11</v>
      </c>
      <c r="E1091" s="9" t="s">
        <v>34</v>
      </c>
      <c r="F1091" s="9" t="s">
        <v>35</v>
      </c>
      <c r="G1091" s="11">
        <v>72</v>
      </c>
      <c r="H1091" s="11">
        <v>72</v>
      </c>
      <c r="I1091" s="11">
        <v>84</v>
      </c>
      <c r="J1091" s="11">
        <v>77</v>
      </c>
      <c r="K1091" s="11">
        <v>76</v>
      </c>
    </row>
    <row r="1092" spans="1:11" ht="28.8" x14ac:dyDescent="0.3">
      <c r="A1092" s="1">
        <v>65</v>
      </c>
      <c r="B1092" s="1">
        <v>2024</v>
      </c>
      <c r="C1092" s="3">
        <v>45520</v>
      </c>
      <c r="D1092" s="4" t="s">
        <v>11</v>
      </c>
      <c r="E1092" s="5" t="s">
        <v>36</v>
      </c>
      <c r="F1092" s="5" t="s">
        <v>35</v>
      </c>
      <c r="G1092" s="7">
        <v>36</v>
      </c>
      <c r="H1092" s="7">
        <v>30</v>
      </c>
      <c r="I1092" s="7">
        <v>142</v>
      </c>
      <c r="J1092" s="7" t="s">
        <v>302</v>
      </c>
      <c r="K1092" s="7">
        <v>36</v>
      </c>
    </row>
    <row r="1093" spans="1:11" ht="43.2" x14ac:dyDescent="0.3">
      <c r="A1093" s="1">
        <v>65</v>
      </c>
      <c r="B1093" s="1">
        <v>2024</v>
      </c>
      <c r="C1093" s="3">
        <v>45520</v>
      </c>
      <c r="D1093" s="8" t="s">
        <v>38</v>
      </c>
      <c r="E1093" s="9" t="s">
        <v>153</v>
      </c>
      <c r="F1093" s="9" t="s">
        <v>154</v>
      </c>
      <c r="G1093" s="10"/>
      <c r="H1093" s="11">
        <v>70</v>
      </c>
      <c r="I1093" s="11">
        <v>70</v>
      </c>
      <c r="J1093" s="11">
        <v>70</v>
      </c>
      <c r="K1093" s="11">
        <v>70</v>
      </c>
    </row>
    <row r="1094" spans="1:11" ht="43.2" x14ac:dyDescent="0.3">
      <c r="A1094" s="1">
        <v>65</v>
      </c>
      <c r="B1094" s="1">
        <v>2024</v>
      </c>
      <c r="C1094" s="3">
        <v>45520</v>
      </c>
      <c r="D1094" s="4" t="s">
        <v>38</v>
      </c>
      <c r="E1094" s="5" t="s">
        <v>39</v>
      </c>
      <c r="F1094" s="5" t="s">
        <v>40</v>
      </c>
      <c r="G1094" s="7">
        <v>80</v>
      </c>
      <c r="H1094" s="7">
        <v>70</v>
      </c>
      <c r="I1094" s="7">
        <v>80</v>
      </c>
      <c r="J1094" s="7">
        <v>75</v>
      </c>
      <c r="K1094" s="7">
        <v>75</v>
      </c>
    </row>
    <row r="1095" spans="1:11" ht="43.2" x14ac:dyDescent="0.3">
      <c r="A1095" s="1">
        <v>65</v>
      </c>
      <c r="B1095" s="1">
        <v>2024</v>
      </c>
      <c r="C1095" s="3">
        <v>45520</v>
      </c>
      <c r="D1095" s="8" t="s">
        <v>38</v>
      </c>
      <c r="E1095" s="9" t="s">
        <v>42</v>
      </c>
      <c r="F1095" s="9" t="s">
        <v>43</v>
      </c>
      <c r="G1095" s="11">
        <v>70</v>
      </c>
      <c r="H1095" s="11">
        <v>30</v>
      </c>
      <c r="I1095" s="11">
        <v>70</v>
      </c>
      <c r="J1095" s="11">
        <v>53</v>
      </c>
      <c r="K1095" s="11">
        <v>50</v>
      </c>
    </row>
    <row r="1096" spans="1:11" ht="43.2" x14ac:dyDescent="0.3">
      <c r="A1096" s="1">
        <v>65</v>
      </c>
      <c r="B1096" s="1">
        <v>2024</v>
      </c>
      <c r="C1096" s="3">
        <v>45520</v>
      </c>
      <c r="D1096" s="4" t="s">
        <v>38</v>
      </c>
      <c r="E1096" s="5" t="s">
        <v>44</v>
      </c>
      <c r="F1096" s="5" t="s">
        <v>45</v>
      </c>
      <c r="G1096" s="7">
        <v>50</v>
      </c>
      <c r="H1096" s="7">
        <v>45</v>
      </c>
      <c r="I1096" s="7">
        <v>60</v>
      </c>
      <c r="J1096" s="7" t="s">
        <v>254</v>
      </c>
      <c r="K1096" s="7">
        <v>50</v>
      </c>
    </row>
    <row r="1097" spans="1:11" ht="43.2" x14ac:dyDescent="0.3">
      <c r="A1097" s="1">
        <v>65</v>
      </c>
      <c r="B1097" s="1">
        <v>2024</v>
      </c>
      <c r="C1097" s="3">
        <v>45520</v>
      </c>
      <c r="D1097" s="8" t="s">
        <v>38</v>
      </c>
      <c r="E1097" s="9" t="s">
        <v>48</v>
      </c>
      <c r="F1097" s="9" t="s">
        <v>45</v>
      </c>
      <c r="G1097" s="10"/>
      <c r="H1097" s="11">
        <v>90</v>
      </c>
      <c r="I1097" s="11">
        <v>100</v>
      </c>
      <c r="J1097" s="11">
        <v>95</v>
      </c>
      <c r="K1097" s="11">
        <v>95</v>
      </c>
    </row>
    <row r="1098" spans="1:11" ht="43.2" x14ac:dyDescent="0.3">
      <c r="A1098" s="1">
        <v>65</v>
      </c>
      <c r="B1098" s="1">
        <v>2024</v>
      </c>
      <c r="C1098" s="3">
        <v>45520</v>
      </c>
      <c r="D1098" s="4" t="s">
        <v>38</v>
      </c>
      <c r="E1098" s="5" t="s">
        <v>49</v>
      </c>
      <c r="F1098" s="5" t="s">
        <v>50</v>
      </c>
      <c r="G1098" s="7">
        <v>70</v>
      </c>
      <c r="H1098" s="7">
        <v>60</v>
      </c>
      <c r="I1098" s="7">
        <v>70</v>
      </c>
      <c r="J1098" s="7">
        <v>65</v>
      </c>
      <c r="K1098" s="7">
        <v>65</v>
      </c>
    </row>
    <row r="1099" spans="1:11" ht="43.2" x14ac:dyDescent="0.3">
      <c r="A1099" s="1">
        <v>65</v>
      </c>
      <c r="B1099" s="1">
        <v>2024</v>
      </c>
      <c r="C1099" s="3">
        <v>45520</v>
      </c>
      <c r="D1099" s="8" t="s">
        <v>38</v>
      </c>
      <c r="E1099" s="9" t="s">
        <v>52</v>
      </c>
      <c r="F1099" s="9" t="s">
        <v>43</v>
      </c>
      <c r="G1099" s="11">
        <v>60</v>
      </c>
      <c r="H1099" s="11">
        <v>45</v>
      </c>
      <c r="I1099" s="11">
        <v>60</v>
      </c>
      <c r="J1099" s="11" t="s">
        <v>92</v>
      </c>
      <c r="K1099" s="11">
        <v>55</v>
      </c>
    </row>
    <row r="1100" spans="1:11" ht="43.2" x14ac:dyDescent="0.3">
      <c r="A1100" s="1">
        <v>65</v>
      </c>
      <c r="B1100" s="1">
        <v>2024</v>
      </c>
      <c r="C1100" s="3">
        <v>45520</v>
      </c>
      <c r="D1100" s="4" t="s">
        <v>38</v>
      </c>
      <c r="E1100" s="5" t="s">
        <v>53</v>
      </c>
      <c r="F1100" s="5" t="s">
        <v>43</v>
      </c>
      <c r="G1100" s="6"/>
      <c r="H1100" s="7">
        <v>50</v>
      </c>
      <c r="I1100" s="7">
        <v>70</v>
      </c>
      <c r="J1100" s="7" t="s">
        <v>225</v>
      </c>
      <c r="K1100" s="7" t="s">
        <v>80</v>
      </c>
    </row>
    <row r="1101" spans="1:11" ht="43.2" x14ac:dyDescent="0.3">
      <c r="A1101" s="1">
        <v>65</v>
      </c>
      <c r="B1101" s="1">
        <v>2024</v>
      </c>
      <c r="C1101" s="3">
        <v>45520</v>
      </c>
      <c r="D1101" s="8" t="s">
        <v>38</v>
      </c>
      <c r="E1101" s="9" t="s">
        <v>54</v>
      </c>
      <c r="F1101" s="9" t="s">
        <v>40</v>
      </c>
      <c r="G1101" s="10"/>
      <c r="H1101" s="11">
        <v>70</v>
      </c>
      <c r="I1101" s="11">
        <v>100</v>
      </c>
      <c r="J1101" s="11" t="s">
        <v>244</v>
      </c>
      <c r="K1101" s="11">
        <v>90</v>
      </c>
    </row>
    <row r="1102" spans="1:11" ht="43.2" x14ac:dyDescent="0.3">
      <c r="A1102" s="1">
        <v>65</v>
      </c>
      <c r="B1102" s="1">
        <v>2024</v>
      </c>
      <c r="C1102" s="3">
        <v>45520</v>
      </c>
      <c r="D1102" s="4" t="s">
        <v>38</v>
      </c>
      <c r="E1102" s="5" t="s">
        <v>56</v>
      </c>
      <c r="F1102" s="5" t="s">
        <v>43</v>
      </c>
      <c r="G1102" s="6"/>
      <c r="H1102" s="7">
        <v>60</v>
      </c>
      <c r="I1102" s="7">
        <v>65</v>
      </c>
      <c r="J1102" s="7" t="s">
        <v>80</v>
      </c>
      <c r="K1102" s="7" t="s">
        <v>80</v>
      </c>
    </row>
    <row r="1103" spans="1:11" ht="43.2" x14ac:dyDescent="0.3">
      <c r="A1103" s="1">
        <v>65</v>
      </c>
      <c r="B1103" s="1">
        <v>2024</v>
      </c>
      <c r="C1103" s="3">
        <v>45520</v>
      </c>
      <c r="D1103" s="8" t="s">
        <v>38</v>
      </c>
      <c r="E1103" s="9" t="s">
        <v>57</v>
      </c>
      <c r="F1103" s="9" t="s">
        <v>40</v>
      </c>
      <c r="G1103" s="10"/>
      <c r="H1103" s="11">
        <v>55</v>
      </c>
      <c r="I1103" s="11">
        <v>80</v>
      </c>
      <c r="J1103" s="11" t="s">
        <v>265</v>
      </c>
      <c r="K1103" s="11">
        <v>65</v>
      </c>
    </row>
    <row r="1104" spans="1:11" ht="43.2" x14ac:dyDescent="0.3">
      <c r="A1104" s="1">
        <v>65</v>
      </c>
      <c r="B1104" s="1">
        <v>2024</v>
      </c>
      <c r="C1104" s="3">
        <v>45520</v>
      </c>
      <c r="D1104" s="4" t="s">
        <v>38</v>
      </c>
      <c r="E1104" s="5" t="s">
        <v>58</v>
      </c>
      <c r="F1104" s="5" t="s">
        <v>40</v>
      </c>
      <c r="G1104" s="7">
        <v>90</v>
      </c>
      <c r="H1104" s="7">
        <v>70</v>
      </c>
      <c r="I1104" s="7">
        <v>100</v>
      </c>
      <c r="J1104" s="7">
        <v>86</v>
      </c>
      <c r="K1104" s="7">
        <v>90</v>
      </c>
    </row>
    <row r="1105" spans="1:11" ht="43.2" x14ac:dyDescent="0.3">
      <c r="A1105" s="1">
        <v>65</v>
      </c>
      <c r="B1105" s="1">
        <v>2024</v>
      </c>
      <c r="C1105" s="3">
        <v>45520</v>
      </c>
      <c r="D1105" s="8" t="s">
        <v>38</v>
      </c>
      <c r="E1105" s="9" t="s">
        <v>59</v>
      </c>
      <c r="F1105" s="9" t="s">
        <v>45</v>
      </c>
      <c r="G1105" s="11">
        <v>50</v>
      </c>
      <c r="H1105" s="11">
        <v>30</v>
      </c>
      <c r="I1105" s="11">
        <v>50</v>
      </c>
      <c r="J1105" s="11">
        <v>45</v>
      </c>
      <c r="K1105" s="11">
        <v>50</v>
      </c>
    </row>
    <row r="1106" spans="1:11" ht="43.2" x14ac:dyDescent="0.3">
      <c r="A1106" s="1">
        <v>65</v>
      </c>
      <c r="B1106" s="1">
        <v>2024</v>
      </c>
      <c r="C1106" s="3">
        <v>45520</v>
      </c>
      <c r="D1106" s="4" t="s">
        <v>38</v>
      </c>
      <c r="E1106" s="5" t="s">
        <v>60</v>
      </c>
      <c r="F1106" s="5" t="s">
        <v>61</v>
      </c>
      <c r="G1106" s="6"/>
      <c r="H1106" s="7">
        <v>100</v>
      </c>
      <c r="I1106" s="7">
        <v>200</v>
      </c>
      <c r="J1106" s="7" t="s">
        <v>306</v>
      </c>
      <c r="K1106" s="7">
        <v>165</v>
      </c>
    </row>
    <row r="1107" spans="1:11" ht="43.2" x14ac:dyDescent="0.3">
      <c r="A1107" s="1">
        <v>65</v>
      </c>
      <c r="B1107" s="1">
        <v>2024</v>
      </c>
      <c r="C1107" s="3">
        <v>45520</v>
      </c>
      <c r="D1107" s="8" t="s">
        <v>38</v>
      </c>
      <c r="E1107" s="9" t="s">
        <v>63</v>
      </c>
      <c r="F1107" s="9" t="s">
        <v>40</v>
      </c>
      <c r="G1107" s="11">
        <v>90</v>
      </c>
      <c r="H1107" s="11">
        <v>50</v>
      </c>
      <c r="I1107" s="11">
        <v>90</v>
      </c>
      <c r="J1107" s="11">
        <v>70</v>
      </c>
      <c r="K1107" s="11">
        <v>60</v>
      </c>
    </row>
    <row r="1108" spans="1:11" ht="43.2" x14ac:dyDescent="0.3">
      <c r="A1108" s="1">
        <v>65</v>
      </c>
      <c r="B1108" s="1">
        <v>2024</v>
      </c>
      <c r="C1108" s="3">
        <v>45520</v>
      </c>
      <c r="D1108" s="4" t="s">
        <v>38</v>
      </c>
      <c r="E1108" s="5" t="s">
        <v>64</v>
      </c>
      <c r="F1108" s="5" t="s">
        <v>40</v>
      </c>
      <c r="G1108" s="7">
        <v>150</v>
      </c>
      <c r="H1108" s="7">
        <v>100</v>
      </c>
      <c r="I1108" s="7">
        <v>200</v>
      </c>
      <c r="J1108" s="7">
        <v>150</v>
      </c>
      <c r="K1108" s="7">
        <v>150</v>
      </c>
    </row>
    <row r="1109" spans="1:11" x14ac:dyDescent="0.3">
      <c r="A1109" s="1">
        <v>65</v>
      </c>
      <c r="B1109" s="1">
        <v>2024</v>
      </c>
      <c r="C1109" s="3">
        <v>45520</v>
      </c>
      <c r="D1109" s="8" t="s">
        <v>65</v>
      </c>
      <c r="E1109" s="9" t="s">
        <v>66</v>
      </c>
      <c r="F1109" s="9" t="s">
        <v>45</v>
      </c>
      <c r="G1109" s="10"/>
      <c r="H1109" s="10"/>
      <c r="I1109" s="10"/>
      <c r="J1109" s="10"/>
      <c r="K1109" s="10"/>
    </row>
    <row r="1110" spans="1:11" x14ac:dyDescent="0.3">
      <c r="A1110" s="1">
        <v>65</v>
      </c>
      <c r="B1110" s="1">
        <v>2024</v>
      </c>
      <c r="C1110" s="3">
        <v>45520</v>
      </c>
      <c r="D1110" s="4" t="s">
        <v>65</v>
      </c>
      <c r="E1110" s="5" t="s">
        <v>67</v>
      </c>
      <c r="F1110" s="5" t="s">
        <v>45</v>
      </c>
      <c r="G1110" s="6"/>
      <c r="H1110" s="6"/>
      <c r="I1110" s="6"/>
      <c r="J1110" s="6"/>
      <c r="K1110" s="6"/>
    </row>
    <row r="1111" spans="1:11" x14ac:dyDescent="0.3">
      <c r="A1111" s="1">
        <v>65</v>
      </c>
      <c r="B1111" s="1">
        <v>2024</v>
      </c>
      <c r="C1111" s="3">
        <v>45520</v>
      </c>
      <c r="D1111" s="8" t="s">
        <v>65</v>
      </c>
      <c r="E1111" s="9" t="s">
        <v>68</v>
      </c>
      <c r="F1111" s="9" t="s">
        <v>45</v>
      </c>
      <c r="G1111" s="10"/>
      <c r="H1111" s="10"/>
      <c r="I1111" s="10"/>
      <c r="J1111" s="10"/>
      <c r="K1111" s="10"/>
    </row>
    <row r="1112" spans="1:11" x14ac:dyDescent="0.3">
      <c r="A1112" s="1">
        <v>65</v>
      </c>
      <c r="B1112" s="1">
        <v>2024</v>
      </c>
      <c r="C1112" s="3">
        <v>45520</v>
      </c>
      <c r="D1112" s="4" t="s">
        <v>65</v>
      </c>
      <c r="E1112" s="5" t="s">
        <v>69</v>
      </c>
      <c r="F1112" s="5" t="s">
        <v>45</v>
      </c>
      <c r="G1112" s="6"/>
      <c r="H1112" s="7">
        <v>60</v>
      </c>
      <c r="I1112" s="7">
        <v>60</v>
      </c>
      <c r="J1112" s="7">
        <v>60</v>
      </c>
      <c r="K1112" s="7">
        <v>60</v>
      </c>
    </row>
    <row r="1113" spans="1:11" x14ac:dyDescent="0.3">
      <c r="A1113" s="1">
        <v>65</v>
      </c>
      <c r="B1113" s="1">
        <v>2024</v>
      </c>
      <c r="C1113" s="3">
        <v>45520</v>
      </c>
      <c r="D1113" s="8" t="s">
        <v>65</v>
      </c>
      <c r="E1113" s="9" t="s">
        <v>70</v>
      </c>
      <c r="F1113" s="9" t="s">
        <v>71</v>
      </c>
      <c r="G1113" s="10"/>
      <c r="H1113" s="10"/>
      <c r="I1113" s="10"/>
      <c r="J1113" s="10"/>
      <c r="K1113" s="10"/>
    </row>
    <row r="1114" spans="1:11" ht="28.8" x14ac:dyDescent="0.3">
      <c r="A1114" s="1">
        <v>66</v>
      </c>
      <c r="B1114" s="1">
        <v>2024</v>
      </c>
      <c r="C1114" s="3">
        <v>45527</v>
      </c>
      <c r="D1114" s="4" t="s">
        <v>11</v>
      </c>
      <c r="E1114" s="5" t="s">
        <v>12</v>
      </c>
      <c r="F1114" s="5" t="s">
        <v>13</v>
      </c>
      <c r="G1114" s="6"/>
      <c r="H1114" s="7">
        <v>36</v>
      </c>
      <c r="I1114" s="7">
        <v>60</v>
      </c>
      <c r="J1114" s="7">
        <v>48</v>
      </c>
      <c r="K1114" s="7">
        <v>48</v>
      </c>
    </row>
    <row r="1115" spans="1:11" ht="28.8" x14ac:dyDescent="0.3">
      <c r="A1115" s="1">
        <v>66</v>
      </c>
      <c r="B1115" s="1">
        <v>2024</v>
      </c>
      <c r="C1115" s="3">
        <v>45527</v>
      </c>
      <c r="D1115" s="8" t="s">
        <v>11</v>
      </c>
      <c r="E1115" s="9" t="s">
        <v>14</v>
      </c>
      <c r="F1115" s="9" t="s">
        <v>13</v>
      </c>
      <c r="G1115" s="11">
        <v>72</v>
      </c>
      <c r="H1115" s="11">
        <v>72</v>
      </c>
      <c r="I1115" s="11">
        <v>84</v>
      </c>
      <c r="J1115" s="11">
        <v>76</v>
      </c>
      <c r="K1115" s="11">
        <v>72</v>
      </c>
    </row>
    <row r="1116" spans="1:11" ht="28.8" x14ac:dyDescent="0.3">
      <c r="A1116" s="1">
        <v>66</v>
      </c>
      <c r="B1116" s="1">
        <v>2024</v>
      </c>
      <c r="C1116" s="3">
        <v>45527</v>
      </c>
      <c r="D1116" s="4" t="s">
        <v>11</v>
      </c>
      <c r="E1116" s="5" t="s">
        <v>15</v>
      </c>
      <c r="F1116" s="5" t="s">
        <v>13</v>
      </c>
      <c r="G1116" s="7">
        <v>36</v>
      </c>
      <c r="H1116" s="7">
        <v>30</v>
      </c>
      <c r="I1116" s="7">
        <v>42</v>
      </c>
      <c r="J1116" s="7">
        <v>36</v>
      </c>
      <c r="K1116" s="7">
        <v>36</v>
      </c>
    </row>
    <row r="1117" spans="1:11" ht="28.8" x14ac:dyDescent="0.3">
      <c r="A1117" s="1">
        <v>66</v>
      </c>
      <c r="B1117" s="1">
        <v>2024</v>
      </c>
      <c r="C1117" s="3">
        <v>45527</v>
      </c>
      <c r="D1117" s="8" t="s">
        <v>11</v>
      </c>
      <c r="E1117" s="9" t="s">
        <v>16</v>
      </c>
      <c r="F1117" s="9" t="s">
        <v>13</v>
      </c>
      <c r="G1117" s="11">
        <v>18</v>
      </c>
      <c r="H1117" s="11">
        <v>18</v>
      </c>
      <c r="I1117" s="11">
        <v>24</v>
      </c>
      <c r="J1117" s="11">
        <v>21</v>
      </c>
      <c r="K1117" s="11">
        <v>21</v>
      </c>
    </row>
    <row r="1118" spans="1:11" ht="28.8" x14ac:dyDescent="0.3">
      <c r="A1118" s="1">
        <v>66</v>
      </c>
      <c r="B1118" s="1">
        <v>2024</v>
      </c>
      <c r="C1118" s="3">
        <v>45527</v>
      </c>
      <c r="D1118" s="4" t="s">
        <v>11</v>
      </c>
      <c r="E1118" s="5" t="s">
        <v>17</v>
      </c>
      <c r="F1118" s="5" t="s">
        <v>13</v>
      </c>
      <c r="G1118" s="7">
        <v>24</v>
      </c>
      <c r="H1118" s="7">
        <v>18</v>
      </c>
      <c r="I1118" s="7">
        <v>24</v>
      </c>
      <c r="J1118" s="7">
        <v>22</v>
      </c>
      <c r="K1118" s="7">
        <v>24</v>
      </c>
    </row>
    <row r="1119" spans="1:11" ht="28.8" x14ac:dyDescent="0.3">
      <c r="A1119" s="1">
        <v>66</v>
      </c>
      <c r="B1119" s="1">
        <v>2024</v>
      </c>
      <c r="C1119" s="3">
        <v>45527</v>
      </c>
      <c r="D1119" s="8" t="s">
        <v>11</v>
      </c>
      <c r="E1119" s="9" t="s">
        <v>18</v>
      </c>
      <c r="F1119" s="9" t="s">
        <v>13</v>
      </c>
      <c r="G1119" s="11">
        <v>60</v>
      </c>
      <c r="H1119" s="11">
        <v>60</v>
      </c>
      <c r="I1119" s="11">
        <v>60</v>
      </c>
      <c r="J1119" s="11">
        <v>60</v>
      </c>
      <c r="K1119" s="11">
        <v>60</v>
      </c>
    </row>
    <row r="1120" spans="1:11" ht="28.8" x14ac:dyDescent="0.3">
      <c r="A1120" s="1">
        <v>66</v>
      </c>
      <c r="B1120" s="1">
        <v>2024</v>
      </c>
      <c r="C1120" s="3">
        <v>45527</v>
      </c>
      <c r="D1120" s="4" t="s">
        <v>11</v>
      </c>
      <c r="E1120" s="5" t="s">
        <v>19</v>
      </c>
      <c r="F1120" s="5" t="s">
        <v>13</v>
      </c>
      <c r="G1120" s="7">
        <v>60</v>
      </c>
      <c r="H1120" s="7">
        <v>48</v>
      </c>
      <c r="I1120" s="7">
        <v>66</v>
      </c>
      <c r="J1120" s="7" t="s">
        <v>246</v>
      </c>
      <c r="K1120" s="7">
        <v>60</v>
      </c>
    </row>
    <row r="1121" spans="1:11" ht="28.8" x14ac:dyDescent="0.3">
      <c r="A1121" s="1">
        <v>66</v>
      </c>
      <c r="B1121" s="1">
        <v>2024</v>
      </c>
      <c r="C1121" s="3">
        <v>45527</v>
      </c>
      <c r="D1121" s="8" t="s">
        <v>11</v>
      </c>
      <c r="E1121" s="9" t="s">
        <v>20</v>
      </c>
      <c r="F1121" s="9" t="s">
        <v>13</v>
      </c>
      <c r="G1121" s="11">
        <v>60</v>
      </c>
      <c r="H1121" s="11">
        <v>60</v>
      </c>
      <c r="I1121" s="11">
        <v>72</v>
      </c>
      <c r="J1121" s="11">
        <v>66</v>
      </c>
      <c r="K1121" s="11">
        <v>66</v>
      </c>
    </row>
    <row r="1122" spans="1:11" ht="28.8" x14ac:dyDescent="0.3">
      <c r="A1122" s="1">
        <v>66</v>
      </c>
      <c r="B1122" s="1">
        <v>2024</v>
      </c>
      <c r="C1122" s="3">
        <v>45527</v>
      </c>
      <c r="D1122" s="4" t="s">
        <v>11</v>
      </c>
      <c r="E1122" s="5" t="s">
        <v>21</v>
      </c>
      <c r="F1122" s="5" t="s">
        <v>13</v>
      </c>
      <c r="G1122" s="7">
        <v>18</v>
      </c>
      <c r="H1122" s="7">
        <v>18</v>
      </c>
      <c r="I1122" s="7">
        <v>24</v>
      </c>
      <c r="J1122" s="7">
        <v>20</v>
      </c>
      <c r="K1122" s="7">
        <v>19</v>
      </c>
    </row>
    <row r="1123" spans="1:11" ht="28.8" x14ac:dyDescent="0.3">
      <c r="A1123" s="1">
        <v>66</v>
      </c>
      <c r="B1123" s="1">
        <v>2024</v>
      </c>
      <c r="C1123" s="3">
        <v>45527</v>
      </c>
      <c r="D1123" s="8" t="s">
        <v>11</v>
      </c>
      <c r="E1123" s="9" t="s">
        <v>73</v>
      </c>
      <c r="F1123" s="9" t="s">
        <v>13</v>
      </c>
      <c r="G1123" s="10"/>
      <c r="H1123" s="11">
        <v>48</v>
      </c>
      <c r="I1123" s="11">
        <v>72</v>
      </c>
      <c r="J1123" s="11" t="s">
        <v>55</v>
      </c>
      <c r="K1123" s="11">
        <v>50</v>
      </c>
    </row>
    <row r="1124" spans="1:11" ht="28.8" x14ac:dyDescent="0.3">
      <c r="A1124" s="1">
        <v>66</v>
      </c>
      <c r="B1124" s="1">
        <v>2024</v>
      </c>
      <c r="C1124" s="3">
        <v>45527</v>
      </c>
      <c r="D1124" s="4" t="s">
        <v>11</v>
      </c>
      <c r="E1124" s="5" t="s">
        <v>23</v>
      </c>
      <c r="F1124" s="5" t="s">
        <v>13</v>
      </c>
      <c r="G1124" s="7">
        <v>18</v>
      </c>
      <c r="H1124" s="7">
        <v>18</v>
      </c>
      <c r="I1124" s="7">
        <v>24</v>
      </c>
      <c r="J1124" s="7">
        <v>21</v>
      </c>
      <c r="K1124" s="7">
        <v>21</v>
      </c>
    </row>
    <row r="1125" spans="1:11" ht="28.8" x14ac:dyDescent="0.3">
      <c r="A1125" s="1">
        <v>66</v>
      </c>
      <c r="B1125" s="1">
        <v>2024</v>
      </c>
      <c r="C1125" s="3">
        <v>45527</v>
      </c>
      <c r="D1125" s="8" t="s">
        <v>11</v>
      </c>
      <c r="E1125" s="9" t="s">
        <v>24</v>
      </c>
      <c r="F1125" s="9" t="s">
        <v>13</v>
      </c>
      <c r="G1125" s="11">
        <v>60</v>
      </c>
      <c r="H1125" s="11">
        <v>48</v>
      </c>
      <c r="I1125" s="11">
        <v>60</v>
      </c>
      <c r="J1125" s="11">
        <v>56</v>
      </c>
      <c r="K1125" s="11">
        <v>60</v>
      </c>
    </row>
    <row r="1126" spans="1:11" ht="28.8" x14ac:dyDescent="0.3">
      <c r="A1126" s="1">
        <v>66</v>
      </c>
      <c r="B1126" s="1">
        <v>2024</v>
      </c>
      <c r="C1126" s="3">
        <v>45527</v>
      </c>
      <c r="D1126" s="4" t="s">
        <v>11</v>
      </c>
      <c r="E1126" s="5" t="s">
        <v>25</v>
      </c>
      <c r="F1126" s="5" t="s">
        <v>26</v>
      </c>
      <c r="G1126" s="7">
        <v>48</v>
      </c>
      <c r="H1126" s="7">
        <v>48</v>
      </c>
      <c r="I1126" s="7">
        <v>60</v>
      </c>
      <c r="J1126" s="7">
        <v>54</v>
      </c>
      <c r="K1126" s="7">
        <v>54</v>
      </c>
    </row>
    <row r="1127" spans="1:11" ht="28.8" x14ac:dyDescent="0.3">
      <c r="A1127" s="1">
        <v>66</v>
      </c>
      <c r="B1127" s="1">
        <v>2024</v>
      </c>
      <c r="C1127" s="3">
        <v>45527</v>
      </c>
      <c r="D1127" s="8" t="s">
        <v>11</v>
      </c>
      <c r="E1127" s="9" t="s">
        <v>27</v>
      </c>
      <c r="F1127" s="9" t="s">
        <v>13</v>
      </c>
      <c r="G1127" s="11">
        <v>60</v>
      </c>
      <c r="H1127" s="11">
        <v>48</v>
      </c>
      <c r="I1127" s="11">
        <v>60</v>
      </c>
      <c r="J1127" s="11">
        <v>56</v>
      </c>
      <c r="K1127" s="11">
        <v>60</v>
      </c>
    </row>
    <row r="1128" spans="1:11" ht="28.8" x14ac:dyDescent="0.3">
      <c r="A1128" s="1">
        <v>66</v>
      </c>
      <c r="B1128" s="1">
        <v>2024</v>
      </c>
      <c r="C1128" s="3">
        <v>45527</v>
      </c>
      <c r="D1128" s="4" t="s">
        <v>11</v>
      </c>
      <c r="E1128" s="5" t="s">
        <v>28</v>
      </c>
      <c r="F1128" s="5" t="s">
        <v>13</v>
      </c>
      <c r="G1128" s="7">
        <v>36</v>
      </c>
      <c r="H1128" s="7">
        <v>36</v>
      </c>
      <c r="I1128" s="7">
        <v>45</v>
      </c>
      <c r="J1128" s="7" t="s">
        <v>307</v>
      </c>
      <c r="K1128" s="7">
        <v>38</v>
      </c>
    </row>
    <row r="1129" spans="1:11" ht="28.8" x14ac:dyDescent="0.3">
      <c r="A1129" s="1">
        <v>66</v>
      </c>
      <c r="B1129" s="1">
        <v>2024</v>
      </c>
      <c r="C1129" s="3">
        <v>45527</v>
      </c>
      <c r="D1129" s="8" t="s">
        <v>11</v>
      </c>
      <c r="E1129" s="9" t="s">
        <v>29</v>
      </c>
      <c r="F1129" s="9" t="s">
        <v>13</v>
      </c>
      <c r="G1129" s="11">
        <v>48</v>
      </c>
      <c r="H1129" s="11">
        <v>42</v>
      </c>
      <c r="I1129" s="11">
        <v>48</v>
      </c>
      <c r="J1129" s="11" t="s">
        <v>174</v>
      </c>
      <c r="K1129" s="11">
        <v>48</v>
      </c>
    </row>
    <row r="1130" spans="1:11" ht="28.8" x14ac:dyDescent="0.3">
      <c r="A1130" s="1">
        <v>66</v>
      </c>
      <c r="B1130" s="1">
        <v>2024</v>
      </c>
      <c r="C1130" s="3">
        <v>45527</v>
      </c>
      <c r="D1130" s="4" t="s">
        <v>11</v>
      </c>
      <c r="E1130" s="5" t="s">
        <v>31</v>
      </c>
      <c r="F1130" s="5" t="s">
        <v>32</v>
      </c>
      <c r="G1130" s="7">
        <v>5</v>
      </c>
      <c r="H1130" s="7">
        <v>5</v>
      </c>
      <c r="I1130" s="7" t="s">
        <v>212</v>
      </c>
      <c r="J1130" s="7" t="s">
        <v>308</v>
      </c>
      <c r="K1130" s="7">
        <v>5</v>
      </c>
    </row>
    <row r="1131" spans="1:11" ht="28.8" x14ac:dyDescent="0.3">
      <c r="A1131" s="1">
        <v>66</v>
      </c>
      <c r="B1131" s="1">
        <v>2024</v>
      </c>
      <c r="C1131" s="3">
        <v>45527</v>
      </c>
      <c r="D1131" s="8" t="s">
        <v>11</v>
      </c>
      <c r="E1131" s="9" t="s">
        <v>34</v>
      </c>
      <c r="F1131" s="9" t="s">
        <v>35</v>
      </c>
      <c r="G1131" s="11">
        <v>12</v>
      </c>
      <c r="H1131" s="11">
        <v>10</v>
      </c>
      <c r="I1131" s="11">
        <v>12</v>
      </c>
      <c r="J1131" s="11">
        <v>11</v>
      </c>
      <c r="K1131" s="11">
        <v>11</v>
      </c>
    </row>
    <row r="1132" spans="1:11" ht="28.8" x14ac:dyDescent="0.3">
      <c r="A1132" s="1">
        <v>66</v>
      </c>
      <c r="B1132" s="1">
        <v>2024</v>
      </c>
      <c r="C1132" s="3">
        <v>45527</v>
      </c>
      <c r="D1132" s="4" t="s">
        <v>11</v>
      </c>
      <c r="E1132" s="5" t="s">
        <v>36</v>
      </c>
      <c r="F1132" s="5" t="s">
        <v>35</v>
      </c>
      <c r="G1132" s="6"/>
      <c r="H1132" s="7">
        <v>10</v>
      </c>
      <c r="I1132" s="7">
        <v>30</v>
      </c>
      <c r="J1132" s="7" t="s">
        <v>309</v>
      </c>
      <c r="K1132" s="7" t="s">
        <v>310</v>
      </c>
    </row>
    <row r="1133" spans="1:11" ht="43.2" x14ac:dyDescent="0.3">
      <c r="A1133" s="1">
        <v>66</v>
      </c>
      <c r="B1133" s="1">
        <v>2024</v>
      </c>
      <c r="C1133" s="3">
        <v>45527</v>
      </c>
      <c r="D1133" s="8" t="s">
        <v>38</v>
      </c>
      <c r="E1133" s="9" t="s">
        <v>153</v>
      </c>
      <c r="F1133" s="9" t="s">
        <v>154</v>
      </c>
      <c r="G1133" s="10"/>
      <c r="H1133" s="11">
        <v>75</v>
      </c>
      <c r="I1133" s="11">
        <v>75</v>
      </c>
      <c r="J1133" s="11">
        <v>75</v>
      </c>
      <c r="K1133" s="11">
        <v>75</v>
      </c>
    </row>
    <row r="1134" spans="1:11" ht="43.2" x14ac:dyDescent="0.3">
      <c r="A1134" s="1">
        <v>66</v>
      </c>
      <c r="B1134" s="1">
        <v>2024</v>
      </c>
      <c r="C1134" s="3">
        <v>45527</v>
      </c>
      <c r="D1134" s="4" t="s">
        <v>38</v>
      </c>
      <c r="E1134" s="5" t="s">
        <v>39</v>
      </c>
      <c r="F1134" s="5" t="s">
        <v>40</v>
      </c>
      <c r="G1134" s="7">
        <v>60</v>
      </c>
      <c r="H1134" s="7">
        <v>50</v>
      </c>
      <c r="I1134" s="7">
        <v>60</v>
      </c>
      <c r="J1134" s="7">
        <v>57</v>
      </c>
      <c r="K1134" s="7">
        <v>60</v>
      </c>
    </row>
    <row r="1135" spans="1:11" ht="43.2" x14ac:dyDescent="0.3">
      <c r="A1135" s="1">
        <v>66</v>
      </c>
      <c r="B1135" s="1">
        <v>2024</v>
      </c>
      <c r="C1135" s="3">
        <v>45527</v>
      </c>
      <c r="D1135" s="8" t="s">
        <v>38</v>
      </c>
      <c r="E1135" s="9" t="s">
        <v>42</v>
      </c>
      <c r="F1135" s="9" t="s">
        <v>43</v>
      </c>
      <c r="G1135" s="11">
        <v>70</v>
      </c>
      <c r="H1135" s="11">
        <v>45</v>
      </c>
      <c r="I1135" s="11">
        <v>70</v>
      </c>
      <c r="J1135" s="11">
        <v>63</v>
      </c>
      <c r="K1135" s="11">
        <v>70</v>
      </c>
    </row>
    <row r="1136" spans="1:11" ht="43.2" x14ac:dyDescent="0.3">
      <c r="A1136" s="1">
        <v>66</v>
      </c>
      <c r="B1136" s="1">
        <v>2024</v>
      </c>
      <c r="C1136" s="3">
        <v>45527</v>
      </c>
      <c r="D1136" s="4" t="s">
        <v>38</v>
      </c>
      <c r="E1136" s="5" t="s">
        <v>44</v>
      </c>
      <c r="F1136" s="5" t="s">
        <v>45</v>
      </c>
      <c r="G1136" s="7">
        <v>50</v>
      </c>
      <c r="H1136" s="7">
        <v>45</v>
      </c>
      <c r="I1136" s="7">
        <v>60</v>
      </c>
      <c r="J1136" s="7">
        <v>52</v>
      </c>
      <c r="K1136" s="7">
        <v>50</v>
      </c>
    </row>
    <row r="1137" spans="1:11" ht="43.2" x14ac:dyDescent="0.3">
      <c r="A1137" s="1">
        <v>66</v>
      </c>
      <c r="B1137" s="1">
        <v>2024</v>
      </c>
      <c r="C1137" s="3">
        <v>45527</v>
      </c>
      <c r="D1137" s="8" t="s">
        <v>38</v>
      </c>
      <c r="E1137" s="9" t="s">
        <v>48</v>
      </c>
      <c r="F1137" s="9" t="s">
        <v>45</v>
      </c>
      <c r="G1137" s="10"/>
      <c r="H1137" s="11">
        <v>90</v>
      </c>
      <c r="I1137" s="11">
        <v>90</v>
      </c>
      <c r="J1137" s="11">
        <v>90</v>
      </c>
      <c r="K1137" s="11">
        <v>90</v>
      </c>
    </row>
    <row r="1138" spans="1:11" ht="43.2" x14ac:dyDescent="0.3">
      <c r="A1138" s="1">
        <v>66</v>
      </c>
      <c r="B1138" s="1">
        <v>2024</v>
      </c>
      <c r="C1138" s="3">
        <v>45527</v>
      </c>
      <c r="D1138" s="4" t="s">
        <v>38</v>
      </c>
      <c r="E1138" s="5" t="s">
        <v>49</v>
      </c>
      <c r="F1138" s="5" t="s">
        <v>50</v>
      </c>
      <c r="G1138" s="7">
        <v>70</v>
      </c>
      <c r="H1138" s="7">
        <v>60</v>
      </c>
      <c r="I1138" s="7">
        <v>70</v>
      </c>
      <c r="J1138" s="7">
        <v>65</v>
      </c>
      <c r="K1138" s="7">
        <v>65</v>
      </c>
    </row>
    <row r="1139" spans="1:11" ht="43.2" x14ac:dyDescent="0.3">
      <c r="A1139" s="1">
        <v>66</v>
      </c>
      <c r="B1139" s="1">
        <v>2024</v>
      </c>
      <c r="C1139" s="3">
        <v>45527</v>
      </c>
      <c r="D1139" s="8" t="s">
        <v>38</v>
      </c>
      <c r="E1139" s="9" t="s">
        <v>52</v>
      </c>
      <c r="F1139" s="9" t="s">
        <v>43</v>
      </c>
      <c r="G1139" s="11">
        <v>60</v>
      </c>
      <c r="H1139" s="11">
        <v>45</v>
      </c>
      <c r="I1139" s="11">
        <v>65</v>
      </c>
      <c r="J1139" s="11">
        <v>57</v>
      </c>
      <c r="K1139" s="11">
        <v>60</v>
      </c>
    </row>
    <row r="1140" spans="1:11" ht="43.2" x14ac:dyDescent="0.3">
      <c r="A1140" s="1">
        <v>66</v>
      </c>
      <c r="B1140" s="1">
        <v>2024</v>
      </c>
      <c r="C1140" s="3">
        <v>45527</v>
      </c>
      <c r="D1140" s="4" t="s">
        <v>38</v>
      </c>
      <c r="E1140" s="5" t="s">
        <v>53</v>
      </c>
      <c r="F1140" s="5" t="s">
        <v>43</v>
      </c>
      <c r="G1140" s="7">
        <v>60</v>
      </c>
      <c r="H1140" s="7">
        <v>55</v>
      </c>
      <c r="I1140" s="7">
        <v>80</v>
      </c>
      <c r="J1140" s="7">
        <v>66</v>
      </c>
      <c r="K1140" s="7">
        <v>60</v>
      </c>
    </row>
    <row r="1141" spans="1:11" ht="43.2" x14ac:dyDescent="0.3">
      <c r="A1141" s="1">
        <v>66</v>
      </c>
      <c r="B1141" s="1">
        <v>2024</v>
      </c>
      <c r="C1141" s="3">
        <v>45527</v>
      </c>
      <c r="D1141" s="8" t="s">
        <v>38</v>
      </c>
      <c r="E1141" s="9" t="s">
        <v>54</v>
      </c>
      <c r="F1141" s="9" t="s">
        <v>40</v>
      </c>
      <c r="G1141" s="11">
        <v>90</v>
      </c>
      <c r="H1141" s="11">
        <v>90</v>
      </c>
      <c r="I1141" s="11">
        <v>100</v>
      </c>
      <c r="J1141" s="11" t="s">
        <v>311</v>
      </c>
      <c r="K1141" s="11" t="s">
        <v>312</v>
      </c>
    </row>
    <row r="1142" spans="1:11" ht="43.2" x14ac:dyDescent="0.3">
      <c r="A1142" s="1">
        <v>66</v>
      </c>
      <c r="B1142" s="1">
        <v>2024</v>
      </c>
      <c r="C1142" s="3">
        <v>45527</v>
      </c>
      <c r="D1142" s="4" t="s">
        <v>38</v>
      </c>
      <c r="E1142" s="5" t="s">
        <v>56</v>
      </c>
      <c r="F1142" s="5" t="s">
        <v>43</v>
      </c>
      <c r="G1142" s="6"/>
      <c r="H1142" s="7">
        <v>50</v>
      </c>
      <c r="I1142" s="7">
        <v>65</v>
      </c>
      <c r="J1142" s="7" t="s">
        <v>41</v>
      </c>
      <c r="K1142" s="7" t="s">
        <v>41</v>
      </c>
    </row>
    <row r="1143" spans="1:11" ht="43.2" x14ac:dyDescent="0.3">
      <c r="A1143" s="1">
        <v>66</v>
      </c>
      <c r="B1143" s="1">
        <v>2024</v>
      </c>
      <c r="C1143" s="3">
        <v>45527</v>
      </c>
      <c r="D1143" s="8" t="s">
        <v>38</v>
      </c>
      <c r="E1143" s="9" t="s">
        <v>57</v>
      </c>
      <c r="F1143" s="9" t="s">
        <v>40</v>
      </c>
      <c r="G1143" s="10"/>
      <c r="H1143" s="11">
        <v>60</v>
      </c>
      <c r="I1143" s="11">
        <v>85</v>
      </c>
      <c r="J1143" s="11" t="s">
        <v>274</v>
      </c>
      <c r="K1143" s="11">
        <v>70</v>
      </c>
    </row>
    <row r="1144" spans="1:11" ht="43.2" x14ac:dyDescent="0.3">
      <c r="A1144" s="1">
        <v>66</v>
      </c>
      <c r="B1144" s="1">
        <v>2024</v>
      </c>
      <c r="C1144" s="3">
        <v>45527</v>
      </c>
      <c r="D1144" s="4" t="s">
        <v>38</v>
      </c>
      <c r="E1144" s="5" t="s">
        <v>58</v>
      </c>
      <c r="F1144" s="5" t="s">
        <v>40</v>
      </c>
      <c r="G1144" s="7">
        <v>90</v>
      </c>
      <c r="H1144" s="7">
        <v>80</v>
      </c>
      <c r="I1144" s="7">
        <v>100</v>
      </c>
      <c r="J1144" s="7">
        <v>90</v>
      </c>
      <c r="K1144" s="7">
        <v>90</v>
      </c>
    </row>
    <row r="1145" spans="1:11" ht="43.2" x14ac:dyDescent="0.3">
      <c r="A1145" s="1">
        <v>66</v>
      </c>
      <c r="B1145" s="1">
        <v>2024</v>
      </c>
      <c r="C1145" s="3">
        <v>45527</v>
      </c>
      <c r="D1145" s="8" t="s">
        <v>38</v>
      </c>
      <c r="E1145" s="9" t="s">
        <v>59</v>
      </c>
      <c r="F1145" s="9" t="s">
        <v>45</v>
      </c>
      <c r="G1145" s="11">
        <v>55</v>
      </c>
      <c r="H1145" s="11">
        <v>50</v>
      </c>
      <c r="I1145" s="11">
        <v>70</v>
      </c>
      <c r="J1145" s="11">
        <v>56</v>
      </c>
      <c r="K1145" s="11">
        <v>55</v>
      </c>
    </row>
    <row r="1146" spans="1:11" ht="43.2" x14ac:dyDescent="0.3">
      <c r="A1146" s="1">
        <v>66</v>
      </c>
      <c r="B1146" s="1">
        <v>2024</v>
      </c>
      <c r="C1146" s="3">
        <v>45527</v>
      </c>
      <c r="D1146" s="4" t="s">
        <v>38</v>
      </c>
      <c r="E1146" s="5" t="s">
        <v>60</v>
      </c>
      <c r="F1146" s="5" t="s">
        <v>61</v>
      </c>
      <c r="G1146" s="7">
        <v>130</v>
      </c>
      <c r="H1146" s="7">
        <v>130</v>
      </c>
      <c r="I1146" s="7">
        <v>150</v>
      </c>
      <c r="J1146" s="7" t="s">
        <v>170</v>
      </c>
      <c r="K1146" s="7">
        <v>135</v>
      </c>
    </row>
    <row r="1147" spans="1:11" ht="43.2" x14ac:dyDescent="0.3">
      <c r="A1147" s="1">
        <v>66</v>
      </c>
      <c r="B1147" s="1">
        <v>2024</v>
      </c>
      <c r="C1147" s="3">
        <v>45527</v>
      </c>
      <c r="D1147" s="8" t="s">
        <v>38</v>
      </c>
      <c r="E1147" s="9" t="s">
        <v>63</v>
      </c>
      <c r="F1147" s="9" t="s">
        <v>40</v>
      </c>
      <c r="G1147" s="11">
        <v>60</v>
      </c>
      <c r="H1147" s="11">
        <v>45</v>
      </c>
      <c r="I1147" s="11">
        <v>65</v>
      </c>
      <c r="J1147" s="11">
        <v>58</v>
      </c>
      <c r="K1147" s="11">
        <v>60</v>
      </c>
    </row>
    <row r="1148" spans="1:11" ht="43.2" x14ac:dyDescent="0.3">
      <c r="A1148" s="1">
        <v>66</v>
      </c>
      <c r="B1148" s="1">
        <v>2024</v>
      </c>
      <c r="C1148" s="3">
        <v>45527</v>
      </c>
      <c r="D1148" s="4" t="s">
        <v>38</v>
      </c>
      <c r="E1148" s="5" t="s">
        <v>64</v>
      </c>
      <c r="F1148" s="5" t="s">
        <v>40</v>
      </c>
      <c r="G1148" s="7">
        <v>150</v>
      </c>
      <c r="H1148" s="7">
        <v>140</v>
      </c>
      <c r="I1148" s="7">
        <v>150</v>
      </c>
      <c r="J1148" s="7" t="s">
        <v>313</v>
      </c>
      <c r="K1148" s="7">
        <v>150</v>
      </c>
    </row>
    <row r="1149" spans="1:11" x14ac:dyDescent="0.3">
      <c r="A1149" s="1">
        <v>66</v>
      </c>
      <c r="B1149" s="1">
        <v>2024</v>
      </c>
      <c r="C1149" s="3">
        <v>45527</v>
      </c>
      <c r="D1149" s="8" t="s">
        <v>65</v>
      </c>
      <c r="E1149" s="9" t="s">
        <v>66</v>
      </c>
      <c r="F1149" s="9" t="s">
        <v>45</v>
      </c>
      <c r="G1149" s="10"/>
      <c r="H1149" s="10"/>
      <c r="I1149" s="10"/>
      <c r="J1149" s="10"/>
      <c r="K1149" s="10"/>
    </row>
    <row r="1150" spans="1:11" x14ac:dyDescent="0.3">
      <c r="A1150" s="1">
        <v>66</v>
      </c>
      <c r="B1150" s="1">
        <v>2024</v>
      </c>
      <c r="C1150" s="3">
        <v>45527</v>
      </c>
      <c r="D1150" s="4" t="s">
        <v>65</v>
      </c>
      <c r="E1150" s="5" t="s">
        <v>67</v>
      </c>
      <c r="F1150" s="5" t="s">
        <v>45</v>
      </c>
      <c r="G1150" s="6"/>
      <c r="H1150" s="6"/>
      <c r="I1150" s="6"/>
      <c r="J1150" s="6"/>
      <c r="K1150" s="6"/>
    </row>
    <row r="1151" spans="1:11" x14ac:dyDescent="0.3">
      <c r="A1151" s="1">
        <v>66</v>
      </c>
      <c r="B1151" s="1">
        <v>2024</v>
      </c>
      <c r="C1151" s="3">
        <v>45527</v>
      </c>
      <c r="D1151" s="8" t="s">
        <v>65</v>
      </c>
      <c r="E1151" s="9" t="s">
        <v>68</v>
      </c>
      <c r="F1151" s="9" t="s">
        <v>45</v>
      </c>
      <c r="G1151" s="10"/>
      <c r="H1151" s="10"/>
      <c r="I1151" s="10"/>
      <c r="J1151" s="10"/>
      <c r="K1151" s="10"/>
    </row>
    <row r="1152" spans="1:11" x14ac:dyDescent="0.3">
      <c r="A1152" s="1">
        <v>66</v>
      </c>
      <c r="B1152" s="1">
        <v>2024</v>
      </c>
      <c r="C1152" s="3">
        <v>45527</v>
      </c>
      <c r="D1152" s="4" t="s">
        <v>65</v>
      </c>
      <c r="E1152" s="5" t="s">
        <v>69</v>
      </c>
      <c r="F1152" s="5" t="s">
        <v>45</v>
      </c>
      <c r="G1152" s="6"/>
      <c r="H1152" s="7">
        <v>60</v>
      </c>
      <c r="I1152" s="7">
        <v>60</v>
      </c>
      <c r="J1152" s="7">
        <v>60</v>
      </c>
      <c r="K1152" s="7">
        <v>60</v>
      </c>
    </row>
    <row r="1153" spans="1:11" x14ac:dyDescent="0.3">
      <c r="A1153" s="1">
        <v>66</v>
      </c>
      <c r="B1153" s="1">
        <v>2024</v>
      </c>
      <c r="C1153" s="3">
        <v>45527</v>
      </c>
      <c r="D1153" s="8" t="s">
        <v>65</v>
      </c>
      <c r="E1153" s="9" t="s">
        <v>70</v>
      </c>
      <c r="F1153" s="9" t="s">
        <v>71</v>
      </c>
      <c r="G1153" s="10"/>
      <c r="H1153" s="10"/>
      <c r="I1153" s="10"/>
      <c r="J1153" s="10"/>
      <c r="K1153" s="10"/>
    </row>
    <row r="1154" spans="1:11" ht="28.8" x14ac:dyDescent="0.3">
      <c r="A1154" s="1">
        <v>67</v>
      </c>
      <c r="B1154" s="1">
        <v>2024</v>
      </c>
      <c r="C1154" s="3">
        <v>45534</v>
      </c>
      <c r="D1154" s="4" t="s">
        <v>11</v>
      </c>
      <c r="E1154" s="5" t="s">
        <v>12</v>
      </c>
      <c r="F1154" s="5" t="s">
        <v>13</v>
      </c>
      <c r="G1154" s="7">
        <v>48</v>
      </c>
      <c r="H1154" s="7">
        <v>48</v>
      </c>
      <c r="I1154" s="7">
        <v>48</v>
      </c>
      <c r="J1154" s="7">
        <v>48</v>
      </c>
      <c r="K1154" s="7">
        <v>48</v>
      </c>
    </row>
    <row r="1155" spans="1:11" ht="28.8" x14ac:dyDescent="0.3">
      <c r="A1155" s="1">
        <v>67</v>
      </c>
      <c r="B1155" s="1">
        <v>2024</v>
      </c>
      <c r="C1155" s="3">
        <v>45534</v>
      </c>
      <c r="D1155" s="8" t="s">
        <v>11</v>
      </c>
      <c r="E1155" s="9" t="s">
        <v>14</v>
      </c>
      <c r="F1155" s="9" t="s">
        <v>13</v>
      </c>
      <c r="G1155" s="10"/>
      <c r="H1155" s="11">
        <v>60</v>
      </c>
      <c r="I1155" s="11">
        <v>84</v>
      </c>
      <c r="J1155" s="11">
        <v>72</v>
      </c>
      <c r="K1155" s="11">
        <v>72</v>
      </c>
    </row>
    <row r="1156" spans="1:11" ht="28.8" x14ac:dyDescent="0.3">
      <c r="A1156" s="1">
        <v>67</v>
      </c>
      <c r="B1156" s="1">
        <v>2024</v>
      </c>
      <c r="C1156" s="3">
        <v>45534</v>
      </c>
      <c r="D1156" s="4" t="s">
        <v>11</v>
      </c>
      <c r="E1156" s="5" t="s">
        <v>15</v>
      </c>
      <c r="F1156" s="5" t="s">
        <v>13</v>
      </c>
      <c r="G1156" s="7">
        <v>30</v>
      </c>
      <c r="H1156" s="7">
        <v>30</v>
      </c>
      <c r="I1156" s="7">
        <v>42</v>
      </c>
      <c r="J1156" s="7" t="s">
        <v>314</v>
      </c>
      <c r="K1156" s="7">
        <v>33</v>
      </c>
    </row>
    <row r="1157" spans="1:11" ht="28.8" x14ac:dyDescent="0.3">
      <c r="A1157" s="1">
        <v>67</v>
      </c>
      <c r="B1157" s="1">
        <v>2024</v>
      </c>
      <c r="C1157" s="3">
        <v>45534</v>
      </c>
      <c r="D1157" s="8" t="s">
        <v>11</v>
      </c>
      <c r="E1157" s="9" t="s">
        <v>16</v>
      </c>
      <c r="F1157" s="9" t="s">
        <v>13</v>
      </c>
      <c r="G1157" s="11">
        <v>24</v>
      </c>
      <c r="H1157" s="11">
        <v>18</v>
      </c>
      <c r="I1157" s="11">
        <v>24</v>
      </c>
      <c r="J1157" s="11">
        <v>21</v>
      </c>
      <c r="K1157" s="11">
        <v>21</v>
      </c>
    </row>
    <row r="1158" spans="1:11" ht="28.8" x14ac:dyDescent="0.3">
      <c r="A1158" s="1">
        <v>67</v>
      </c>
      <c r="B1158" s="1">
        <v>2024</v>
      </c>
      <c r="C1158" s="3">
        <v>45534</v>
      </c>
      <c r="D1158" s="4" t="s">
        <v>11</v>
      </c>
      <c r="E1158" s="5" t="s">
        <v>17</v>
      </c>
      <c r="F1158" s="5" t="s">
        <v>13</v>
      </c>
      <c r="G1158" s="7">
        <v>24</v>
      </c>
      <c r="H1158" s="7">
        <v>18</v>
      </c>
      <c r="I1158" s="7">
        <v>24</v>
      </c>
      <c r="J1158" s="7">
        <v>22</v>
      </c>
      <c r="K1158" s="7">
        <v>24</v>
      </c>
    </row>
    <row r="1159" spans="1:11" ht="28.8" x14ac:dyDescent="0.3">
      <c r="A1159" s="1">
        <v>67</v>
      </c>
      <c r="B1159" s="1">
        <v>2024</v>
      </c>
      <c r="C1159" s="3">
        <v>45534</v>
      </c>
      <c r="D1159" s="8" t="s">
        <v>11</v>
      </c>
      <c r="E1159" s="9" t="s">
        <v>18</v>
      </c>
      <c r="F1159" s="9" t="s">
        <v>13</v>
      </c>
      <c r="G1159" s="11">
        <v>60</v>
      </c>
      <c r="H1159" s="11">
        <v>48</v>
      </c>
      <c r="I1159" s="11">
        <v>60</v>
      </c>
      <c r="J1159" s="11">
        <v>56</v>
      </c>
      <c r="K1159" s="11">
        <v>60</v>
      </c>
    </row>
    <row r="1160" spans="1:11" ht="28.8" x14ac:dyDescent="0.3">
      <c r="A1160" s="1">
        <v>67</v>
      </c>
      <c r="B1160" s="1">
        <v>2024</v>
      </c>
      <c r="C1160" s="3">
        <v>45534</v>
      </c>
      <c r="D1160" s="4" t="s">
        <v>11</v>
      </c>
      <c r="E1160" s="5" t="s">
        <v>19</v>
      </c>
      <c r="F1160" s="5" t="s">
        <v>13</v>
      </c>
      <c r="G1160" s="7">
        <v>60</v>
      </c>
      <c r="H1160" s="7">
        <v>60</v>
      </c>
      <c r="I1160" s="7">
        <v>60</v>
      </c>
      <c r="J1160" s="7">
        <v>60</v>
      </c>
      <c r="K1160" s="7">
        <v>60</v>
      </c>
    </row>
    <row r="1161" spans="1:11" ht="28.8" x14ac:dyDescent="0.3">
      <c r="A1161" s="1">
        <v>67</v>
      </c>
      <c r="B1161" s="1">
        <v>2024</v>
      </c>
      <c r="C1161" s="3">
        <v>45534</v>
      </c>
      <c r="D1161" s="8" t="s">
        <v>11</v>
      </c>
      <c r="E1161" s="9" t="s">
        <v>20</v>
      </c>
      <c r="F1161" s="9" t="s">
        <v>13</v>
      </c>
      <c r="G1161" s="11">
        <v>72</v>
      </c>
      <c r="H1161" s="11">
        <v>40</v>
      </c>
      <c r="I1161" s="11">
        <v>72</v>
      </c>
      <c r="J1161" s="11">
        <v>64</v>
      </c>
      <c r="K1161" s="11">
        <v>72</v>
      </c>
    </row>
    <row r="1162" spans="1:11" ht="28.8" x14ac:dyDescent="0.3">
      <c r="A1162" s="1">
        <v>67</v>
      </c>
      <c r="B1162" s="1">
        <v>2024</v>
      </c>
      <c r="C1162" s="3">
        <v>45534</v>
      </c>
      <c r="D1162" s="4" t="s">
        <v>11</v>
      </c>
      <c r="E1162" s="5" t="s">
        <v>21</v>
      </c>
      <c r="F1162" s="5" t="s">
        <v>13</v>
      </c>
      <c r="G1162" s="7">
        <v>24</v>
      </c>
      <c r="H1162" s="7">
        <v>15</v>
      </c>
      <c r="I1162" s="7">
        <v>24</v>
      </c>
      <c r="J1162" s="7" t="s">
        <v>120</v>
      </c>
      <c r="K1162" s="7">
        <v>21</v>
      </c>
    </row>
    <row r="1163" spans="1:11" ht="28.8" x14ac:dyDescent="0.3">
      <c r="A1163" s="1">
        <v>67</v>
      </c>
      <c r="B1163" s="1">
        <v>2024</v>
      </c>
      <c r="C1163" s="3">
        <v>45534</v>
      </c>
      <c r="D1163" s="8" t="s">
        <v>11</v>
      </c>
      <c r="E1163" s="9" t="s">
        <v>73</v>
      </c>
      <c r="F1163" s="9" t="s">
        <v>13</v>
      </c>
      <c r="G1163" s="11">
        <v>60</v>
      </c>
      <c r="H1163" s="11">
        <v>60</v>
      </c>
      <c r="I1163" s="11">
        <v>72</v>
      </c>
      <c r="J1163" s="11">
        <v>64</v>
      </c>
      <c r="K1163" s="11">
        <v>60</v>
      </c>
    </row>
    <row r="1164" spans="1:11" ht="28.8" x14ac:dyDescent="0.3">
      <c r="A1164" s="1">
        <v>67</v>
      </c>
      <c r="B1164" s="1">
        <v>2024</v>
      </c>
      <c r="C1164" s="3">
        <v>45534</v>
      </c>
      <c r="D1164" s="4" t="s">
        <v>11</v>
      </c>
      <c r="E1164" s="5" t="s">
        <v>23</v>
      </c>
      <c r="F1164" s="5" t="s">
        <v>13</v>
      </c>
      <c r="G1164" s="7">
        <v>24</v>
      </c>
      <c r="H1164" s="7">
        <v>18</v>
      </c>
      <c r="I1164" s="7">
        <v>24</v>
      </c>
      <c r="J1164" s="7" t="s">
        <v>37</v>
      </c>
      <c r="K1164" s="7">
        <v>24</v>
      </c>
    </row>
    <row r="1165" spans="1:11" ht="28.8" x14ac:dyDescent="0.3">
      <c r="A1165" s="1">
        <v>67</v>
      </c>
      <c r="B1165" s="1">
        <v>2024</v>
      </c>
      <c r="C1165" s="3">
        <v>45534</v>
      </c>
      <c r="D1165" s="8" t="s">
        <v>11</v>
      </c>
      <c r="E1165" s="9" t="s">
        <v>24</v>
      </c>
      <c r="F1165" s="9" t="s">
        <v>13</v>
      </c>
      <c r="G1165" s="11">
        <v>60</v>
      </c>
      <c r="H1165" s="11">
        <v>48</v>
      </c>
      <c r="I1165" s="11">
        <v>60</v>
      </c>
      <c r="J1165" s="11">
        <v>56</v>
      </c>
      <c r="K1165" s="11">
        <v>60</v>
      </c>
    </row>
    <row r="1166" spans="1:11" ht="28.8" x14ac:dyDescent="0.3">
      <c r="A1166" s="1">
        <v>67</v>
      </c>
      <c r="B1166" s="1">
        <v>2024</v>
      </c>
      <c r="C1166" s="3">
        <v>45534</v>
      </c>
      <c r="D1166" s="4" t="s">
        <v>11</v>
      </c>
      <c r="E1166" s="5" t="s">
        <v>25</v>
      </c>
      <c r="F1166" s="5" t="s">
        <v>26</v>
      </c>
      <c r="G1166" s="7">
        <v>48</v>
      </c>
      <c r="H1166" s="7">
        <v>42</v>
      </c>
      <c r="I1166" s="7">
        <v>48</v>
      </c>
      <c r="J1166" s="7" t="s">
        <v>174</v>
      </c>
      <c r="K1166" s="7">
        <v>48</v>
      </c>
    </row>
    <row r="1167" spans="1:11" ht="28.8" x14ac:dyDescent="0.3">
      <c r="A1167" s="1">
        <v>67</v>
      </c>
      <c r="B1167" s="1">
        <v>2024</v>
      </c>
      <c r="C1167" s="3">
        <v>45534</v>
      </c>
      <c r="D1167" s="8" t="s">
        <v>11</v>
      </c>
      <c r="E1167" s="9" t="s">
        <v>27</v>
      </c>
      <c r="F1167" s="9" t="s">
        <v>13</v>
      </c>
      <c r="G1167" s="11">
        <v>60</v>
      </c>
      <c r="H1167" s="11">
        <v>60</v>
      </c>
      <c r="I1167" s="11">
        <v>60</v>
      </c>
      <c r="J1167" s="11">
        <v>60</v>
      </c>
      <c r="K1167" s="11">
        <v>60</v>
      </c>
    </row>
    <row r="1168" spans="1:11" ht="28.8" x14ac:dyDescent="0.3">
      <c r="A1168" s="1">
        <v>67</v>
      </c>
      <c r="B1168" s="1">
        <v>2024</v>
      </c>
      <c r="C1168" s="3">
        <v>45534</v>
      </c>
      <c r="D1168" s="4" t="s">
        <v>11</v>
      </c>
      <c r="E1168" s="5" t="s">
        <v>28</v>
      </c>
      <c r="F1168" s="5" t="s">
        <v>13</v>
      </c>
      <c r="G1168" s="7">
        <v>36</v>
      </c>
      <c r="H1168" s="7">
        <v>30</v>
      </c>
      <c r="I1168" s="7">
        <v>36</v>
      </c>
      <c r="J1168" s="7" t="s">
        <v>106</v>
      </c>
      <c r="K1168" s="7" t="s">
        <v>145</v>
      </c>
    </row>
    <row r="1169" spans="1:11" ht="28.8" x14ac:dyDescent="0.3">
      <c r="A1169" s="1">
        <v>67</v>
      </c>
      <c r="B1169" s="1">
        <v>2024</v>
      </c>
      <c r="C1169" s="3">
        <v>45534</v>
      </c>
      <c r="D1169" s="8" t="s">
        <v>11</v>
      </c>
      <c r="E1169" s="9" t="s">
        <v>29</v>
      </c>
      <c r="F1169" s="9" t="s">
        <v>13</v>
      </c>
      <c r="G1169" s="11">
        <v>48</v>
      </c>
      <c r="H1169" s="11">
        <v>48</v>
      </c>
      <c r="I1169" s="11">
        <v>54</v>
      </c>
      <c r="J1169" s="11" t="s">
        <v>173</v>
      </c>
      <c r="K1169" s="11">
        <v>48</v>
      </c>
    </row>
    <row r="1170" spans="1:11" ht="28.8" x14ac:dyDescent="0.3">
      <c r="A1170" s="1">
        <v>67</v>
      </c>
      <c r="B1170" s="1">
        <v>2024</v>
      </c>
      <c r="C1170" s="3">
        <v>45534</v>
      </c>
      <c r="D1170" s="4" t="s">
        <v>11</v>
      </c>
      <c r="E1170" s="5" t="s">
        <v>31</v>
      </c>
      <c r="F1170" s="5" t="s">
        <v>32</v>
      </c>
      <c r="G1170" s="7">
        <v>5</v>
      </c>
      <c r="H1170" s="7">
        <v>5</v>
      </c>
      <c r="I1170" s="7">
        <v>5</v>
      </c>
      <c r="J1170" s="7">
        <v>5</v>
      </c>
      <c r="K1170" s="7">
        <v>5</v>
      </c>
    </row>
    <row r="1171" spans="1:11" ht="28.8" x14ac:dyDescent="0.3">
      <c r="A1171" s="1">
        <v>67</v>
      </c>
      <c r="B1171" s="1">
        <v>2024</v>
      </c>
      <c r="C1171" s="3">
        <v>45534</v>
      </c>
      <c r="D1171" s="8" t="s">
        <v>11</v>
      </c>
      <c r="E1171" s="9" t="s">
        <v>34</v>
      </c>
      <c r="F1171" s="9" t="s">
        <v>35</v>
      </c>
      <c r="G1171" s="11">
        <v>10</v>
      </c>
      <c r="H1171" s="11">
        <v>10</v>
      </c>
      <c r="I1171" s="11">
        <v>10</v>
      </c>
      <c r="J1171" s="11">
        <v>10</v>
      </c>
      <c r="K1171" s="11">
        <v>10</v>
      </c>
    </row>
    <row r="1172" spans="1:11" ht="28.8" x14ac:dyDescent="0.3">
      <c r="A1172" s="1">
        <v>67</v>
      </c>
      <c r="B1172" s="1">
        <v>2024</v>
      </c>
      <c r="C1172" s="3">
        <v>45534</v>
      </c>
      <c r="D1172" s="4" t="s">
        <v>11</v>
      </c>
      <c r="E1172" s="5" t="s">
        <v>36</v>
      </c>
      <c r="F1172" s="5" t="s">
        <v>35</v>
      </c>
      <c r="G1172" s="7">
        <v>20</v>
      </c>
      <c r="H1172" s="7">
        <v>20</v>
      </c>
      <c r="I1172" s="7">
        <v>30</v>
      </c>
      <c r="J1172" s="7" t="s">
        <v>315</v>
      </c>
      <c r="K1172" s="7" t="s">
        <v>37</v>
      </c>
    </row>
    <row r="1173" spans="1:11" ht="43.2" x14ac:dyDescent="0.3">
      <c r="A1173" s="1">
        <v>67</v>
      </c>
      <c r="B1173" s="1">
        <v>2024</v>
      </c>
      <c r="C1173" s="3">
        <v>45534</v>
      </c>
      <c r="D1173" s="8" t="s">
        <v>38</v>
      </c>
      <c r="E1173" s="9" t="s">
        <v>153</v>
      </c>
      <c r="F1173" s="9" t="s">
        <v>154</v>
      </c>
      <c r="G1173" s="10"/>
      <c r="H1173" s="11">
        <v>70</v>
      </c>
      <c r="I1173" s="11">
        <v>80</v>
      </c>
      <c r="J1173" s="11">
        <v>75</v>
      </c>
      <c r="K1173" s="11">
        <v>75</v>
      </c>
    </row>
    <row r="1174" spans="1:11" ht="43.2" x14ac:dyDescent="0.3">
      <c r="A1174" s="1">
        <v>67</v>
      </c>
      <c r="B1174" s="1">
        <v>2024</v>
      </c>
      <c r="C1174" s="3">
        <v>45534</v>
      </c>
      <c r="D1174" s="4" t="s">
        <v>38</v>
      </c>
      <c r="E1174" s="5" t="s">
        <v>39</v>
      </c>
      <c r="F1174" s="5" t="s">
        <v>40</v>
      </c>
      <c r="G1174" s="7">
        <v>60</v>
      </c>
      <c r="H1174" s="7">
        <v>50</v>
      </c>
      <c r="I1174" s="7">
        <v>60</v>
      </c>
      <c r="J1174" s="7" t="s">
        <v>41</v>
      </c>
      <c r="K1174" s="7">
        <v>60</v>
      </c>
    </row>
    <row r="1175" spans="1:11" ht="43.2" x14ac:dyDescent="0.3">
      <c r="A1175" s="1">
        <v>67</v>
      </c>
      <c r="B1175" s="1">
        <v>2024</v>
      </c>
      <c r="C1175" s="3">
        <v>45534</v>
      </c>
      <c r="D1175" s="8" t="s">
        <v>38</v>
      </c>
      <c r="E1175" s="9" t="s">
        <v>42</v>
      </c>
      <c r="F1175" s="9" t="s">
        <v>43</v>
      </c>
      <c r="G1175" s="10"/>
      <c r="H1175" s="11">
        <v>35</v>
      </c>
      <c r="I1175" s="11">
        <v>80</v>
      </c>
      <c r="J1175" s="11">
        <v>56</v>
      </c>
      <c r="K1175" s="11">
        <v>50</v>
      </c>
    </row>
    <row r="1176" spans="1:11" ht="43.2" x14ac:dyDescent="0.3">
      <c r="A1176" s="1">
        <v>67</v>
      </c>
      <c r="B1176" s="1">
        <v>2024</v>
      </c>
      <c r="C1176" s="3">
        <v>45534</v>
      </c>
      <c r="D1176" s="4" t="s">
        <v>38</v>
      </c>
      <c r="E1176" s="5" t="s">
        <v>44</v>
      </c>
      <c r="F1176" s="5" t="s">
        <v>45</v>
      </c>
      <c r="G1176" s="7">
        <v>45</v>
      </c>
      <c r="H1176" s="7">
        <v>45</v>
      </c>
      <c r="I1176" s="7">
        <v>60</v>
      </c>
      <c r="J1176" s="7">
        <v>50</v>
      </c>
      <c r="K1176" s="7" t="s">
        <v>91</v>
      </c>
    </row>
    <row r="1177" spans="1:11" ht="43.2" x14ac:dyDescent="0.3">
      <c r="A1177" s="1">
        <v>67</v>
      </c>
      <c r="B1177" s="1">
        <v>2024</v>
      </c>
      <c r="C1177" s="3">
        <v>45534</v>
      </c>
      <c r="D1177" s="8" t="s">
        <v>38</v>
      </c>
      <c r="E1177" s="9" t="s">
        <v>48</v>
      </c>
      <c r="F1177" s="9" t="s">
        <v>45</v>
      </c>
      <c r="G1177" s="10"/>
      <c r="H1177" s="10"/>
      <c r="I1177" s="10"/>
      <c r="J1177" s="10"/>
      <c r="K1177" s="10"/>
    </row>
    <row r="1178" spans="1:11" ht="43.2" x14ac:dyDescent="0.3">
      <c r="A1178" s="1">
        <v>67</v>
      </c>
      <c r="B1178" s="1">
        <v>2024</v>
      </c>
      <c r="C1178" s="3">
        <v>45534</v>
      </c>
      <c r="D1178" s="4" t="s">
        <v>38</v>
      </c>
      <c r="E1178" s="5" t="s">
        <v>49</v>
      </c>
      <c r="F1178" s="5" t="s">
        <v>50</v>
      </c>
      <c r="G1178" s="7">
        <v>60</v>
      </c>
      <c r="H1178" s="7">
        <v>35</v>
      </c>
      <c r="I1178" s="7">
        <v>70</v>
      </c>
      <c r="J1178" s="7">
        <v>57</v>
      </c>
      <c r="K1178" s="7">
        <v>60</v>
      </c>
    </row>
    <row r="1179" spans="1:11" ht="43.2" x14ac:dyDescent="0.3">
      <c r="A1179" s="1">
        <v>67</v>
      </c>
      <c r="B1179" s="1">
        <v>2024</v>
      </c>
      <c r="C1179" s="3">
        <v>45534</v>
      </c>
      <c r="D1179" s="8" t="s">
        <v>38</v>
      </c>
      <c r="E1179" s="9" t="s">
        <v>52</v>
      </c>
      <c r="F1179" s="9" t="s">
        <v>43</v>
      </c>
      <c r="G1179" s="11">
        <v>60</v>
      </c>
      <c r="H1179" s="11">
        <v>35</v>
      </c>
      <c r="I1179" s="11">
        <v>60</v>
      </c>
      <c r="J1179" s="11">
        <v>46</v>
      </c>
      <c r="K1179" s="11">
        <v>40</v>
      </c>
    </row>
    <row r="1180" spans="1:11" ht="43.2" x14ac:dyDescent="0.3">
      <c r="A1180" s="1">
        <v>67</v>
      </c>
      <c r="B1180" s="1">
        <v>2024</v>
      </c>
      <c r="C1180" s="3">
        <v>45534</v>
      </c>
      <c r="D1180" s="4" t="s">
        <v>38</v>
      </c>
      <c r="E1180" s="5" t="s">
        <v>53</v>
      </c>
      <c r="F1180" s="5" t="s">
        <v>43</v>
      </c>
      <c r="G1180" s="6"/>
      <c r="H1180" s="7">
        <v>50</v>
      </c>
      <c r="I1180" s="7">
        <v>80</v>
      </c>
      <c r="J1180" s="7">
        <v>65</v>
      </c>
      <c r="K1180" s="7">
        <v>65</v>
      </c>
    </row>
    <row r="1181" spans="1:11" ht="43.2" x14ac:dyDescent="0.3">
      <c r="A1181" s="1">
        <v>67</v>
      </c>
      <c r="B1181" s="1">
        <v>2024</v>
      </c>
      <c r="C1181" s="3">
        <v>45534</v>
      </c>
      <c r="D1181" s="8" t="s">
        <v>38</v>
      </c>
      <c r="E1181" s="9" t="s">
        <v>54</v>
      </c>
      <c r="F1181" s="9" t="s">
        <v>40</v>
      </c>
      <c r="G1181" s="10"/>
      <c r="H1181" s="11">
        <v>80</v>
      </c>
      <c r="I1181" s="11">
        <v>110</v>
      </c>
      <c r="J1181" s="11">
        <v>95</v>
      </c>
      <c r="K1181" s="11">
        <v>95</v>
      </c>
    </row>
    <row r="1182" spans="1:11" ht="43.2" x14ac:dyDescent="0.3">
      <c r="A1182" s="1">
        <v>67</v>
      </c>
      <c r="B1182" s="1">
        <v>2024</v>
      </c>
      <c r="C1182" s="3">
        <v>45534</v>
      </c>
      <c r="D1182" s="4" t="s">
        <v>38</v>
      </c>
      <c r="E1182" s="5" t="s">
        <v>56</v>
      </c>
      <c r="F1182" s="5" t="s">
        <v>43</v>
      </c>
      <c r="G1182" s="6"/>
      <c r="H1182" s="6"/>
      <c r="I1182" s="6"/>
      <c r="J1182" s="6"/>
      <c r="K1182" s="6"/>
    </row>
    <row r="1183" spans="1:11" ht="43.2" x14ac:dyDescent="0.3">
      <c r="A1183" s="1">
        <v>67</v>
      </c>
      <c r="B1183" s="1">
        <v>2024</v>
      </c>
      <c r="C1183" s="3">
        <v>45534</v>
      </c>
      <c r="D1183" s="8" t="s">
        <v>38</v>
      </c>
      <c r="E1183" s="9" t="s">
        <v>57</v>
      </c>
      <c r="F1183" s="9" t="s">
        <v>40</v>
      </c>
      <c r="G1183" s="10"/>
      <c r="H1183" s="11">
        <v>25</v>
      </c>
      <c r="I1183" s="11">
        <v>80</v>
      </c>
      <c r="J1183" s="11" t="s">
        <v>258</v>
      </c>
      <c r="K1183" s="11">
        <v>70</v>
      </c>
    </row>
    <row r="1184" spans="1:11" ht="43.2" x14ac:dyDescent="0.3">
      <c r="A1184" s="1">
        <v>67</v>
      </c>
      <c r="B1184" s="1">
        <v>2024</v>
      </c>
      <c r="C1184" s="3">
        <v>45534</v>
      </c>
      <c r="D1184" s="4" t="s">
        <v>38</v>
      </c>
      <c r="E1184" s="5" t="s">
        <v>58</v>
      </c>
      <c r="F1184" s="5" t="s">
        <v>40</v>
      </c>
      <c r="G1184" s="6"/>
      <c r="H1184" s="7">
        <v>70</v>
      </c>
      <c r="I1184" s="7">
        <v>120</v>
      </c>
      <c r="J1184" s="7">
        <v>90</v>
      </c>
      <c r="K1184" s="7">
        <v>80</v>
      </c>
    </row>
    <row r="1185" spans="1:11" ht="43.2" x14ac:dyDescent="0.3">
      <c r="A1185" s="1">
        <v>67</v>
      </c>
      <c r="B1185" s="1">
        <v>2024</v>
      </c>
      <c r="C1185" s="3">
        <v>45534</v>
      </c>
      <c r="D1185" s="8" t="s">
        <v>38</v>
      </c>
      <c r="E1185" s="9" t="s">
        <v>59</v>
      </c>
      <c r="F1185" s="9" t="s">
        <v>45</v>
      </c>
      <c r="G1185" s="11">
        <v>50</v>
      </c>
      <c r="H1185" s="11">
        <v>25</v>
      </c>
      <c r="I1185" s="11">
        <v>60</v>
      </c>
      <c r="J1185" s="11">
        <v>48</v>
      </c>
      <c r="K1185" s="11">
        <v>50</v>
      </c>
    </row>
    <row r="1186" spans="1:11" ht="43.2" x14ac:dyDescent="0.3">
      <c r="A1186" s="1">
        <v>67</v>
      </c>
      <c r="B1186" s="1">
        <v>2024</v>
      </c>
      <c r="C1186" s="3">
        <v>45534</v>
      </c>
      <c r="D1186" s="4" t="s">
        <v>38</v>
      </c>
      <c r="E1186" s="5" t="s">
        <v>60</v>
      </c>
      <c r="F1186" s="5" t="s">
        <v>61</v>
      </c>
      <c r="G1186" s="6"/>
      <c r="H1186" s="7">
        <v>120</v>
      </c>
      <c r="I1186" s="7">
        <v>140</v>
      </c>
      <c r="J1186" s="7">
        <v>130</v>
      </c>
      <c r="K1186" s="7">
        <v>130</v>
      </c>
    </row>
    <row r="1187" spans="1:11" ht="43.2" x14ac:dyDescent="0.3">
      <c r="A1187" s="1">
        <v>67</v>
      </c>
      <c r="B1187" s="1">
        <v>2024</v>
      </c>
      <c r="C1187" s="3">
        <v>45534</v>
      </c>
      <c r="D1187" s="8" t="s">
        <v>38</v>
      </c>
      <c r="E1187" s="9" t="s">
        <v>63</v>
      </c>
      <c r="F1187" s="9" t="s">
        <v>40</v>
      </c>
      <c r="G1187" s="11">
        <v>60</v>
      </c>
      <c r="H1187" s="11">
        <v>45</v>
      </c>
      <c r="I1187" s="11">
        <v>60</v>
      </c>
      <c r="J1187" s="11" t="s">
        <v>92</v>
      </c>
      <c r="K1187" s="11">
        <v>55</v>
      </c>
    </row>
    <row r="1188" spans="1:11" ht="43.2" x14ac:dyDescent="0.3">
      <c r="A1188" s="1">
        <v>67</v>
      </c>
      <c r="B1188" s="1">
        <v>2024</v>
      </c>
      <c r="C1188" s="3">
        <v>45534</v>
      </c>
      <c r="D1188" s="4" t="s">
        <v>38</v>
      </c>
      <c r="E1188" s="5" t="s">
        <v>64</v>
      </c>
      <c r="F1188" s="5" t="s">
        <v>40</v>
      </c>
      <c r="G1188" s="6"/>
      <c r="H1188" s="7">
        <v>120</v>
      </c>
      <c r="I1188" s="7">
        <v>120</v>
      </c>
      <c r="J1188" s="7">
        <v>120</v>
      </c>
      <c r="K1188" s="7">
        <v>120</v>
      </c>
    </row>
    <row r="1189" spans="1:11" x14ac:dyDescent="0.3">
      <c r="A1189" s="1">
        <v>67</v>
      </c>
      <c r="B1189" s="1">
        <v>2024</v>
      </c>
      <c r="C1189" s="3">
        <v>45534</v>
      </c>
      <c r="D1189" s="8" t="s">
        <v>65</v>
      </c>
      <c r="E1189" s="9" t="s">
        <v>66</v>
      </c>
      <c r="F1189" s="9" t="s">
        <v>45</v>
      </c>
      <c r="G1189" s="10"/>
      <c r="H1189" s="10"/>
      <c r="I1189" s="10"/>
      <c r="J1189" s="10"/>
      <c r="K1189" s="10"/>
    </row>
    <row r="1190" spans="1:11" x14ac:dyDescent="0.3">
      <c r="A1190" s="1">
        <v>67</v>
      </c>
      <c r="B1190" s="1">
        <v>2024</v>
      </c>
      <c r="C1190" s="3">
        <v>45534</v>
      </c>
      <c r="D1190" s="4" t="s">
        <v>65</v>
      </c>
      <c r="E1190" s="5" t="s">
        <v>67</v>
      </c>
      <c r="F1190" s="5" t="s">
        <v>45</v>
      </c>
      <c r="G1190" s="6"/>
      <c r="H1190" s="6"/>
      <c r="I1190" s="6"/>
      <c r="J1190" s="6"/>
      <c r="K1190" s="6"/>
    </row>
    <row r="1191" spans="1:11" x14ac:dyDescent="0.3">
      <c r="A1191" s="1">
        <v>67</v>
      </c>
      <c r="B1191" s="1">
        <v>2024</v>
      </c>
      <c r="C1191" s="3">
        <v>45534</v>
      </c>
      <c r="D1191" s="8" t="s">
        <v>65</v>
      </c>
      <c r="E1191" s="9" t="s">
        <v>68</v>
      </c>
      <c r="F1191" s="9" t="s">
        <v>45</v>
      </c>
      <c r="G1191" s="10"/>
      <c r="H1191" s="10"/>
      <c r="I1191" s="10"/>
      <c r="J1191" s="10"/>
      <c r="K1191" s="10"/>
    </row>
    <row r="1192" spans="1:11" x14ac:dyDescent="0.3">
      <c r="A1192" s="1">
        <v>67</v>
      </c>
      <c r="B1192" s="1">
        <v>2024</v>
      </c>
      <c r="C1192" s="3">
        <v>45534</v>
      </c>
      <c r="D1192" s="4" t="s">
        <v>65</v>
      </c>
      <c r="E1192" s="5" t="s">
        <v>69</v>
      </c>
      <c r="F1192" s="5" t="s">
        <v>45</v>
      </c>
      <c r="G1192" s="6"/>
      <c r="H1192" s="7">
        <v>60</v>
      </c>
      <c r="I1192" s="7">
        <v>60</v>
      </c>
      <c r="J1192" s="7">
        <v>60</v>
      </c>
      <c r="K1192" s="7">
        <v>60</v>
      </c>
    </row>
    <row r="1193" spans="1:11" x14ac:dyDescent="0.3">
      <c r="A1193" s="1">
        <v>67</v>
      </c>
      <c r="B1193" s="1">
        <v>2024</v>
      </c>
      <c r="C1193" s="3">
        <v>45534</v>
      </c>
      <c r="D1193" s="8" t="s">
        <v>65</v>
      </c>
      <c r="E1193" s="9" t="s">
        <v>70</v>
      </c>
      <c r="F1193" s="9" t="s">
        <v>71</v>
      </c>
      <c r="G1193" s="10"/>
      <c r="H1193" s="11">
        <v>80</v>
      </c>
      <c r="I1193" s="11">
        <v>80</v>
      </c>
      <c r="J1193" s="11">
        <v>80</v>
      </c>
      <c r="K1193" s="11">
        <v>80</v>
      </c>
    </row>
    <row r="1194" spans="1:11" ht="28.8" x14ac:dyDescent="0.3">
      <c r="A1194" s="1">
        <v>68</v>
      </c>
      <c r="B1194" s="1">
        <v>2024</v>
      </c>
      <c r="C1194" s="3">
        <v>45541</v>
      </c>
      <c r="D1194" s="4" t="s">
        <v>11</v>
      </c>
      <c r="E1194" s="5" t="s">
        <v>12</v>
      </c>
      <c r="F1194" s="5" t="s">
        <v>13</v>
      </c>
      <c r="G1194" s="7">
        <v>48</v>
      </c>
      <c r="H1194" s="7">
        <v>48</v>
      </c>
      <c r="I1194" s="7">
        <v>60</v>
      </c>
      <c r="J1194" s="7" t="s">
        <v>294</v>
      </c>
      <c r="K1194" s="7">
        <v>48</v>
      </c>
    </row>
    <row r="1195" spans="1:11" ht="28.8" x14ac:dyDescent="0.3">
      <c r="A1195" s="1">
        <v>68</v>
      </c>
      <c r="B1195" s="1">
        <v>2024</v>
      </c>
      <c r="C1195" s="3">
        <v>45541</v>
      </c>
      <c r="D1195" s="8" t="s">
        <v>11</v>
      </c>
      <c r="E1195" s="9" t="s">
        <v>14</v>
      </c>
      <c r="F1195" s="9" t="s">
        <v>13</v>
      </c>
      <c r="G1195" s="11">
        <v>72</v>
      </c>
      <c r="H1195" s="11">
        <v>72</v>
      </c>
      <c r="I1195" s="11">
        <v>96</v>
      </c>
      <c r="J1195" s="11">
        <v>81</v>
      </c>
      <c r="K1195" s="11">
        <v>78</v>
      </c>
    </row>
    <row r="1196" spans="1:11" ht="28.8" x14ac:dyDescent="0.3">
      <c r="A1196" s="1">
        <v>68</v>
      </c>
      <c r="B1196" s="1">
        <v>2024</v>
      </c>
      <c r="C1196" s="3">
        <v>45541</v>
      </c>
      <c r="D1196" s="4" t="s">
        <v>11</v>
      </c>
      <c r="E1196" s="5" t="s">
        <v>15</v>
      </c>
      <c r="F1196" s="5" t="s">
        <v>13</v>
      </c>
      <c r="G1196" s="7">
        <v>36</v>
      </c>
      <c r="H1196" s="7">
        <v>25</v>
      </c>
      <c r="I1196" s="7">
        <v>42</v>
      </c>
      <c r="J1196" s="7">
        <v>35</v>
      </c>
      <c r="K1196" s="7">
        <v>36</v>
      </c>
    </row>
    <row r="1197" spans="1:11" ht="28.8" x14ac:dyDescent="0.3">
      <c r="A1197" s="1">
        <v>68</v>
      </c>
      <c r="B1197" s="1">
        <v>2024</v>
      </c>
      <c r="C1197" s="3">
        <v>45541</v>
      </c>
      <c r="D1197" s="8" t="s">
        <v>11</v>
      </c>
      <c r="E1197" s="9" t="s">
        <v>16</v>
      </c>
      <c r="F1197" s="9" t="s">
        <v>13</v>
      </c>
      <c r="G1197" s="11">
        <v>24</v>
      </c>
      <c r="H1197" s="11">
        <v>18</v>
      </c>
      <c r="I1197" s="11">
        <v>24</v>
      </c>
      <c r="J1197" s="11" t="s">
        <v>118</v>
      </c>
      <c r="K1197" s="11">
        <v>24</v>
      </c>
    </row>
    <row r="1198" spans="1:11" ht="28.8" x14ac:dyDescent="0.3">
      <c r="A1198" s="1">
        <v>68</v>
      </c>
      <c r="B1198" s="1">
        <v>2024</v>
      </c>
      <c r="C1198" s="3">
        <v>45541</v>
      </c>
      <c r="D1198" s="4" t="s">
        <v>11</v>
      </c>
      <c r="E1198" s="5" t="s">
        <v>17</v>
      </c>
      <c r="F1198" s="5" t="s">
        <v>13</v>
      </c>
      <c r="G1198" s="7">
        <v>24</v>
      </c>
      <c r="H1198" s="7">
        <v>18</v>
      </c>
      <c r="I1198" s="7">
        <v>24</v>
      </c>
      <c r="J1198" s="7">
        <v>21</v>
      </c>
      <c r="K1198" s="7">
        <v>21</v>
      </c>
    </row>
    <row r="1199" spans="1:11" ht="28.8" x14ac:dyDescent="0.3">
      <c r="A1199" s="1">
        <v>68</v>
      </c>
      <c r="B1199" s="1">
        <v>2024</v>
      </c>
      <c r="C1199" s="3">
        <v>45541</v>
      </c>
      <c r="D1199" s="8" t="s">
        <v>11</v>
      </c>
      <c r="E1199" s="9" t="s">
        <v>18</v>
      </c>
      <c r="F1199" s="9" t="s">
        <v>13</v>
      </c>
      <c r="G1199" s="11">
        <v>60</v>
      </c>
      <c r="H1199" s="11">
        <v>48</v>
      </c>
      <c r="I1199" s="11">
        <v>60</v>
      </c>
      <c r="J1199" s="11">
        <v>54</v>
      </c>
      <c r="K1199" s="11">
        <v>54</v>
      </c>
    </row>
    <row r="1200" spans="1:11" ht="28.8" x14ac:dyDescent="0.3">
      <c r="A1200" s="1">
        <v>68</v>
      </c>
      <c r="B1200" s="1">
        <v>2024</v>
      </c>
      <c r="C1200" s="3">
        <v>45541</v>
      </c>
      <c r="D1200" s="4" t="s">
        <v>11</v>
      </c>
      <c r="E1200" s="5" t="s">
        <v>19</v>
      </c>
      <c r="F1200" s="5" t="s">
        <v>13</v>
      </c>
      <c r="G1200" s="7">
        <v>60</v>
      </c>
      <c r="H1200" s="7">
        <v>48</v>
      </c>
      <c r="I1200" s="7">
        <v>72</v>
      </c>
      <c r="J1200" s="7">
        <v>60</v>
      </c>
      <c r="K1200" s="7">
        <v>60</v>
      </c>
    </row>
    <row r="1201" spans="1:11" ht="28.8" x14ac:dyDescent="0.3">
      <c r="A1201" s="1">
        <v>68</v>
      </c>
      <c r="B1201" s="1">
        <v>2024</v>
      </c>
      <c r="C1201" s="3">
        <v>45541</v>
      </c>
      <c r="D1201" s="8" t="s">
        <v>11</v>
      </c>
      <c r="E1201" s="9" t="s">
        <v>20</v>
      </c>
      <c r="F1201" s="9" t="s">
        <v>13</v>
      </c>
      <c r="G1201" s="11">
        <v>72</v>
      </c>
      <c r="H1201" s="11">
        <v>60</v>
      </c>
      <c r="I1201" s="11">
        <v>72</v>
      </c>
      <c r="J1201" s="11" t="s">
        <v>316</v>
      </c>
      <c r="K1201" s="11">
        <v>72</v>
      </c>
    </row>
    <row r="1202" spans="1:11" ht="28.8" x14ac:dyDescent="0.3">
      <c r="A1202" s="1">
        <v>68</v>
      </c>
      <c r="B1202" s="1">
        <v>2024</v>
      </c>
      <c r="C1202" s="3">
        <v>45541</v>
      </c>
      <c r="D1202" s="4" t="s">
        <v>11</v>
      </c>
      <c r="E1202" s="5" t="s">
        <v>21</v>
      </c>
      <c r="F1202" s="5" t="s">
        <v>13</v>
      </c>
      <c r="G1202" s="7">
        <v>18</v>
      </c>
      <c r="H1202" s="7">
        <v>18</v>
      </c>
      <c r="I1202" s="7">
        <v>24</v>
      </c>
      <c r="J1202" s="7" t="s">
        <v>317</v>
      </c>
      <c r="K1202" s="7">
        <v>18</v>
      </c>
    </row>
    <row r="1203" spans="1:11" ht="28.8" x14ac:dyDescent="0.3">
      <c r="A1203" s="1">
        <v>68</v>
      </c>
      <c r="B1203" s="1">
        <v>2024</v>
      </c>
      <c r="C1203" s="3">
        <v>45541</v>
      </c>
      <c r="D1203" s="8" t="s">
        <v>11</v>
      </c>
      <c r="E1203" s="9" t="s">
        <v>73</v>
      </c>
      <c r="F1203" s="9" t="s">
        <v>13</v>
      </c>
      <c r="G1203" s="11">
        <v>60</v>
      </c>
      <c r="H1203" s="11">
        <v>60</v>
      </c>
      <c r="I1203" s="11">
        <v>78</v>
      </c>
      <c r="J1203" s="11" t="s">
        <v>178</v>
      </c>
      <c r="K1203" s="11">
        <v>60</v>
      </c>
    </row>
    <row r="1204" spans="1:11" ht="28.8" x14ac:dyDescent="0.3">
      <c r="A1204" s="1">
        <v>68</v>
      </c>
      <c r="B1204" s="1">
        <v>2024</v>
      </c>
      <c r="C1204" s="3">
        <v>45541</v>
      </c>
      <c r="D1204" s="4" t="s">
        <v>11</v>
      </c>
      <c r="E1204" s="5" t="s">
        <v>23</v>
      </c>
      <c r="F1204" s="5" t="s">
        <v>13</v>
      </c>
      <c r="G1204" s="7">
        <v>24</v>
      </c>
      <c r="H1204" s="7">
        <v>18</v>
      </c>
      <c r="I1204" s="7">
        <v>24</v>
      </c>
      <c r="J1204" s="7" t="s">
        <v>281</v>
      </c>
      <c r="K1204" s="7">
        <v>24</v>
      </c>
    </row>
    <row r="1205" spans="1:11" ht="28.8" x14ac:dyDescent="0.3">
      <c r="A1205" s="1">
        <v>68</v>
      </c>
      <c r="B1205" s="1">
        <v>2024</v>
      </c>
      <c r="C1205" s="3">
        <v>45541</v>
      </c>
      <c r="D1205" s="8" t="s">
        <v>11</v>
      </c>
      <c r="E1205" s="9" t="s">
        <v>24</v>
      </c>
      <c r="F1205" s="9" t="s">
        <v>13</v>
      </c>
      <c r="G1205" s="11">
        <v>60</v>
      </c>
      <c r="H1205" s="11">
        <v>48</v>
      </c>
      <c r="I1205" s="11">
        <v>60</v>
      </c>
      <c r="J1205" s="11">
        <v>54</v>
      </c>
      <c r="K1205" s="11">
        <v>54</v>
      </c>
    </row>
    <row r="1206" spans="1:11" ht="28.8" x14ac:dyDescent="0.3">
      <c r="A1206" s="1">
        <v>68</v>
      </c>
      <c r="B1206" s="1">
        <v>2024</v>
      </c>
      <c r="C1206" s="3">
        <v>45541</v>
      </c>
      <c r="D1206" s="4" t="s">
        <v>11</v>
      </c>
      <c r="E1206" s="5" t="s">
        <v>25</v>
      </c>
      <c r="F1206" s="5" t="s">
        <v>26</v>
      </c>
      <c r="G1206" s="7">
        <v>48</v>
      </c>
      <c r="H1206" s="7">
        <v>42</v>
      </c>
      <c r="I1206" s="7">
        <v>60</v>
      </c>
      <c r="J1206" s="7" t="s">
        <v>305</v>
      </c>
      <c r="K1206" s="7">
        <v>48</v>
      </c>
    </row>
    <row r="1207" spans="1:11" ht="28.8" x14ac:dyDescent="0.3">
      <c r="A1207" s="1">
        <v>68</v>
      </c>
      <c r="B1207" s="1">
        <v>2024</v>
      </c>
      <c r="C1207" s="3">
        <v>45541</v>
      </c>
      <c r="D1207" s="8" t="s">
        <v>11</v>
      </c>
      <c r="E1207" s="9" t="s">
        <v>27</v>
      </c>
      <c r="F1207" s="9" t="s">
        <v>13</v>
      </c>
      <c r="G1207" s="11">
        <v>48</v>
      </c>
      <c r="H1207" s="11">
        <v>48</v>
      </c>
      <c r="I1207" s="11">
        <v>84</v>
      </c>
      <c r="J1207" s="11">
        <v>60</v>
      </c>
      <c r="K1207" s="11">
        <v>54</v>
      </c>
    </row>
    <row r="1208" spans="1:11" ht="28.8" x14ac:dyDescent="0.3">
      <c r="A1208" s="1">
        <v>68</v>
      </c>
      <c r="B1208" s="1">
        <v>2024</v>
      </c>
      <c r="C1208" s="3">
        <v>45541</v>
      </c>
      <c r="D1208" s="4" t="s">
        <v>11</v>
      </c>
      <c r="E1208" s="5" t="s">
        <v>28</v>
      </c>
      <c r="F1208" s="5" t="s">
        <v>13</v>
      </c>
      <c r="G1208" s="7">
        <v>36</v>
      </c>
      <c r="H1208" s="7">
        <v>20</v>
      </c>
      <c r="I1208" s="7">
        <v>40</v>
      </c>
      <c r="J1208" s="7" t="s">
        <v>318</v>
      </c>
      <c r="K1208" s="7">
        <v>36</v>
      </c>
    </row>
    <row r="1209" spans="1:11" ht="28.8" x14ac:dyDescent="0.3">
      <c r="A1209" s="1">
        <v>68</v>
      </c>
      <c r="B1209" s="1">
        <v>2024</v>
      </c>
      <c r="C1209" s="3">
        <v>45541</v>
      </c>
      <c r="D1209" s="8" t="s">
        <v>11</v>
      </c>
      <c r="E1209" s="9" t="s">
        <v>29</v>
      </c>
      <c r="F1209" s="9" t="s">
        <v>13</v>
      </c>
      <c r="G1209" s="11">
        <v>48</v>
      </c>
      <c r="H1209" s="11">
        <v>48</v>
      </c>
      <c r="I1209" s="11">
        <v>54</v>
      </c>
      <c r="J1209" s="11" t="s">
        <v>305</v>
      </c>
      <c r="K1209" s="11">
        <v>48</v>
      </c>
    </row>
    <row r="1210" spans="1:11" ht="28.8" x14ac:dyDescent="0.3">
      <c r="A1210" s="1">
        <v>68</v>
      </c>
      <c r="B1210" s="1">
        <v>2024</v>
      </c>
      <c r="C1210" s="3">
        <v>45541</v>
      </c>
      <c r="D1210" s="4" t="s">
        <v>11</v>
      </c>
      <c r="E1210" s="5" t="s">
        <v>31</v>
      </c>
      <c r="F1210" s="5" t="s">
        <v>32</v>
      </c>
      <c r="G1210" s="7">
        <v>5</v>
      </c>
      <c r="H1210" s="7">
        <v>5</v>
      </c>
      <c r="I1210" s="7">
        <v>5</v>
      </c>
      <c r="J1210" s="7">
        <v>5</v>
      </c>
      <c r="K1210" s="7">
        <v>5</v>
      </c>
    </row>
    <row r="1211" spans="1:11" ht="28.8" x14ac:dyDescent="0.3">
      <c r="A1211" s="1">
        <v>68</v>
      </c>
      <c r="B1211" s="1">
        <v>2024</v>
      </c>
      <c r="C1211" s="3">
        <v>45541</v>
      </c>
      <c r="D1211" s="8" t="s">
        <v>11</v>
      </c>
      <c r="E1211" s="9" t="s">
        <v>34</v>
      </c>
      <c r="F1211" s="9" t="s">
        <v>35</v>
      </c>
      <c r="G1211" s="11">
        <v>10</v>
      </c>
      <c r="H1211" s="11">
        <v>10</v>
      </c>
      <c r="I1211" s="11">
        <v>10</v>
      </c>
      <c r="J1211" s="11">
        <v>10</v>
      </c>
      <c r="K1211" s="11">
        <v>10</v>
      </c>
    </row>
    <row r="1212" spans="1:11" ht="28.8" x14ac:dyDescent="0.3">
      <c r="A1212" s="1">
        <v>68</v>
      </c>
      <c r="B1212" s="1">
        <v>2024</v>
      </c>
      <c r="C1212" s="3">
        <v>45541</v>
      </c>
      <c r="D1212" s="4" t="s">
        <v>11</v>
      </c>
      <c r="E1212" s="5" t="s">
        <v>36</v>
      </c>
      <c r="F1212" s="5" t="s">
        <v>35</v>
      </c>
      <c r="G1212" s="7">
        <v>15</v>
      </c>
      <c r="H1212" s="7">
        <v>15</v>
      </c>
      <c r="I1212" s="7">
        <v>30</v>
      </c>
      <c r="J1212" s="7">
        <v>21</v>
      </c>
      <c r="K1212" s="7">
        <v>20</v>
      </c>
    </row>
    <row r="1213" spans="1:11" ht="43.2" x14ac:dyDescent="0.3">
      <c r="A1213" s="1">
        <v>68</v>
      </c>
      <c r="B1213" s="1">
        <v>2024</v>
      </c>
      <c r="C1213" s="3">
        <v>45541</v>
      </c>
      <c r="D1213" s="8" t="s">
        <v>38</v>
      </c>
      <c r="E1213" s="9" t="s">
        <v>153</v>
      </c>
      <c r="F1213" s="9" t="s">
        <v>154</v>
      </c>
      <c r="G1213" s="11">
        <v>75</v>
      </c>
      <c r="H1213" s="11">
        <v>75</v>
      </c>
      <c r="I1213" s="11">
        <v>75</v>
      </c>
      <c r="J1213" s="11">
        <v>75</v>
      </c>
      <c r="K1213" s="11">
        <v>75</v>
      </c>
    </row>
    <row r="1214" spans="1:11" ht="43.2" x14ac:dyDescent="0.3">
      <c r="A1214" s="1">
        <v>68</v>
      </c>
      <c r="B1214" s="1">
        <v>2024</v>
      </c>
      <c r="C1214" s="3">
        <v>45541</v>
      </c>
      <c r="D1214" s="4" t="s">
        <v>38</v>
      </c>
      <c r="E1214" s="5" t="s">
        <v>39</v>
      </c>
      <c r="F1214" s="5" t="s">
        <v>40</v>
      </c>
      <c r="G1214" s="7">
        <v>45</v>
      </c>
      <c r="H1214" s="7">
        <v>30</v>
      </c>
      <c r="I1214" s="7">
        <v>50</v>
      </c>
      <c r="J1214" s="7">
        <v>42</v>
      </c>
      <c r="K1214" s="7">
        <v>45</v>
      </c>
    </row>
    <row r="1215" spans="1:11" ht="43.2" x14ac:dyDescent="0.3">
      <c r="A1215" s="1">
        <v>68</v>
      </c>
      <c r="B1215" s="1">
        <v>2024</v>
      </c>
      <c r="C1215" s="3">
        <v>45541</v>
      </c>
      <c r="D1215" s="8" t="s">
        <v>38</v>
      </c>
      <c r="E1215" s="9" t="s">
        <v>42</v>
      </c>
      <c r="F1215" s="9" t="s">
        <v>43</v>
      </c>
      <c r="G1215" s="11">
        <v>70</v>
      </c>
      <c r="H1215" s="11">
        <v>45</v>
      </c>
      <c r="I1215" s="11">
        <v>70</v>
      </c>
      <c r="J1215" s="11">
        <v>60</v>
      </c>
      <c r="K1215" s="11">
        <v>65</v>
      </c>
    </row>
    <row r="1216" spans="1:11" ht="43.2" x14ac:dyDescent="0.3">
      <c r="A1216" s="1">
        <v>68</v>
      </c>
      <c r="B1216" s="1">
        <v>2024</v>
      </c>
      <c r="C1216" s="3">
        <v>45541</v>
      </c>
      <c r="D1216" s="4" t="s">
        <v>38</v>
      </c>
      <c r="E1216" s="5" t="s">
        <v>44</v>
      </c>
      <c r="F1216" s="5" t="s">
        <v>45</v>
      </c>
      <c r="G1216" s="7">
        <v>50</v>
      </c>
      <c r="H1216" s="7">
        <v>40</v>
      </c>
      <c r="I1216" s="7">
        <v>50</v>
      </c>
      <c r="J1216" s="7">
        <v>46</v>
      </c>
      <c r="K1216" s="7">
        <v>50</v>
      </c>
    </row>
    <row r="1217" spans="1:11" ht="43.2" x14ac:dyDescent="0.3">
      <c r="A1217" s="1">
        <v>68</v>
      </c>
      <c r="B1217" s="1">
        <v>2024</v>
      </c>
      <c r="C1217" s="3">
        <v>45541</v>
      </c>
      <c r="D1217" s="8" t="s">
        <v>38</v>
      </c>
      <c r="E1217" s="9" t="s">
        <v>48</v>
      </c>
      <c r="F1217" s="9" t="s">
        <v>45</v>
      </c>
      <c r="G1217" s="10"/>
      <c r="H1217" s="11">
        <v>90</v>
      </c>
      <c r="I1217" s="11">
        <v>100</v>
      </c>
      <c r="J1217" s="11">
        <v>95</v>
      </c>
      <c r="K1217" s="11">
        <v>95</v>
      </c>
    </row>
    <row r="1218" spans="1:11" ht="43.2" x14ac:dyDescent="0.3">
      <c r="A1218" s="1">
        <v>68</v>
      </c>
      <c r="B1218" s="1">
        <v>2024</v>
      </c>
      <c r="C1218" s="3">
        <v>45541</v>
      </c>
      <c r="D1218" s="4" t="s">
        <v>38</v>
      </c>
      <c r="E1218" s="5" t="s">
        <v>49</v>
      </c>
      <c r="F1218" s="5" t="s">
        <v>50</v>
      </c>
      <c r="G1218" s="7">
        <v>60</v>
      </c>
      <c r="H1218" s="7">
        <v>60</v>
      </c>
      <c r="I1218" s="7">
        <v>65</v>
      </c>
      <c r="J1218" s="7">
        <v>62</v>
      </c>
      <c r="K1218" s="7">
        <v>60</v>
      </c>
    </row>
    <row r="1219" spans="1:11" ht="43.2" x14ac:dyDescent="0.3">
      <c r="A1219" s="1">
        <v>68</v>
      </c>
      <c r="B1219" s="1">
        <v>2024</v>
      </c>
      <c r="C1219" s="3">
        <v>45541</v>
      </c>
      <c r="D1219" s="8" t="s">
        <v>38</v>
      </c>
      <c r="E1219" s="9" t="s">
        <v>52</v>
      </c>
      <c r="F1219" s="9" t="s">
        <v>43</v>
      </c>
      <c r="G1219" s="11">
        <v>55</v>
      </c>
      <c r="H1219" s="11">
        <v>35</v>
      </c>
      <c r="I1219" s="11">
        <v>60</v>
      </c>
      <c r="J1219" s="11">
        <v>51</v>
      </c>
      <c r="K1219" s="11">
        <v>55</v>
      </c>
    </row>
    <row r="1220" spans="1:11" ht="43.2" x14ac:dyDescent="0.3">
      <c r="A1220" s="1">
        <v>68</v>
      </c>
      <c r="B1220" s="1">
        <v>2024</v>
      </c>
      <c r="C1220" s="3">
        <v>45541</v>
      </c>
      <c r="D1220" s="4" t="s">
        <v>38</v>
      </c>
      <c r="E1220" s="5" t="s">
        <v>53</v>
      </c>
      <c r="F1220" s="5" t="s">
        <v>43</v>
      </c>
      <c r="G1220" s="7">
        <v>65</v>
      </c>
      <c r="H1220" s="7">
        <v>50</v>
      </c>
      <c r="I1220" s="7">
        <v>65</v>
      </c>
      <c r="J1220" s="7">
        <v>58</v>
      </c>
      <c r="K1220" s="7">
        <v>60</v>
      </c>
    </row>
    <row r="1221" spans="1:11" ht="43.2" x14ac:dyDescent="0.3">
      <c r="A1221" s="1">
        <v>68</v>
      </c>
      <c r="B1221" s="1">
        <v>2024</v>
      </c>
      <c r="C1221" s="3">
        <v>45541</v>
      </c>
      <c r="D1221" s="8" t="s">
        <v>38</v>
      </c>
      <c r="E1221" s="9" t="s">
        <v>54</v>
      </c>
      <c r="F1221" s="9" t="s">
        <v>40</v>
      </c>
      <c r="G1221" s="11">
        <v>90</v>
      </c>
      <c r="H1221" s="11">
        <v>70</v>
      </c>
      <c r="I1221" s="11">
        <v>100</v>
      </c>
      <c r="J1221" s="11" t="s">
        <v>239</v>
      </c>
      <c r="K1221" s="11">
        <v>90</v>
      </c>
    </row>
    <row r="1222" spans="1:11" ht="43.2" x14ac:dyDescent="0.3">
      <c r="A1222" s="1">
        <v>68</v>
      </c>
      <c r="B1222" s="1">
        <v>2024</v>
      </c>
      <c r="C1222" s="3">
        <v>45541</v>
      </c>
      <c r="D1222" s="4" t="s">
        <v>38</v>
      </c>
      <c r="E1222" s="5" t="s">
        <v>56</v>
      </c>
      <c r="F1222" s="5" t="s">
        <v>43</v>
      </c>
      <c r="G1222" s="6"/>
      <c r="H1222" s="7">
        <v>60</v>
      </c>
      <c r="I1222" s="7">
        <v>60</v>
      </c>
      <c r="J1222" s="7">
        <v>60</v>
      </c>
      <c r="K1222" s="7">
        <v>60</v>
      </c>
    </row>
    <row r="1223" spans="1:11" ht="43.2" x14ac:dyDescent="0.3">
      <c r="A1223" s="1">
        <v>68</v>
      </c>
      <c r="B1223" s="1">
        <v>2024</v>
      </c>
      <c r="C1223" s="3">
        <v>45541</v>
      </c>
      <c r="D1223" s="8" t="s">
        <v>38</v>
      </c>
      <c r="E1223" s="9" t="s">
        <v>57</v>
      </c>
      <c r="F1223" s="9" t="s">
        <v>40</v>
      </c>
      <c r="G1223" s="10"/>
      <c r="H1223" s="11">
        <v>70</v>
      </c>
      <c r="I1223" s="11">
        <v>85</v>
      </c>
      <c r="J1223" s="11" t="s">
        <v>134</v>
      </c>
      <c r="K1223" s="11" t="s">
        <v>134</v>
      </c>
    </row>
    <row r="1224" spans="1:11" ht="43.2" x14ac:dyDescent="0.3">
      <c r="A1224" s="1">
        <v>68</v>
      </c>
      <c r="B1224" s="1">
        <v>2024</v>
      </c>
      <c r="C1224" s="3">
        <v>45541</v>
      </c>
      <c r="D1224" s="4" t="s">
        <v>38</v>
      </c>
      <c r="E1224" s="5" t="s">
        <v>58</v>
      </c>
      <c r="F1224" s="5" t="s">
        <v>40</v>
      </c>
      <c r="G1224" s="7">
        <v>120</v>
      </c>
      <c r="H1224" s="7">
        <v>80</v>
      </c>
      <c r="I1224" s="7">
        <v>120</v>
      </c>
      <c r="J1224" s="7">
        <v>103</v>
      </c>
      <c r="K1224" s="7">
        <v>110</v>
      </c>
    </row>
    <row r="1225" spans="1:11" ht="43.2" x14ac:dyDescent="0.3">
      <c r="A1225" s="1">
        <v>68</v>
      </c>
      <c r="B1225" s="1">
        <v>2024</v>
      </c>
      <c r="C1225" s="3">
        <v>45541</v>
      </c>
      <c r="D1225" s="8" t="s">
        <v>38</v>
      </c>
      <c r="E1225" s="9" t="s">
        <v>59</v>
      </c>
      <c r="F1225" s="9" t="s">
        <v>45</v>
      </c>
      <c r="G1225" s="11">
        <v>50</v>
      </c>
      <c r="H1225" s="11">
        <v>50</v>
      </c>
      <c r="I1225" s="11">
        <v>60</v>
      </c>
      <c r="J1225" s="11">
        <v>53</v>
      </c>
      <c r="K1225" s="11">
        <v>50</v>
      </c>
    </row>
    <row r="1226" spans="1:11" ht="43.2" x14ac:dyDescent="0.3">
      <c r="A1226" s="1">
        <v>68</v>
      </c>
      <c r="B1226" s="1">
        <v>2024</v>
      </c>
      <c r="C1226" s="3">
        <v>45541</v>
      </c>
      <c r="D1226" s="4" t="s">
        <v>38</v>
      </c>
      <c r="E1226" s="5" t="s">
        <v>60</v>
      </c>
      <c r="F1226" s="5" t="s">
        <v>61</v>
      </c>
      <c r="G1226" s="6"/>
      <c r="H1226" s="7">
        <v>110</v>
      </c>
      <c r="I1226" s="7">
        <v>160</v>
      </c>
      <c r="J1226" s="7">
        <v>137</v>
      </c>
      <c r="K1226" s="7">
        <v>140</v>
      </c>
    </row>
    <row r="1227" spans="1:11" ht="43.2" x14ac:dyDescent="0.3">
      <c r="A1227" s="1">
        <v>68</v>
      </c>
      <c r="B1227" s="1">
        <v>2024</v>
      </c>
      <c r="C1227" s="3">
        <v>45541</v>
      </c>
      <c r="D1227" s="8" t="s">
        <v>38</v>
      </c>
      <c r="E1227" s="9" t="s">
        <v>63</v>
      </c>
      <c r="F1227" s="9" t="s">
        <v>40</v>
      </c>
      <c r="G1227" s="11">
        <v>60</v>
      </c>
      <c r="H1227" s="11">
        <v>45</v>
      </c>
      <c r="I1227" s="11">
        <v>60</v>
      </c>
      <c r="J1227" s="11">
        <v>53</v>
      </c>
      <c r="K1227" s="11">
        <v>50</v>
      </c>
    </row>
    <row r="1228" spans="1:11" ht="43.2" x14ac:dyDescent="0.3">
      <c r="A1228" s="1">
        <v>68</v>
      </c>
      <c r="B1228" s="1">
        <v>2024</v>
      </c>
      <c r="C1228" s="3">
        <v>45541</v>
      </c>
      <c r="D1228" s="4" t="s">
        <v>38</v>
      </c>
      <c r="E1228" s="5" t="s">
        <v>64</v>
      </c>
      <c r="F1228" s="5" t="s">
        <v>40</v>
      </c>
      <c r="G1228" s="6"/>
      <c r="H1228" s="7">
        <v>120</v>
      </c>
      <c r="I1228" s="7">
        <v>150</v>
      </c>
      <c r="J1228" s="7">
        <v>135</v>
      </c>
      <c r="K1228" s="7">
        <v>135</v>
      </c>
    </row>
    <row r="1229" spans="1:11" x14ac:dyDescent="0.3">
      <c r="A1229" s="1">
        <v>68</v>
      </c>
      <c r="B1229" s="1">
        <v>2024</v>
      </c>
      <c r="C1229" s="3">
        <v>45541</v>
      </c>
      <c r="D1229" s="8" t="s">
        <v>65</v>
      </c>
      <c r="E1229" s="9" t="s">
        <v>66</v>
      </c>
      <c r="F1229" s="9" t="s">
        <v>45</v>
      </c>
      <c r="G1229" s="10"/>
      <c r="H1229" s="10"/>
      <c r="I1229" s="10"/>
      <c r="J1229" s="10"/>
      <c r="K1229" s="10"/>
    </row>
    <row r="1230" spans="1:11" x14ac:dyDescent="0.3">
      <c r="A1230" s="1">
        <v>68</v>
      </c>
      <c r="B1230" s="1">
        <v>2024</v>
      </c>
      <c r="C1230" s="3">
        <v>45541</v>
      </c>
      <c r="D1230" s="4" t="s">
        <v>65</v>
      </c>
      <c r="E1230" s="5" t="s">
        <v>67</v>
      </c>
      <c r="F1230" s="5" t="s">
        <v>45</v>
      </c>
      <c r="G1230" s="6"/>
      <c r="H1230" s="6"/>
      <c r="I1230" s="6"/>
      <c r="J1230" s="6"/>
      <c r="K1230" s="6"/>
    </row>
    <row r="1231" spans="1:11" x14ac:dyDescent="0.3">
      <c r="A1231" s="1">
        <v>68</v>
      </c>
      <c r="B1231" s="1">
        <v>2024</v>
      </c>
      <c r="C1231" s="3">
        <v>45541</v>
      </c>
      <c r="D1231" s="8" t="s">
        <v>65</v>
      </c>
      <c r="E1231" s="9" t="s">
        <v>68</v>
      </c>
      <c r="F1231" s="9" t="s">
        <v>45</v>
      </c>
      <c r="G1231" s="10"/>
      <c r="H1231" s="10"/>
      <c r="I1231" s="10"/>
      <c r="J1231" s="10"/>
      <c r="K1231" s="10"/>
    </row>
    <row r="1232" spans="1:11" x14ac:dyDescent="0.3">
      <c r="A1232" s="1">
        <v>68</v>
      </c>
      <c r="B1232" s="1">
        <v>2024</v>
      </c>
      <c r="C1232" s="3">
        <v>45541</v>
      </c>
      <c r="D1232" s="4" t="s">
        <v>65</v>
      </c>
      <c r="E1232" s="5" t="s">
        <v>69</v>
      </c>
      <c r="F1232" s="5" t="s">
        <v>45</v>
      </c>
      <c r="G1232" s="6"/>
      <c r="H1232" s="7">
        <v>60</v>
      </c>
      <c r="I1232" s="7">
        <v>60</v>
      </c>
      <c r="J1232" s="7">
        <v>60</v>
      </c>
      <c r="K1232" s="7">
        <v>60</v>
      </c>
    </row>
    <row r="1233" spans="1:11" x14ac:dyDescent="0.3">
      <c r="A1233" s="1">
        <v>68</v>
      </c>
      <c r="B1233" s="1">
        <v>2024</v>
      </c>
      <c r="C1233" s="3">
        <v>45541</v>
      </c>
      <c r="D1233" s="8" t="s">
        <v>65</v>
      </c>
      <c r="E1233" s="9" t="s">
        <v>70</v>
      </c>
      <c r="F1233" s="9" t="s">
        <v>71</v>
      </c>
      <c r="G1233" s="10"/>
      <c r="H1233" s="10"/>
      <c r="I1233" s="10"/>
      <c r="J1233" s="10"/>
      <c r="K1233" s="10"/>
    </row>
    <row r="1234" spans="1:11" ht="28.8" x14ac:dyDescent="0.3">
      <c r="A1234" s="1">
        <v>69</v>
      </c>
      <c r="B1234" s="1">
        <v>2024</v>
      </c>
      <c r="C1234" s="3">
        <v>45548</v>
      </c>
      <c r="D1234" s="4" t="s">
        <v>11</v>
      </c>
      <c r="E1234" s="5" t="s">
        <v>12</v>
      </c>
      <c r="F1234" s="5" t="s">
        <v>13</v>
      </c>
      <c r="G1234" s="7">
        <v>48</v>
      </c>
      <c r="H1234" s="7">
        <v>5</v>
      </c>
      <c r="I1234" s="7">
        <v>48</v>
      </c>
      <c r="J1234" s="7" t="s">
        <v>319</v>
      </c>
      <c r="K1234" s="7">
        <v>36</v>
      </c>
    </row>
    <row r="1235" spans="1:11" ht="28.8" x14ac:dyDescent="0.3">
      <c r="A1235" s="1">
        <v>69</v>
      </c>
      <c r="B1235" s="1">
        <v>2024</v>
      </c>
      <c r="C1235" s="3">
        <v>45548</v>
      </c>
      <c r="D1235" s="8" t="s">
        <v>11</v>
      </c>
      <c r="E1235" s="9" t="s">
        <v>14</v>
      </c>
      <c r="F1235" s="9" t="s">
        <v>13</v>
      </c>
      <c r="G1235" s="11">
        <v>60</v>
      </c>
      <c r="H1235" s="11">
        <v>7</v>
      </c>
      <c r="I1235" s="11">
        <v>72</v>
      </c>
      <c r="J1235" s="11" t="s">
        <v>320</v>
      </c>
      <c r="K1235" s="11">
        <v>60</v>
      </c>
    </row>
    <row r="1236" spans="1:11" ht="28.8" x14ac:dyDescent="0.3">
      <c r="A1236" s="1">
        <v>69</v>
      </c>
      <c r="B1236" s="1">
        <v>2024</v>
      </c>
      <c r="C1236" s="3">
        <v>45548</v>
      </c>
      <c r="D1236" s="4" t="s">
        <v>11</v>
      </c>
      <c r="E1236" s="5" t="s">
        <v>15</v>
      </c>
      <c r="F1236" s="5" t="s">
        <v>13</v>
      </c>
      <c r="G1236" s="7">
        <v>30</v>
      </c>
      <c r="H1236" s="7">
        <v>30</v>
      </c>
      <c r="I1236" s="7">
        <v>36</v>
      </c>
      <c r="J1236" s="7">
        <v>31</v>
      </c>
      <c r="K1236" s="7">
        <v>30</v>
      </c>
    </row>
    <row r="1237" spans="1:11" ht="28.8" x14ac:dyDescent="0.3">
      <c r="A1237" s="1">
        <v>69</v>
      </c>
      <c r="B1237" s="1">
        <v>2024</v>
      </c>
      <c r="C1237" s="3">
        <v>45548</v>
      </c>
      <c r="D1237" s="8" t="s">
        <v>11</v>
      </c>
      <c r="E1237" s="9" t="s">
        <v>16</v>
      </c>
      <c r="F1237" s="9" t="s">
        <v>13</v>
      </c>
      <c r="G1237" s="11">
        <v>18</v>
      </c>
      <c r="H1237" s="11">
        <v>15</v>
      </c>
      <c r="I1237" s="11">
        <v>24</v>
      </c>
      <c r="J1237" s="11">
        <v>19</v>
      </c>
      <c r="K1237" s="11">
        <v>18</v>
      </c>
    </row>
    <row r="1238" spans="1:11" ht="28.8" x14ac:dyDescent="0.3">
      <c r="A1238" s="1">
        <v>69</v>
      </c>
      <c r="B1238" s="1">
        <v>2024</v>
      </c>
      <c r="C1238" s="3">
        <v>45548</v>
      </c>
      <c r="D1238" s="4" t="s">
        <v>11</v>
      </c>
      <c r="E1238" s="5" t="s">
        <v>17</v>
      </c>
      <c r="F1238" s="5" t="s">
        <v>13</v>
      </c>
      <c r="G1238" s="7">
        <v>24</v>
      </c>
      <c r="H1238" s="7">
        <v>15</v>
      </c>
      <c r="I1238" s="7">
        <v>24</v>
      </c>
      <c r="J1238" s="7" t="s">
        <v>317</v>
      </c>
      <c r="K1238" s="7">
        <v>24</v>
      </c>
    </row>
    <row r="1239" spans="1:11" ht="28.8" x14ac:dyDescent="0.3">
      <c r="A1239" s="1">
        <v>69</v>
      </c>
      <c r="B1239" s="1">
        <v>2024</v>
      </c>
      <c r="C1239" s="3">
        <v>45548</v>
      </c>
      <c r="D1239" s="8" t="s">
        <v>11</v>
      </c>
      <c r="E1239" s="9" t="s">
        <v>18</v>
      </c>
      <c r="F1239" s="9" t="s">
        <v>13</v>
      </c>
      <c r="G1239" s="11">
        <v>60</v>
      </c>
      <c r="H1239" s="11">
        <v>5</v>
      </c>
      <c r="I1239" s="11">
        <v>60</v>
      </c>
      <c r="J1239" s="11" t="s">
        <v>321</v>
      </c>
      <c r="K1239" s="11">
        <v>60</v>
      </c>
    </row>
    <row r="1240" spans="1:11" ht="28.8" x14ac:dyDescent="0.3">
      <c r="A1240" s="1">
        <v>69</v>
      </c>
      <c r="B1240" s="1">
        <v>2024</v>
      </c>
      <c r="C1240" s="3">
        <v>45548</v>
      </c>
      <c r="D1240" s="4" t="s">
        <v>11</v>
      </c>
      <c r="E1240" s="5" t="s">
        <v>19</v>
      </c>
      <c r="F1240" s="5" t="s">
        <v>13</v>
      </c>
      <c r="G1240" s="6"/>
      <c r="H1240" s="7">
        <v>6</v>
      </c>
      <c r="I1240" s="7">
        <v>60</v>
      </c>
      <c r="J1240" s="7">
        <v>42</v>
      </c>
      <c r="K1240" s="7">
        <v>48</v>
      </c>
    </row>
    <row r="1241" spans="1:11" ht="28.8" x14ac:dyDescent="0.3">
      <c r="A1241" s="1">
        <v>69</v>
      </c>
      <c r="B1241" s="1">
        <v>2024</v>
      </c>
      <c r="C1241" s="3">
        <v>45548</v>
      </c>
      <c r="D1241" s="8" t="s">
        <v>11</v>
      </c>
      <c r="E1241" s="9" t="s">
        <v>20</v>
      </c>
      <c r="F1241" s="9" t="s">
        <v>13</v>
      </c>
      <c r="G1241" s="11">
        <v>72</v>
      </c>
      <c r="H1241" s="11">
        <v>7</v>
      </c>
      <c r="I1241" s="11">
        <v>96</v>
      </c>
      <c r="J1241" s="11" t="s">
        <v>322</v>
      </c>
      <c r="K1241" s="11">
        <v>66</v>
      </c>
    </row>
    <row r="1242" spans="1:11" ht="28.8" x14ac:dyDescent="0.3">
      <c r="A1242" s="1">
        <v>69</v>
      </c>
      <c r="B1242" s="1">
        <v>2024</v>
      </c>
      <c r="C1242" s="3">
        <v>45548</v>
      </c>
      <c r="D1242" s="4" t="s">
        <v>11</v>
      </c>
      <c r="E1242" s="5" t="s">
        <v>21</v>
      </c>
      <c r="F1242" s="5" t="s">
        <v>13</v>
      </c>
      <c r="G1242" s="7">
        <v>24</v>
      </c>
      <c r="H1242" s="7">
        <v>2</v>
      </c>
      <c r="I1242" s="7">
        <v>24</v>
      </c>
      <c r="J1242" s="7" t="s">
        <v>323</v>
      </c>
      <c r="K1242" s="7">
        <v>21</v>
      </c>
    </row>
    <row r="1243" spans="1:11" ht="28.8" x14ac:dyDescent="0.3">
      <c r="A1243" s="1">
        <v>69</v>
      </c>
      <c r="B1243" s="1">
        <v>2024</v>
      </c>
      <c r="C1243" s="3">
        <v>45548</v>
      </c>
      <c r="D1243" s="8" t="s">
        <v>11</v>
      </c>
      <c r="E1243" s="9" t="s">
        <v>73</v>
      </c>
      <c r="F1243" s="9" t="s">
        <v>13</v>
      </c>
      <c r="G1243" s="11">
        <v>60</v>
      </c>
      <c r="H1243" s="11">
        <v>15</v>
      </c>
      <c r="I1243" s="11">
        <v>60</v>
      </c>
      <c r="J1243" s="11" t="s">
        <v>324</v>
      </c>
      <c r="K1243" s="11">
        <v>48</v>
      </c>
    </row>
    <row r="1244" spans="1:11" ht="28.8" x14ac:dyDescent="0.3">
      <c r="A1244" s="1">
        <v>69</v>
      </c>
      <c r="B1244" s="1">
        <v>2024</v>
      </c>
      <c r="C1244" s="3">
        <v>45548</v>
      </c>
      <c r="D1244" s="4" t="s">
        <v>11</v>
      </c>
      <c r="E1244" s="5" t="s">
        <v>23</v>
      </c>
      <c r="F1244" s="5" t="s">
        <v>13</v>
      </c>
      <c r="G1244" s="7">
        <v>24</v>
      </c>
      <c r="H1244" s="7">
        <v>6</v>
      </c>
      <c r="I1244" s="7">
        <v>60</v>
      </c>
      <c r="J1244" s="7">
        <v>27</v>
      </c>
      <c r="K1244" s="7">
        <v>24</v>
      </c>
    </row>
    <row r="1245" spans="1:11" ht="28.8" x14ac:dyDescent="0.3">
      <c r="A1245" s="1">
        <v>69</v>
      </c>
      <c r="B1245" s="1">
        <v>2024</v>
      </c>
      <c r="C1245" s="3">
        <v>45548</v>
      </c>
      <c r="D1245" s="8" t="s">
        <v>11</v>
      </c>
      <c r="E1245" s="9" t="s">
        <v>24</v>
      </c>
      <c r="F1245" s="9" t="s">
        <v>13</v>
      </c>
      <c r="G1245" s="11">
        <v>48</v>
      </c>
      <c r="H1245" s="11">
        <v>5</v>
      </c>
      <c r="I1245" s="11">
        <v>60</v>
      </c>
      <c r="J1245" s="11" t="s">
        <v>325</v>
      </c>
      <c r="K1245" s="11">
        <v>48</v>
      </c>
    </row>
    <row r="1246" spans="1:11" ht="28.8" x14ac:dyDescent="0.3">
      <c r="A1246" s="1">
        <v>69</v>
      </c>
      <c r="B1246" s="1">
        <v>2024</v>
      </c>
      <c r="C1246" s="3">
        <v>45548</v>
      </c>
      <c r="D1246" s="4" t="s">
        <v>11</v>
      </c>
      <c r="E1246" s="5" t="s">
        <v>25</v>
      </c>
      <c r="F1246" s="5" t="s">
        <v>26</v>
      </c>
      <c r="G1246" s="7">
        <v>48</v>
      </c>
      <c r="H1246" s="7">
        <v>7</v>
      </c>
      <c r="I1246" s="7">
        <v>60</v>
      </c>
      <c r="J1246" s="7" t="s">
        <v>326</v>
      </c>
      <c r="K1246" s="7">
        <v>48</v>
      </c>
    </row>
    <row r="1247" spans="1:11" ht="28.8" x14ac:dyDescent="0.3">
      <c r="A1247" s="1">
        <v>69</v>
      </c>
      <c r="B1247" s="1">
        <v>2024</v>
      </c>
      <c r="C1247" s="3">
        <v>45548</v>
      </c>
      <c r="D1247" s="8" t="s">
        <v>11</v>
      </c>
      <c r="E1247" s="9" t="s">
        <v>27</v>
      </c>
      <c r="F1247" s="9" t="s">
        <v>13</v>
      </c>
      <c r="G1247" s="11">
        <v>48</v>
      </c>
      <c r="H1247" s="11">
        <v>20</v>
      </c>
      <c r="I1247" s="11">
        <v>60</v>
      </c>
      <c r="J1247" s="11" t="s">
        <v>327</v>
      </c>
      <c r="K1247" s="11">
        <v>48</v>
      </c>
    </row>
    <row r="1248" spans="1:11" ht="28.8" x14ac:dyDescent="0.3">
      <c r="A1248" s="1">
        <v>69</v>
      </c>
      <c r="B1248" s="1">
        <v>2024</v>
      </c>
      <c r="C1248" s="3">
        <v>45548</v>
      </c>
      <c r="D1248" s="4" t="s">
        <v>11</v>
      </c>
      <c r="E1248" s="5" t="s">
        <v>28</v>
      </c>
      <c r="F1248" s="5" t="s">
        <v>13</v>
      </c>
      <c r="G1248" s="7">
        <v>36</v>
      </c>
      <c r="H1248" s="7">
        <v>4</v>
      </c>
      <c r="I1248" s="7">
        <v>50</v>
      </c>
      <c r="J1248" s="7">
        <v>33</v>
      </c>
      <c r="K1248" s="7">
        <v>36</v>
      </c>
    </row>
    <row r="1249" spans="1:11" ht="28.8" x14ac:dyDescent="0.3">
      <c r="A1249" s="1">
        <v>69</v>
      </c>
      <c r="B1249" s="1">
        <v>2024</v>
      </c>
      <c r="C1249" s="3">
        <v>45548</v>
      </c>
      <c r="D1249" s="8" t="s">
        <v>11</v>
      </c>
      <c r="E1249" s="9" t="s">
        <v>29</v>
      </c>
      <c r="F1249" s="9" t="s">
        <v>13</v>
      </c>
      <c r="G1249" s="11">
        <v>48</v>
      </c>
      <c r="H1249" s="11" t="s">
        <v>97</v>
      </c>
      <c r="I1249" s="11">
        <v>60</v>
      </c>
      <c r="J1249" s="11" t="s">
        <v>328</v>
      </c>
      <c r="K1249" s="11">
        <v>48</v>
      </c>
    </row>
    <row r="1250" spans="1:11" ht="28.8" x14ac:dyDescent="0.3">
      <c r="A1250" s="1">
        <v>69</v>
      </c>
      <c r="B1250" s="1">
        <v>2024</v>
      </c>
      <c r="C1250" s="3">
        <v>45548</v>
      </c>
      <c r="D1250" s="4" t="s">
        <v>11</v>
      </c>
      <c r="E1250" s="5" t="s">
        <v>31</v>
      </c>
      <c r="F1250" s="5" t="s">
        <v>32</v>
      </c>
      <c r="G1250" s="7">
        <v>5</v>
      </c>
      <c r="H1250" s="7">
        <v>4</v>
      </c>
      <c r="I1250" s="7">
        <v>5</v>
      </c>
      <c r="J1250" s="7" t="s">
        <v>295</v>
      </c>
      <c r="K1250" s="7">
        <v>5</v>
      </c>
    </row>
    <row r="1251" spans="1:11" ht="28.8" x14ac:dyDescent="0.3">
      <c r="A1251" s="1">
        <v>69</v>
      </c>
      <c r="B1251" s="1">
        <v>2024</v>
      </c>
      <c r="C1251" s="3">
        <v>45548</v>
      </c>
      <c r="D1251" s="8" t="s">
        <v>11</v>
      </c>
      <c r="E1251" s="9" t="s">
        <v>34</v>
      </c>
      <c r="F1251" s="9" t="s">
        <v>35</v>
      </c>
      <c r="G1251" s="11">
        <v>10</v>
      </c>
      <c r="H1251" s="11">
        <v>8</v>
      </c>
      <c r="I1251" s="11">
        <v>12</v>
      </c>
      <c r="J1251" s="11">
        <v>10</v>
      </c>
      <c r="K1251" s="11">
        <v>10</v>
      </c>
    </row>
    <row r="1252" spans="1:11" ht="28.8" x14ac:dyDescent="0.3">
      <c r="A1252" s="1">
        <v>69</v>
      </c>
      <c r="B1252" s="1">
        <v>2024</v>
      </c>
      <c r="C1252" s="3">
        <v>45548</v>
      </c>
      <c r="D1252" s="4" t="s">
        <v>11</v>
      </c>
      <c r="E1252" s="5" t="s">
        <v>36</v>
      </c>
      <c r="F1252" s="5" t="s">
        <v>35</v>
      </c>
      <c r="G1252" s="7">
        <v>30</v>
      </c>
      <c r="H1252" s="7">
        <v>10</v>
      </c>
      <c r="I1252" s="7">
        <v>30</v>
      </c>
      <c r="J1252" s="7">
        <v>21</v>
      </c>
      <c r="K1252" s="7">
        <v>20</v>
      </c>
    </row>
    <row r="1253" spans="1:11" ht="43.2" x14ac:dyDescent="0.3">
      <c r="A1253" s="1">
        <v>69</v>
      </c>
      <c r="B1253" s="1">
        <v>2024</v>
      </c>
      <c r="C1253" s="3">
        <v>45548</v>
      </c>
      <c r="D1253" s="8" t="s">
        <v>38</v>
      </c>
      <c r="E1253" s="9" t="s">
        <v>153</v>
      </c>
      <c r="F1253" s="9" t="s">
        <v>154</v>
      </c>
      <c r="G1253" s="11">
        <v>70</v>
      </c>
      <c r="H1253" s="11">
        <v>65</v>
      </c>
      <c r="I1253" s="11">
        <v>70</v>
      </c>
      <c r="J1253" s="11" t="s">
        <v>62</v>
      </c>
      <c r="K1253" s="11">
        <v>70</v>
      </c>
    </row>
    <row r="1254" spans="1:11" ht="43.2" x14ac:dyDescent="0.3">
      <c r="A1254" s="1">
        <v>69</v>
      </c>
      <c r="B1254" s="1">
        <v>2024</v>
      </c>
      <c r="C1254" s="3">
        <v>45548</v>
      </c>
      <c r="D1254" s="4" t="s">
        <v>38</v>
      </c>
      <c r="E1254" s="5" t="s">
        <v>39</v>
      </c>
      <c r="F1254" s="5" t="s">
        <v>40</v>
      </c>
      <c r="G1254" s="7">
        <v>50</v>
      </c>
      <c r="H1254" s="7">
        <v>25</v>
      </c>
      <c r="I1254" s="7">
        <v>50</v>
      </c>
      <c r="J1254" s="7">
        <v>40</v>
      </c>
      <c r="K1254" s="7">
        <v>40</v>
      </c>
    </row>
    <row r="1255" spans="1:11" ht="43.2" x14ac:dyDescent="0.3">
      <c r="A1255" s="1">
        <v>69</v>
      </c>
      <c r="B1255" s="1">
        <v>2024</v>
      </c>
      <c r="C1255" s="3">
        <v>45548</v>
      </c>
      <c r="D1255" s="8" t="s">
        <v>38</v>
      </c>
      <c r="E1255" s="9" t="s">
        <v>42</v>
      </c>
      <c r="F1255" s="9" t="s">
        <v>43</v>
      </c>
      <c r="G1255" s="11">
        <v>80</v>
      </c>
      <c r="H1255" s="11">
        <v>45</v>
      </c>
      <c r="I1255" s="11">
        <v>80</v>
      </c>
      <c r="J1255" s="11">
        <v>68</v>
      </c>
      <c r="K1255" s="11">
        <v>70</v>
      </c>
    </row>
    <row r="1256" spans="1:11" ht="43.2" x14ac:dyDescent="0.3">
      <c r="A1256" s="1">
        <v>69</v>
      </c>
      <c r="B1256" s="1">
        <v>2024</v>
      </c>
      <c r="C1256" s="3">
        <v>45548</v>
      </c>
      <c r="D1256" s="4" t="s">
        <v>38</v>
      </c>
      <c r="E1256" s="5" t="s">
        <v>44</v>
      </c>
      <c r="F1256" s="5" t="s">
        <v>45</v>
      </c>
      <c r="G1256" s="7">
        <v>50</v>
      </c>
      <c r="H1256" s="7">
        <v>45</v>
      </c>
      <c r="I1256" s="7">
        <v>60</v>
      </c>
      <c r="J1256" s="7">
        <v>51</v>
      </c>
      <c r="K1256" s="7">
        <v>50</v>
      </c>
    </row>
    <row r="1257" spans="1:11" ht="43.2" x14ac:dyDescent="0.3">
      <c r="A1257" s="1">
        <v>69</v>
      </c>
      <c r="B1257" s="1">
        <v>2024</v>
      </c>
      <c r="C1257" s="3">
        <v>45548</v>
      </c>
      <c r="D1257" s="8" t="s">
        <v>38</v>
      </c>
      <c r="E1257" s="9" t="s">
        <v>48</v>
      </c>
      <c r="F1257" s="9" t="s">
        <v>45</v>
      </c>
      <c r="G1257" s="11">
        <v>90</v>
      </c>
      <c r="H1257" s="11">
        <v>90</v>
      </c>
      <c r="I1257" s="11">
        <v>100</v>
      </c>
      <c r="J1257" s="11" t="s">
        <v>196</v>
      </c>
      <c r="K1257" s="11">
        <v>90</v>
      </c>
    </row>
    <row r="1258" spans="1:11" ht="43.2" x14ac:dyDescent="0.3">
      <c r="A1258" s="1">
        <v>69</v>
      </c>
      <c r="B1258" s="1">
        <v>2024</v>
      </c>
      <c r="C1258" s="3">
        <v>45548</v>
      </c>
      <c r="D1258" s="4" t="s">
        <v>38</v>
      </c>
      <c r="E1258" s="5" t="s">
        <v>49</v>
      </c>
      <c r="F1258" s="5" t="s">
        <v>50</v>
      </c>
      <c r="G1258" s="7">
        <v>60</v>
      </c>
      <c r="H1258" s="7">
        <v>60</v>
      </c>
      <c r="I1258" s="7">
        <v>80</v>
      </c>
      <c r="J1258" s="7">
        <v>68</v>
      </c>
      <c r="K1258" s="7">
        <v>70</v>
      </c>
    </row>
    <row r="1259" spans="1:11" ht="43.2" x14ac:dyDescent="0.3">
      <c r="A1259" s="1">
        <v>69</v>
      </c>
      <c r="B1259" s="1">
        <v>2024</v>
      </c>
      <c r="C1259" s="3">
        <v>45548</v>
      </c>
      <c r="D1259" s="8" t="s">
        <v>38</v>
      </c>
      <c r="E1259" s="9" t="s">
        <v>52</v>
      </c>
      <c r="F1259" s="9" t="s">
        <v>43</v>
      </c>
      <c r="G1259" s="11">
        <v>55</v>
      </c>
      <c r="H1259" s="11">
        <v>40</v>
      </c>
      <c r="I1259" s="11">
        <v>55</v>
      </c>
      <c r="J1259" s="11">
        <v>48</v>
      </c>
      <c r="K1259" s="11">
        <v>50</v>
      </c>
    </row>
    <row r="1260" spans="1:11" ht="43.2" x14ac:dyDescent="0.3">
      <c r="A1260" s="1">
        <v>69</v>
      </c>
      <c r="B1260" s="1">
        <v>2024</v>
      </c>
      <c r="C1260" s="3">
        <v>45548</v>
      </c>
      <c r="D1260" s="4" t="s">
        <v>38</v>
      </c>
      <c r="E1260" s="5" t="s">
        <v>53</v>
      </c>
      <c r="F1260" s="5" t="s">
        <v>43</v>
      </c>
      <c r="G1260" s="7">
        <v>50</v>
      </c>
      <c r="H1260" s="7">
        <v>50</v>
      </c>
      <c r="I1260" s="7">
        <v>80</v>
      </c>
      <c r="J1260" s="7">
        <v>57</v>
      </c>
      <c r="K1260" s="7">
        <v>50</v>
      </c>
    </row>
    <row r="1261" spans="1:11" ht="43.2" x14ac:dyDescent="0.3">
      <c r="A1261" s="1">
        <v>69</v>
      </c>
      <c r="B1261" s="1">
        <v>2024</v>
      </c>
      <c r="C1261" s="3">
        <v>45548</v>
      </c>
      <c r="D1261" s="8" t="s">
        <v>38</v>
      </c>
      <c r="E1261" s="9" t="s">
        <v>54</v>
      </c>
      <c r="F1261" s="9" t="s">
        <v>40</v>
      </c>
      <c r="G1261" s="11">
        <v>90</v>
      </c>
      <c r="H1261" s="11">
        <v>70</v>
      </c>
      <c r="I1261" s="11">
        <v>100</v>
      </c>
      <c r="J1261" s="11" t="s">
        <v>239</v>
      </c>
      <c r="K1261" s="11">
        <v>90</v>
      </c>
    </row>
    <row r="1262" spans="1:11" ht="43.2" x14ac:dyDescent="0.3">
      <c r="A1262" s="1">
        <v>69</v>
      </c>
      <c r="B1262" s="1">
        <v>2024</v>
      </c>
      <c r="C1262" s="3">
        <v>45548</v>
      </c>
      <c r="D1262" s="4" t="s">
        <v>38</v>
      </c>
      <c r="E1262" s="5" t="s">
        <v>56</v>
      </c>
      <c r="F1262" s="5" t="s">
        <v>43</v>
      </c>
      <c r="G1262" s="6"/>
      <c r="H1262" s="7">
        <v>35</v>
      </c>
      <c r="I1262" s="7">
        <v>50</v>
      </c>
      <c r="J1262" s="7" t="s">
        <v>329</v>
      </c>
      <c r="K1262" s="7">
        <v>40</v>
      </c>
    </row>
    <row r="1263" spans="1:11" ht="43.2" x14ac:dyDescent="0.3">
      <c r="A1263" s="1">
        <v>69</v>
      </c>
      <c r="B1263" s="1">
        <v>2024</v>
      </c>
      <c r="C1263" s="3">
        <v>45548</v>
      </c>
      <c r="D1263" s="8" t="s">
        <v>38</v>
      </c>
      <c r="E1263" s="9" t="s">
        <v>57</v>
      </c>
      <c r="F1263" s="9" t="s">
        <v>40</v>
      </c>
      <c r="G1263" s="10"/>
      <c r="H1263" s="11">
        <v>85</v>
      </c>
      <c r="I1263" s="11">
        <v>100</v>
      </c>
      <c r="J1263" s="11" t="s">
        <v>230</v>
      </c>
      <c r="K1263" s="11">
        <v>90</v>
      </c>
    </row>
    <row r="1264" spans="1:11" ht="43.2" x14ac:dyDescent="0.3">
      <c r="A1264" s="1">
        <v>69</v>
      </c>
      <c r="B1264" s="1">
        <v>2024</v>
      </c>
      <c r="C1264" s="3">
        <v>45548</v>
      </c>
      <c r="D1264" s="4" t="s">
        <v>38</v>
      </c>
      <c r="E1264" s="5" t="s">
        <v>58</v>
      </c>
      <c r="F1264" s="5" t="s">
        <v>40</v>
      </c>
      <c r="G1264" s="7">
        <v>100</v>
      </c>
      <c r="H1264" s="7">
        <v>100</v>
      </c>
      <c r="I1264" s="7">
        <v>135</v>
      </c>
      <c r="J1264" s="7">
        <v>117</v>
      </c>
      <c r="K1264" s="7">
        <v>120</v>
      </c>
    </row>
    <row r="1265" spans="1:11" ht="43.2" x14ac:dyDescent="0.3">
      <c r="A1265" s="1">
        <v>69</v>
      </c>
      <c r="B1265" s="1">
        <v>2024</v>
      </c>
      <c r="C1265" s="3">
        <v>45548</v>
      </c>
      <c r="D1265" s="8" t="s">
        <v>38</v>
      </c>
      <c r="E1265" s="9" t="s">
        <v>59</v>
      </c>
      <c r="F1265" s="9" t="s">
        <v>45</v>
      </c>
      <c r="G1265" s="11">
        <v>60</v>
      </c>
      <c r="H1265" s="11">
        <v>40</v>
      </c>
      <c r="I1265" s="11">
        <v>60</v>
      </c>
      <c r="J1265" s="11">
        <v>53</v>
      </c>
      <c r="K1265" s="11">
        <v>55</v>
      </c>
    </row>
    <row r="1266" spans="1:11" ht="43.2" x14ac:dyDescent="0.3">
      <c r="A1266" s="1">
        <v>69</v>
      </c>
      <c r="B1266" s="1">
        <v>2024</v>
      </c>
      <c r="C1266" s="3">
        <v>45548</v>
      </c>
      <c r="D1266" s="4" t="s">
        <v>38</v>
      </c>
      <c r="E1266" s="5" t="s">
        <v>60</v>
      </c>
      <c r="F1266" s="5" t="s">
        <v>61</v>
      </c>
      <c r="G1266" s="7">
        <v>150</v>
      </c>
      <c r="H1266" s="7">
        <v>140</v>
      </c>
      <c r="I1266" s="7">
        <v>150</v>
      </c>
      <c r="J1266" s="7">
        <v>146</v>
      </c>
      <c r="K1266" s="7">
        <v>150</v>
      </c>
    </row>
    <row r="1267" spans="1:11" ht="43.2" x14ac:dyDescent="0.3">
      <c r="A1267" s="1">
        <v>69</v>
      </c>
      <c r="B1267" s="1">
        <v>2024</v>
      </c>
      <c r="C1267" s="3">
        <v>45548</v>
      </c>
      <c r="D1267" s="8" t="s">
        <v>38</v>
      </c>
      <c r="E1267" s="9" t="s">
        <v>63</v>
      </c>
      <c r="F1267" s="9" t="s">
        <v>40</v>
      </c>
      <c r="G1267" s="11">
        <v>70</v>
      </c>
      <c r="H1267" s="11">
        <v>60</v>
      </c>
      <c r="I1267" s="11">
        <v>80</v>
      </c>
      <c r="J1267" s="11">
        <v>69</v>
      </c>
      <c r="K1267" s="11">
        <v>70</v>
      </c>
    </row>
    <row r="1268" spans="1:11" ht="43.2" x14ac:dyDescent="0.3">
      <c r="A1268" s="1">
        <v>69</v>
      </c>
      <c r="B1268" s="1">
        <v>2024</v>
      </c>
      <c r="C1268" s="3">
        <v>45548</v>
      </c>
      <c r="D1268" s="4" t="s">
        <v>38</v>
      </c>
      <c r="E1268" s="5" t="s">
        <v>64</v>
      </c>
      <c r="F1268" s="5" t="s">
        <v>40</v>
      </c>
      <c r="G1268" s="7">
        <v>150</v>
      </c>
      <c r="H1268" s="7">
        <v>120</v>
      </c>
      <c r="I1268" s="7">
        <v>150</v>
      </c>
      <c r="J1268" s="7">
        <v>140</v>
      </c>
      <c r="K1268" s="7">
        <v>150</v>
      </c>
    </row>
    <row r="1269" spans="1:11" x14ac:dyDescent="0.3">
      <c r="A1269" s="1">
        <v>69</v>
      </c>
      <c r="B1269" s="1">
        <v>2024</v>
      </c>
      <c r="C1269" s="3">
        <v>45548</v>
      </c>
      <c r="D1269" s="8" t="s">
        <v>65</v>
      </c>
      <c r="E1269" s="9" t="s">
        <v>66</v>
      </c>
      <c r="F1269" s="9" t="s">
        <v>45</v>
      </c>
      <c r="G1269" s="10"/>
      <c r="H1269" s="10"/>
      <c r="I1269" s="10"/>
      <c r="J1269" s="10"/>
      <c r="K1269" s="10"/>
    </row>
    <row r="1270" spans="1:11" x14ac:dyDescent="0.3">
      <c r="A1270" s="1">
        <v>69</v>
      </c>
      <c r="B1270" s="1">
        <v>2024</v>
      </c>
      <c r="C1270" s="3">
        <v>45548</v>
      </c>
      <c r="D1270" s="4" t="s">
        <v>65</v>
      </c>
      <c r="E1270" s="5" t="s">
        <v>67</v>
      </c>
      <c r="F1270" s="5" t="s">
        <v>45</v>
      </c>
      <c r="G1270" s="6"/>
      <c r="H1270" s="6"/>
      <c r="I1270" s="6"/>
      <c r="J1270" s="6"/>
      <c r="K1270" s="6"/>
    </row>
    <row r="1271" spans="1:11" x14ac:dyDescent="0.3">
      <c r="A1271" s="1">
        <v>69</v>
      </c>
      <c r="B1271" s="1">
        <v>2024</v>
      </c>
      <c r="C1271" s="3">
        <v>45548</v>
      </c>
      <c r="D1271" s="8" t="s">
        <v>65</v>
      </c>
      <c r="E1271" s="9" t="s">
        <v>68</v>
      </c>
      <c r="F1271" s="9" t="s">
        <v>45</v>
      </c>
      <c r="G1271" s="10"/>
      <c r="H1271" s="10"/>
      <c r="I1271" s="10"/>
      <c r="J1271" s="10"/>
      <c r="K1271" s="10"/>
    </row>
    <row r="1272" spans="1:11" x14ac:dyDescent="0.3">
      <c r="A1272" s="1">
        <v>69</v>
      </c>
      <c r="B1272" s="1">
        <v>2024</v>
      </c>
      <c r="C1272" s="3">
        <v>45548</v>
      </c>
      <c r="D1272" s="4" t="s">
        <v>65</v>
      </c>
      <c r="E1272" s="5" t="s">
        <v>69</v>
      </c>
      <c r="F1272" s="5" t="s">
        <v>45</v>
      </c>
      <c r="G1272" s="6"/>
      <c r="H1272" s="7">
        <v>50</v>
      </c>
      <c r="I1272" s="7">
        <v>50</v>
      </c>
      <c r="J1272" s="7">
        <v>50</v>
      </c>
      <c r="K1272" s="7">
        <v>50</v>
      </c>
    </row>
    <row r="1273" spans="1:11" x14ac:dyDescent="0.3">
      <c r="A1273" s="1">
        <v>69</v>
      </c>
      <c r="B1273" s="1">
        <v>2024</v>
      </c>
      <c r="C1273" s="3">
        <v>45548</v>
      </c>
      <c r="D1273" s="8" t="s">
        <v>65</v>
      </c>
      <c r="E1273" s="9" t="s">
        <v>70</v>
      </c>
      <c r="F1273" s="9" t="s">
        <v>71</v>
      </c>
      <c r="G1273" s="10"/>
      <c r="H1273" s="10"/>
      <c r="I1273" s="10"/>
      <c r="J1273" s="10"/>
      <c r="K1273" s="10"/>
    </row>
    <row r="1274" spans="1:11" ht="28.8" x14ac:dyDescent="0.3">
      <c r="A1274" s="1">
        <v>70</v>
      </c>
      <c r="B1274" s="1">
        <v>2024</v>
      </c>
      <c r="C1274" s="3">
        <v>45555</v>
      </c>
      <c r="D1274" s="4" t="s">
        <v>11</v>
      </c>
      <c r="E1274" s="5" t="s">
        <v>12</v>
      </c>
      <c r="F1274" s="5" t="s">
        <v>13</v>
      </c>
      <c r="G1274" s="7">
        <v>48</v>
      </c>
      <c r="H1274" s="7">
        <v>48</v>
      </c>
      <c r="I1274" s="7">
        <v>60</v>
      </c>
      <c r="J1274" s="7">
        <v>51</v>
      </c>
      <c r="K1274" s="7">
        <v>48</v>
      </c>
    </row>
    <row r="1275" spans="1:11" ht="28.8" x14ac:dyDescent="0.3">
      <c r="A1275" s="1">
        <v>70</v>
      </c>
      <c r="B1275" s="1">
        <v>2024</v>
      </c>
      <c r="C1275" s="3">
        <v>45555</v>
      </c>
      <c r="D1275" s="8" t="s">
        <v>11</v>
      </c>
      <c r="E1275" s="9" t="s">
        <v>14</v>
      </c>
      <c r="F1275" s="9" t="s">
        <v>13</v>
      </c>
      <c r="G1275" s="11">
        <v>84</v>
      </c>
      <c r="H1275" s="11">
        <v>60</v>
      </c>
      <c r="I1275" s="11">
        <v>84</v>
      </c>
      <c r="J1275" s="11">
        <v>75</v>
      </c>
      <c r="K1275" s="11">
        <v>78</v>
      </c>
    </row>
    <row r="1276" spans="1:11" ht="28.8" x14ac:dyDescent="0.3">
      <c r="A1276" s="1">
        <v>70</v>
      </c>
      <c r="B1276" s="1">
        <v>2024</v>
      </c>
      <c r="C1276" s="3">
        <v>45555</v>
      </c>
      <c r="D1276" s="4" t="s">
        <v>11</v>
      </c>
      <c r="E1276" s="5" t="s">
        <v>15</v>
      </c>
      <c r="F1276" s="5" t="s">
        <v>13</v>
      </c>
      <c r="G1276" s="7">
        <v>36</v>
      </c>
      <c r="H1276" s="7">
        <v>36</v>
      </c>
      <c r="I1276" s="7">
        <v>48</v>
      </c>
      <c r="J1276" s="7" t="s">
        <v>330</v>
      </c>
      <c r="K1276" s="7">
        <v>36</v>
      </c>
    </row>
    <row r="1277" spans="1:11" ht="28.8" x14ac:dyDescent="0.3">
      <c r="A1277" s="1">
        <v>70</v>
      </c>
      <c r="B1277" s="1">
        <v>2024</v>
      </c>
      <c r="C1277" s="3">
        <v>45555</v>
      </c>
      <c r="D1277" s="8" t="s">
        <v>11</v>
      </c>
      <c r="E1277" s="9" t="s">
        <v>16</v>
      </c>
      <c r="F1277" s="9" t="s">
        <v>13</v>
      </c>
      <c r="G1277" s="11">
        <v>24</v>
      </c>
      <c r="H1277" s="11">
        <v>15</v>
      </c>
      <c r="I1277" s="11">
        <v>36</v>
      </c>
      <c r="J1277" s="11" t="s">
        <v>331</v>
      </c>
      <c r="K1277" s="11">
        <v>24</v>
      </c>
    </row>
    <row r="1278" spans="1:11" ht="28.8" x14ac:dyDescent="0.3">
      <c r="A1278" s="1">
        <v>70</v>
      </c>
      <c r="B1278" s="1">
        <v>2024</v>
      </c>
      <c r="C1278" s="3">
        <v>45555</v>
      </c>
      <c r="D1278" s="4" t="s">
        <v>11</v>
      </c>
      <c r="E1278" s="5" t="s">
        <v>17</v>
      </c>
      <c r="F1278" s="5" t="s">
        <v>13</v>
      </c>
      <c r="G1278" s="7">
        <v>24</v>
      </c>
      <c r="H1278" s="7">
        <v>15</v>
      </c>
      <c r="I1278" s="7">
        <v>36</v>
      </c>
      <c r="J1278" s="7" t="s">
        <v>119</v>
      </c>
      <c r="K1278" s="7">
        <v>24</v>
      </c>
    </row>
    <row r="1279" spans="1:11" ht="28.8" x14ac:dyDescent="0.3">
      <c r="A1279" s="1">
        <v>70</v>
      </c>
      <c r="B1279" s="1">
        <v>2024</v>
      </c>
      <c r="C1279" s="3">
        <v>45555</v>
      </c>
      <c r="D1279" s="8" t="s">
        <v>11</v>
      </c>
      <c r="E1279" s="9" t="s">
        <v>18</v>
      </c>
      <c r="F1279" s="9" t="s">
        <v>13</v>
      </c>
      <c r="G1279" s="11">
        <v>60</v>
      </c>
      <c r="H1279" s="11">
        <v>60</v>
      </c>
      <c r="I1279" s="11">
        <v>60</v>
      </c>
      <c r="J1279" s="11">
        <v>60</v>
      </c>
      <c r="K1279" s="11">
        <v>60</v>
      </c>
    </row>
    <row r="1280" spans="1:11" ht="28.8" x14ac:dyDescent="0.3">
      <c r="A1280" s="1">
        <v>70</v>
      </c>
      <c r="B1280" s="1">
        <v>2024</v>
      </c>
      <c r="C1280" s="3">
        <v>45555</v>
      </c>
      <c r="D1280" s="4" t="s">
        <v>11</v>
      </c>
      <c r="E1280" s="5" t="s">
        <v>19</v>
      </c>
      <c r="F1280" s="5" t="s">
        <v>13</v>
      </c>
      <c r="G1280" s="7">
        <v>48</v>
      </c>
      <c r="H1280" s="7">
        <v>48</v>
      </c>
      <c r="I1280" s="7">
        <v>72</v>
      </c>
      <c r="J1280" s="7">
        <v>57</v>
      </c>
      <c r="K1280" s="7">
        <v>54</v>
      </c>
    </row>
    <row r="1281" spans="1:11" ht="28.8" x14ac:dyDescent="0.3">
      <c r="A1281" s="1">
        <v>70</v>
      </c>
      <c r="B1281" s="1">
        <v>2024</v>
      </c>
      <c r="C1281" s="3">
        <v>45555</v>
      </c>
      <c r="D1281" s="8" t="s">
        <v>11</v>
      </c>
      <c r="E1281" s="9" t="s">
        <v>20</v>
      </c>
      <c r="F1281" s="9" t="s">
        <v>13</v>
      </c>
      <c r="G1281" s="11">
        <v>72</v>
      </c>
      <c r="H1281" s="11">
        <v>60</v>
      </c>
      <c r="I1281" s="11">
        <v>72</v>
      </c>
      <c r="J1281" s="11" t="s">
        <v>332</v>
      </c>
      <c r="K1281" s="11">
        <v>72</v>
      </c>
    </row>
    <row r="1282" spans="1:11" ht="28.8" x14ac:dyDescent="0.3">
      <c r="A1282" s="1">
        <v>70</v>
      </c>
      <c r="B1282" s="1">
        <v>2024</v>
      </c>
      <c r="C1282" s="3">
        <v>45555</v>
      </c>
      <c r="D1282" s="4" t="s">
        <v>11</v>
      </c>
      <c r="E1282" s="5" t="s">
        <v>21</v>
      </c>
      <c r="F1282" s="5" t="s">
        <v>13</v>
      </c>
      <c r="G1282" s="7">
        <v>24</v>
      </c>
      <c r="H1282" s="7">
        <v>18</v>
      </c>
      <c r="I1282" s="7">
        <v>24</v>
      </c>
      <c r="J1282" s="7" t="s">
        <v>118</v>
      </c>
      <c r="K1282" s="7">
        <v>24</v>
      </c>
    </row>
    <row r="1283" spans="1:11" ht="28.8" x14ac:dyDescent="0.3">
      <c r="A1283" s="1">
        <v>70</v>
      </c>
      <c r="B1283" s="1">
        <v>2024</v>
      </c>
      <c r="C1283" s="3">
        <v>45555</v>
      </c>
      <c r="D1283" s="8" t="s">
        <v>11</v>
      </c>
      <c r="E1283" s="9" t="s">
        <v>73</v>
      </c>
      <c r="F1283" s="9" t="s">
        <v>13</v>
      </c>
      <c r="G1283" s="11">
        <v>60</v>
      </c>
      <c r="H1283" s="11">
        <v>60</v>
      </c>
      <c r="I1283" s="11">
        <v>72</v>
      </c>
      <c r="J1283" s="11" t="s">
        <v>333</v>
      </c>
      <c r="K1283" s="11">
        <v>65</v>
      </c>
    </row>
    <row r="1284" spans="1:11" ht="28.8" x14ac:dyDescent="0.3">
      <c r="A1284" s="1">
        <v>70</v>
      </c>
      <c r="B1284" s="1">
        <v>2024</v>
      </c>
      <c r="C1284" s="3">
        <v>45555</v>
      </c>
      <c r="D1284" s="4" t="s">
        <v>11</v>
      </c>
      <c r="E1284" s="5" t="s">
        <v>23</v>
      </c>
      <c r="F1284" s="5" t="s">
        <v>13</v>
      </c>
      <c r="G1284" s="7">
        <v>24</v>
      </c>
      <c r="H1284" s="7">
        <v>15</v>
      </c>
      <c r="I1284" s="7">
        <v>24</v>
      </c>
      <c r="J1284" s="7">
        <v>21</v>
      </c>
      <c r="K1284" s="7">
        <v>24</v>
      </c>
    </row>
    <row r="1285" spans="1:11" ht="28.8" x14ac:dyDescent="0.3">
      <c r="A1285" s="1">
        <v>70</v>
      </c>
      <c r="B1285" s="1">
        <v>2024</v>
      </c>
      <c r="C1285" s="3">
        <v>45555</v>
      </c>
      <c r="D1285" s="8" t="s">
        <v>11</v>
      </c>
      <c r="E1285" s="9" t="s">
        <v>24</v>
      </c>
      <c r="F1285" s="9" t="s">
        <v>13</v>
      </c>
      <c r="G1285" s="11">
        <v>48</v>
      </c>
      <c r="H1285" s="11">
        <v>48</v>
      </c>
      <c r="I1285" s="11">
        <v>72</v>
      </c>
      <c r="J1285" s="11">
        <v>57</v>
      </c>
      <c r="K1285" s="11">
        <v>54</v>
      </c>
    </row>
    <row r="1286" spans="1:11" ht="28.8" x14ac:dyDescent="0.3">
      <c r="A1286" s="1">
        <v>70</v>
      </c>
      <c r="B1286" s="1">
        <v>2024</v>
      </c>
      <c r="C1286" s="3">
        <v>45555</v>
      </c>
      <c r="D1286" s="4" t="s">
        <v>11</v>
      </c>
      <c r="E1286" s="5" t="s">
        <v>25</v>
      </c>
      <c r="F1286" s="5" t="s">
        <v>26</v>
      </c>
      <c r="G1286" s="7">
        <v>48</v>
      </c>
      <c r="H1286" s="7">
        <v>36</v>
      </c>
      <c r="I1286" s="7">
        <v>60</v>
      </c>
      <c r="J1286" s="7" t="s">
        <v>294</v>
      </c>
      <c r="K1286" s="7">
        <v>48</v>
      </c>
    </row>
    <row r="1287" spans="1:11" ht="28.8" x14ac:dyDescent="0.3">
      <c r="A1287" s="1">
        <v>70</v>
      </c>
      <c r="B1287" s="1">
        <v>2024</v>
      </c>
      <c r="C1287" s="3">
        <v>45555</v>
      </c>
      <c r="D1287" s="8" t="s">
        <v>11</v>
      </c>
      <c r="E1287" s="9" t="s">
        <v>27</v>
      </c>
      <c r="F1287" s="9" t="s">
        <v>13</v>
      </c>
      <c r="G1287" s="11">
        <v>60</v>
      </c>
      <c r="H1287" s="11">
        <v>48</v>
      </c>
      <c r="I1287" s="11">
        <v>60</v>
      </c>
      <c r="J1287" s="11">
        <v>54</v>
      </c>
      <c r="K1287" s="11">
        <v>54</v>
      </c>
    </row>
    <row r="1288" spans="1:11" ht="28.8" x14ac:dyDescent="0.3">
      <c r="A1288" s="1">
        <v>70</v>
      </c>
      <c r="B1288" s="1">
        <v>2024</v>
      </c>
      <c r="C1288" s="3">
        <v>45555</v>
      </c>
      <c r="D1288" s="4" t="s">
        <v>11</v>
      </c>
      <c r="E1288" s="5" t="s">
        <v>28</v>
      </c>
      <c r="F1288" s="5" t="s">
        <v>13</v>
      </c>
      <c r="G1288" s="7">
        <v>36</v>
      </c>
      <c r="H1288" s="7">
        <v>20</v>
      </c>
      <c r="I1288" s="7">
        <v>36</v>
      </c>
      <c r="J1288" s="7" t="s">
        <v>334</v>
      </c>
      <c r="K1288" s="7">
        <v>36</v>
      </c>
    </row>
    <row r="1289" spans="1:11" ht="28.8" x14ac:dyDescent="0.3">
      <c r="A1289" s="1">
        <v>70</v>
      </c>
      <c r="B1289" s="1">
        <v>2024</v>
      </c>
      <c r="C1289" s="3">
        <v>45555</v>
      </c>
      <c r="D1289" s="8" t="s">
        <v>11</v>
      </c>
      <c r="E1289" s="9" t="s">
        <v>29</v>
      </c>
      <c r="F1289" s="9" t="s">
        <v>13</v>
      </c>
      <c r="G1289" s="11">
        <v>48</v>
      </c>
      <c r="H1289" s="11">
        <v>48</v>
      </c>
      <c r="I1289" s="11">
        <v>54</v>
      </c>
      <c r="J1289" s="11" t="s">
        <v>305</v>
      </c>
      <c r="K1289" s="11">
        <v>48</v>
      </c>
    </row>
    <row r="1290" spans="1:11" ht="28.8" x14ac:dyDescent="0.3">
      <c r="A1290" s="1">
        <v>70</v>
      </c>
      <c r="B1290" s="1">
        <v>2024</v>
      </c>
      <c r="C1290" s="3">
        <v>45555</v>
      </c>
      <c r="D1290" s="4" t="s">
        <v>11</v>
      </c>
      <c r="E1290" s="5" t="s">
        <v>31</v>
      </c>
      <c r="F1290" s="5" t="s">
        <v>32</v>
      </c>
      <c r="G1290" s="7">
        <v>5</v>
      </c>
      <c r="H1290" s="7">
        <v>5</v>
      </c>
      <c r="I1290" s="7">
        <v>5</v>
      </c>
      <c r="J1290" s="7">
        <v>5</v>
      </c>
      <c r="K1290" s="7">
        <v>5</v>
      </c>
    </row>
    <row r="1291" spans="1:11" ht="28.8" x14ac:dyDescent="0.3">
      <c r="A1291" s="1">
        <v>70</v>
      </c>
      <c r="B1291" s="1">
        <v>2024</v>
      </c>
      <c r="C1291" s="3">
        <v>45555</v>
      </c>
      <c r="D1291" s="8" t="s">
        <v>11</v>
      </c>
      <c r="E1291" s="9" t="s">
        <v>34</v>
      </c>
      <c r="F1291" s="9" t="s">
        <v>35</v>
      </c>
      <c r="G1291" s="11">
        <v>10</v>
      </c>
      <c r="H1291" s="11">
        <v>10</v>
      </c>
      <c r="I1291" s="11">
        <v>12</v>
      </c>
      <c r="J1291" s="11" t="s">
        <v>335</v>
      </c>
      <c r="K1291" s="11">
        <v>10</v>
      </c>
    </row>
    <row r="1292" spans="1:11" ht="28.8" x14ac:dyDescent="0.3">
      <c r="A1292" s="1">
        <v>70</v>
      </c>
      <c r="B1292" s="1">
        <v>2024</v>
      </c>
      <c r="C1292" s="3">
        <v>45555</v>
      </c>
      <c r="D1292" s="4" t="s">
        <v>11</v>
      </c>
      <c r="E1292" s="5" t="s">
        <v>36</v>
      </c>
      <c r="F1292" s="5" t="s">
        <v>35</v>
      </c>
      <c r="G1292" s="7">
        <v>30</v>
      </c>
      <c r="H1292" s="7">
        <v>15</v>
      </c>
      <c r="I1292" s="7">
        <v>30</v>
      </c>
      <c r="J1292" s="7">
        <v>25</v>
      </c>
      <c r="K1292" s="7">
        <v>30</v>
      </c>
    </row>
    <row r="1293" spans="1:11" ht="43.2" x14ac:dyDescent="0.3">
      <c r="A1293" s="1">
        <v>70</v>
      </c>
      <c r="B1293" s="1">
        <v>2024</v>
      </c>
      <c r="C1293" s="3">
        <v>45555</v>
      </c>
      <c r="D1293" s="8" t="s">
        <v>38</v>
      </c>
      <c r="E1293" s="9" t="s">
        <v>153</v>
      </c>
      <c r="F1293" s="9" t="s">
        <v>154</v>
      </c>
      <c r="G1293" s="10"/>
      <c r="H1293" s="11">
        <v>70</v>
      </c>
      <c r="I1293" s="11">
        <v>80</v>
      </c>
      <c r="J1293" s="11">
        <v>75</v>
      </c>
      <c r="K1293" s="11">
        <v>75</v>
      </c>
    </row>
    <row r="1294" spans="1:11" ht="43.2" x14ac:dyDescent="0.3">
      <c r="A1294" s="1">
        <v>70</v>
      </c>
      <c r="B1294" s="1">
        <v>2024</v>
      </c>
      <c r="C1294" s="3">
        <v>45555</v>
      </c>
      <c r="D1294" s="4" t="s">
        <v>38</v>
      </c>
      <c r="E1294" s="5" t="s">
        <v>39</v>
      </c>
      <c r="F1294" s="5" t="s">
        <v>40</v>
      </c>
      <c r="G1294" s="7">
        <v>40</v>
      </c>
      <c r="H1294" s="7">
        <v>40</v>
      </c>
      <c r="I1294" s="7">
        <v>50</v>
      </c>
      <c r="J1294" s="7">
        <v>45</v>
      </c>
      <c r="K1294" s="7">
        <v>45</v>
      </c>
    </row>
    <row r="1295" spans="1:11" ht="43.2" x14ac:dyDescent="0.3">
      <c r="A1295" s="1">
        <v>70</v>
      </c>
      <c r="B1295" s="1">
        <v>2024</v>
      </c>
      <c r="C1295" s="3">
        <v>45555</v>
      </c>
      <c r="D1295" s="8" t="s">
        <v>38</v>
      </c>
      <c r="E1295" s="9" t="s">
        <v>42</v>
      </c>
      <c r="F1295" s="9" t="s">
        <v>43</v>
      </c>
      <c r="G1295" s="11">
        <v>70</v>
      </c>
      <c r="H1295" s="11">
        <v>45</v>
      </c>
      <c r="I1295" s="11">
        <v>70</v>
      </c>
      <c r="J1295" s="11" t="s">
        <v>258</v>
      </c>
      <c r="K1295" s="11" t="s">
        <v>41</v>
      </c>
    </row>
    <row r="1296" spans="1:11" ht="43.2" x14ac:dyDescent="0.3">
      <c r="A1296" s="1">
        <v>70</v>
      </c>
      <c r="B1296" s="1">
        <v>2024</v>
      </c>
      <c r="C1296" s="3">
        <v>45555</v>
      </c>
      <c r="D1296" s="4" t="s">
        <v>38</v>
      </c>
      <c r="E1296" s="5" t="s">
        <v>44</v>
      </c>
      <c r="F1296" s="5" t="s">
        <v>45</v>
      </c>
      <c r="G1296" s="7">
        <v>50</v>
      </c>
      <c r="H1296" s="7">
        <v>50</v>
      </c>
      <c r="I1296" s="7">
        <v>90</v>
      </c>
      <c r="J1296" s="7">
        <v>59</v>
      </c>
      <c r="K1296" s="7">
        <v>50</v>
      </c>
    </row>
    <row r="1297" spans="1:11" ht="43.2" x14ac:dyDescent="0.3">
      <c r="A1297" s="1">
        <v>70</v>
      </c>
      <c r="B1297" s="1">
        <v>2024</v>
      </c>
      <c r="C1297" s="3">
        <v>45555</v>
      </c>
      <c r="D1297" s="8" t="s">
        <v>38</v>
      </c>
      <c r="E1297" s="9" t="s">
        <v>48</v>
      </c>
      <c r="F1297" s="9" t="s">
        <v>45</v>
      </c>
      <c r="G1297" s="10"/>
      <c r="H1297" s="11">
        <v>45</v>
      </c>
      <c r="I1297" s="11">
        <v>100</v>
      </c>
      <c r="J1297" s="11" t="s">
        <v>262</v>
      </c>
      <c r="K1297" s="11">
        <v>90</v>
      </c>
    </row>
    <row r="1298" spans="1:11" ht="43.2" x14ac:dyDescent="0.3">
      <c r="A1298" s="1">
        <v>70</v>
      </c>
      <c r="B1298" s="1">
        <v>2024</v>
      </c>
      <c r="C1298" s="3">
        <v>45555</v>
      </c>
      <c r="D1298" s="4" t="s">
        <v>38</v>
      </c>
      <c r="E1298" s="5" t="s">
        <v>49</v>
      </c>
      <c r="F1298" s="5" t="s">
        <v>50</v>
      </c>
      <c r="G1298" s="7">
        <v>60</v>
      </c>
      <c r="H1298" s="7">
        <v>60</v>
      </c>
      <c r="I1298" s="7">
        <v>70</v>
      </c>
      <c r="J1298" s="7" t="s">
        <v>336</v>
      </c>
      <c r="K1298" s="7" t="s">
        <v>80</v>
      </c>
    </row>
    <row r="1299" spans="1:11" ht="43.2" x14ac:dyDescent="0.3">
      <c r="A1299" s="1">
        <v>70</v>
      </c>
      <c r="B1299" s="1">
        <v>2024</v>
      </c>
      <c r="C1299" s="3">
        <v>45555</v>
      </c>
      <c r="D1299" s="8" t="s">
        <v>38</v>
      </c>
      <c r="E1299" s="9" t="s">
        <v>52</v>
      </c>
      <c r="F1299" s="9" t="s">
        <v>43</v>
      </c>
      <c r="G1299" s="11">
        <v>55</v>
      </c>
      <c r="H1299" s="11">
        <v>40</v>
      </c>
      <c r="I1299" s="11">
        <v>60</v>
      </c>
      <c r="J1299" s="11" t="s">
        <v>337</v>
      </c>
      <c r="K1299" s="11" t="s">
        <v>78</v>
      </c>
    </row>
    <row r="1300" spans="1:11" ht="43.2" x14ac:dyDescent="0.3">
      <c r="A1300" s="1">
        <v>70</v>
      </c>
      <c r="B1300" s="1">
        <v>2024</v>
      </c>
      <c r="C1300" s="3">
        <v>45555</v>
      </c>
      <c r="D1300" s="4" t="s">
        <v>38</v>
      </c>
      <c r="E1300" s="5" t="s">
        <v>53</v>
      </c>
      <c r="F1300" s="5" t="s">
        <v>43</v>
      </c>
      <c r="G1300" s="7">
        <v>60</v>
      </c>
      <c r="H1300" s="7">
        <v>50</v>
      </c>
      <c r="I1300" s="7">
        <v>70</v>
      </c>
      <c r="J1300" s="7" t="s">
        <v>80</v>
      </c>
      <c r="K1300" s="7" t="s">
        <v>80</v>
      </c>
    </row>
    <row r="1301" spans="1:11" ht="43.2" x14ac:dyDescent="0.3">
      <c r="A1301" s="1">
        <v>70</v>
      </c>
      <c r="B1301" s="1">
        <v>2024</v>
      </c>
      <c r="C1301" s="3">
        <v>45555</v>
      </c>
      <c r="D1301" s="8" t="s">
        <v>38</v>
      </c>
      <c r="E1301" s="9" t="s">
        <v>54</v>
      </c>
      <c r="F1301" s="9" t="s">
        <v>40</v>
      </c>
      <c r="G1301" s="11">
        <v>100</v>
      </c>
      <c r="H1301" s="11">
        <v>80</v>
      </c>
      <c r="I1301" s="11">
        <v>120</v>
      </c>
      <c r="J1301" s="11">
        <v>98</v>
      </c>
      <c r="K1301" s="11">
        <v>100</v>
      </c>
    </row>
    <row r="1302" spans="1:11" ht="43.2" x14ac:dyDescent="0.3">
      <c r="A1302" s="1">
        <v>70</v>
      </c>
      <c r="B1302" s="1">
        <v>2024</v>
      </c>
      <c r="C1302" s="3">
        <v>45555</v>
      </c>
      <c r="D1302" s="4" t="s">
        <v>38</v>
      </c>
      <c r="E1302" s="5" t="s">
        <v>56</v>
      </c>
      <c r="F1302" s="5" t="s">
        <v>43</v>
      </c>
      <c r="G1302" s="6"/>
      <c r="H1302" s="7">
        <v>40</v>
      </c>
      <c r="I1302" s="7">
        <v>50</v>
      </c>
      <c r="J1302" s="7">
        <v>45</v>
      </c>
      <c r="K1302" s="7">
        <v>45</v>
      </c>
    </row>
    <row r="1303" spans="1:11" ht="43.2" x14ac:dyDescent="0.3">
      <c r="A1303" s="1">
        <v>70</v>
      </c>
      <c r="B1303" s="1">
        <v>2024</v>
      </c>
      <c r="C1303" s="3">
        <v>45555</v>
      </c>
      <c r="D1303" s="8" t="s">
        <v>38</v>
      </c>
      <c r="E1303" s="9" t="s">
        <v>57</v>
      </c>
      <c r="F1303" s="9" t="s">
        <v>40</v>
      </c>
      <c r="G1303" s="11">
        <v>100</v>
      </c>
      <c r="H1303" s="11">
        <v>90</v>
      </c>
      <c r="I1303" s="11">
        <v>100</v>
      </c>
      <c r="J1303" s="11" t="s">
        <v>184</v>
      </c>
      <c r="K1303" s="11">
        <v>100</v>
      </c>
    </row>
    <row r="1304" spans="1:11" ht="43.2" x14ac:dyDescent="0.3">
      <c r="A1304" s="1">
        <v>70</v>
      </c>
      <c r="B1304" s="1">
        <v>2024</v>
      </c>
      <c r="C1304" s="3">
        <v>45555</v>
      </c>
      <c r="D1304" s="4" t="s">
        <v>38</v>
      </c>
      <c r="E1304" s="5" t="s">
        <v>58</v>
      </c>
      <c r="F1304" s="5" t="s">
        <v>40</v>
      </c>
      <c r="G1304" s="7">
        <v>140</v>
      </c>
      <c r="H1304" s="7">
        <v>80</v>
      </c>
      <c r="I1304" s="7">
        <v>140</v>
      </c>
      <c r="J1304" s="7" t="s">
        <v>338</v>
      </c>
      <c r="K1304" s="7">
        <v>135</v>
      </c>
    </row>
    <row r="1305" spans="1:11" ht="43.2" x14ac:dyDescent="0.3">
      <c r="A1305" s="1">
        <v>70</v>
      </c>
      <c r="B1305" s="1">
        <v>2024</v>
      </c>
      <c r="C1305" s="3">
        <v>45555</v>
      </c>
      <c r="D1305" s="8" t="s">
        <v>38</v>
      </c>
      <c r="E1305" s="9" t="s">
        <v>59</v>
      </c>
      <c r="F1305" s="9" t="s">
        <v>45</v>
      </c>
      <c r="G1305" s="11">
        <v>50</v>
      </c>
      <c r="H1305" s="11">
        <v>50</v>
      </c>
      <c r="I1305" s="11">
        <v>80</v>
      </c>
      <c r="J1305" s="11" t="s">
        <v>89</v>
      </c>
      <c r="K1305" s="11">
        <v>50</v>
      </c>
    </row>
    <row r="1306" spans="1:11" ht="43.2" x14ac:dyDescent="0.3">
      <c r="A1306" s="1">
        <v>70</v>
      </c>
      <c r="B1306" s="1">
        <v>2024</v>
      </c>
      <c r="C1306" s="3">
        <v>45555</v>
      </c>
      <c r="D1306" s="4" t="s">
        <v>38</v>
      </c>
      <c r="E1306" s="5" t="s">
        <v>60</v>
      </c>
      <c r="F1306" s="5" t="s">
        <v>61</v>
      </c>
      <c r="G1306" s="7">
        <v>140</v>
      </c>
      <c r="H1306" s="7">
        <v>50</v>
      </c>
      <c r="I1306" s="7">
        <v>150</v>
      </c>
      <c r="J1306" s="7" t="s">
        <v>251</v>
      </c>
      <c r="K1306" s="7">
        <v>135</v>
      </c>
    </row>
    <row r="1307" spans="1:11" ht="43.2" x14ac:dyDescent="0.3">
      <c r="A1307" s="1">
        <v>70</v>
      </c>
      <c r="B1307" s="1">
        <v>2024</v>
      </c>
      <c r="C1307" s="3">
        <v>45555</v>
      </c>
      <c r="D1307" s="8" t="s">
        <v>38</v>
      </c>
      <c r="E1307" s="9" t="s">
        <v>63</v>
      </c>
      <c r="F1307" s="9" t="s">
        <v>40</v>
      </c>
      <c r="G1307" s="11">
        <v>70</v>
      </c>
      <c r="H1307" s="11">
        <v>50</v>
      </c>
      <c r="I1307" s="11">
        <v>80</v>
      </c>
      <c r="J1307" s="11">
        <v>65</v>
      </c>
      <c r="K1307" s="11" t="s">
        <v>84</v>
      </c>
    </row>
    <row r="1308" spans="1:11" ht="43.2" x14ac:dyDescent="0.3">
      <c r="A1308" s="1">
        <v>70</v>
      </c>
      <c r="B1308" s="1">
        <v>2024</v>
      </c>
      <c r="C1308" s="3">
        <v>45555</v>
      </c>
      <c r="D1308" s="4" t="s">
        <v>38</v>
      </c>
      <c r="E1308" s="5" t="s">
        <v>64</v>
      </c>
      <c r="F1308" s="5" t="s">
        <v>40</v>
      </c>
      <c r="G1308" s="7">
        <v>130</v>
      </c>
      <c r="H1308" s="7">
        <v>120</v>
      </c>
      <c r="I1308" s="7">
        <v>150</v>
      </c>
      <c r="J1308" s="7">
        <v>130</v>
      </c>
      <c r="K1308" s="7">
        <v>130</v>
      </c>
    </row>
    <row r="1309" spans="1:11" x14ac:dyDescent="0.3">
      <c r="A1309" s="1">
        <v>70</v>
      </c>
      <c r="B1309" s="1">
        <v>2024</v>
      </c>
      <c r="C1309" s="3">
        <v>45555</v>
      </c>
      <c r="D1309" s="8" t="s">
        <v>65</v>
      </c>
      <c r="E1309" s="9" t="s">
        <v>66</v>
      </c>
      <c r="F1309" s="9" t="s">
        <v>45</v>
      </c>
      <c r="G1309" s="10"/>
      <c r="H1309" s="10"/>
      <c r="I1309" s="10"/>
      <c r="J1309" s="10"/>
      <c r="K1309" s="10"/>
    </row>
    <row r="1310" spans="1:11" x14ac:dyDescent="0.3">
      <c r="A1310" s="1">
        <v>70</v>
      </c>
      <c r="B1310" s="1">
        <v>2024</v>
      </c>
      <c r="C1310" s="3">
        <v>45555</v>
      </c>
      <c r="D1310" s="4" t="s">
        <v>65</v>
      </c>
      <c r="E1310" s="5" t="s">
        <v>67</v>
      </c>
      <c r="F1310" s="5" t="s">
        <v>45</v>
      </c>
      <c r="G1310" s="6"/>
      <c r="H1310" s="6"/>
      <c r="I1310" s="6"/>
      <c r="J1310" s="6"/>
      <c r="K1310" s="6"/>
    </row>
    <row r="1311" spans="1:11" x14ac:dyDescent="0.3">
      <c r="A1311" s="1">
        <v>70</v>
      </c>
      <c r="B1311" s="1">
        <v>2024</v>
      </c>
      <c r="C1311" s="3">
        <v>45555</v>
      </c>
      <c r="D1311" s="8" t="s">
        <v>65</v>
      </c>
      <c r="E1311" s="9" t="s">
        <v>68</v>
      </c>
      <c r="F1311" s="9" t="s">
        <v>45</v>
      </c>
      <c r="G1311" s="10"/>
      <c r="H1311" s="10"/>
      <c r="I1311" s="10"/>
      <c r="J1311" s="10"/>
      <c r="K1311" s="10"/>
    </row>
    <row r="1312" spans="1:11" x14ac:dyDescent="0.3">
      <c r="A1312" s="1">
        <v>70</v>
      </c>
      <c r="B1312" s="1">
        <v>2024</v>
      </c>
      <c r="C1312" s="3">
        <v>45555</v>
      </c>
      <c r="D1312" s="4" t="s">
        <v>65</v>
      </c>
      <c r="E1312" s="5" t="s">
        <v>69</v>
      </c>
      <c r="F1312" s="5" t="s">
        <v>45</v>
      </c>
      <c r="G1312" s="6"/>
      <c r="H1312" s="7">
        <v>50</v>
      </c>
      <c r="I1312" s="7">
        <v>50</v>
      </c>
      <c r="J1312" s="7">
        <v>50</v>
      </c>
      <c r="K1312" s="7">
        <v>50</v>
      </c>
    </row>
    <row r="1313" spans="1:11" x14ac:dyDescent="0.3">
      <c r="A1313" s="1">
        <v>70</v>
      </c>
      <c r="B1313" s="1">
        <v>2024</v>
      </c>
      <c r="C1313" s="3">
        <v>45555</v>
      </c>
      <c r="D1313" s="8" t="s">
        <v>65</v>
      </c>
      <c r="E1313" s="9" t="s">
        <v>70</v>
      </c>
      <c r="F1313" s="9" t="s">
        <v>71</v>
      </c>
      <c r="G1313" s="10"/>
      <c r="H1313" s="10"/>
      <c r="I1313" s="10"/>
      <c r="J1313" s="10"/>
      <c r="K1313" s="10"/>
    </row>
    <row r="1314" spans="1:11" ht="28.8" x14ac:dyDescent="0.3">
      <c r="A1314" s="1">
        <v>71</v>
      </c>
      <c r="B1314" s="1">
        <v>2024</v>
      </c>
      <c r="C1314" s="3">
        <v>45562</v>
      </c>
      <c r="D1314" s="4" t="s">
        <v>11</v>
      </c>
      <c r="E1314" s="5" t="s">
        <v>12</v>
      </c>
      <c r="F1314" s="5" t="s">
        <v>13</v>
      </c>
      <c r="G1314" s="7">
        <v>36</v>
      </c>
      <c r="H1314" s="7">
        <v>30</v>
      </c>
      <c r="I1314" s="7">
        <v>48</v>
      </c>
      <c r="J1314" s="7" t="s">
        <v>339</v>
      </c>
      <c r="K1314" s="7">
        <v>36</v>
      </c>
    </row>
    <row r="1315" spans="1:11" ht="28.8" x14ac:dyDescent="0.3">
      <c r="A1315" s="1">
        <v>71</v>
      </c>
      <c r="B1315" s="1">
        <v>2024</v>
      </c>
      <c r="C1315" s="3">
        <v>45562</v>
      </c>
      <c r="D1315" s="8" t="s">
        <v>11</v>
      </c>
      <c r="E1315" s="9" t="s">
        <v>14</v>
      </c>
      <c r="F1315" s="9" t="s">
        <v>13</v>
      </c>
      <c r="G1315" s="11">
        <v>60</v>
      </c>
      <c r="H1315" s="11">
        <v>60</v>
      </c>
      <c r="I1315" s="11">
        <v>72</v>
      </c>
      <c r="J1315" s="11">
        <v>64</v>
      </c>
      <c r="K1315" s="11">
        <v>60</v>
      </c>
    </row>
    <row r="1316" spans="1:11" ht="28.8" x14ac:dyDescent="0.3">
      <c r="A1316" s="1">
        <v>71</v>
      </c>
      <c r="B1316" s="1">
        <v>2024</v>
      </c>
      <c r="C1316" s="3">
        <v>45562</v>
      </c>
      <c r="D1316" s="4" t="s">
        <v>11</v>
      </c>
      <c r="E1316" s="5" t="s">
        <v>15</v>
      </c>
      <c r="F1316" s="5" t="s">
        <v>13</v>
      </c>
      <c r="G1316" s="7">
        <v>30</v>
      </c>
      <c r="H1316" s="7">
        <v>25</v>
      </c>
      <c r="I1316" s="7">
        <v>36</v>
      </c>
      <c r="J1316" s="7" t="s">
        <v>340</v>
      </c>
      <c r="K1316" s="7">
        <v>30</v>
      </c>
    </row>
    <row r="1317" spans="1:11" ht="28.8" x14ac:dyDescent="0.3">
      <c r="A1317" s="1">
        <v>71</v>
      </c>
      <c r="B1317" s="1">
        <v>2024</v>
      </c>
      <c r="C1317" s="3">
        <v>45562</v>
      </c>
      <c r="D1317" s="8" t="s">
        <v>11</v>
      </c>
      <c r="E1317" s="9" t="s">
        <v>16</v>
      </c>
      <c r="F1317" s="9" t="s">
        <v>13</v>
      </c>
      <c r="G1317" s="11">
        <v>18</v>
      </c>
      <c r="H1317" s="11">
        <v>18</v>
      </c>
      <c r="I1317" s="11">
        <v>30</v>
      </c>
      <c r="J1317" s="11" t="s">
        <v>37</v>
      </c>
      <c r="K1317" s="11">
        <v>21</v>
      </c>
    </row>
    <row r="1318" spans="1:11" ht="28.8" x14ac:dyDescent="0.3">
      <c r="A1318" s="1">
        <v>71</v>
      </c>
      <c r="B1318" s="1">
        <v>2024</v>
      </c>
      <c r="C1318" s="3">
        <v>45562</v>
      </c>
      <c r="D1318" s="4" t="s">
        <v>11</v>
      </c>
      <c r="E1318" s="5" t="s">
        <v>17</v>
      </c>
      <c r="F1318" s="5" t="s">
        <v>13</v>
      </c>
      <c r="G1318" s="7">
        <v>18</v>
      </c>
      <c r="H1318" s="7">
        <v>18</v>
      </c>
      <c r="I1318" s="7">
        <v>30</v>
      </c>
      <c r="J1318" s="7" t="s">
        <v>37</v>
      </c>
      <c r="K1318" s="7">
        <v>21</v>
      </c>
    </row>
    <row r="1319" spans="1:11" ht="28.8" x14ac:dyDescent="0.3">
      <c r="A1319" s="1">
        <v>71</v>
      </c>
      <c r="B1319" s="1">
        <v>2024</v>
      </c>
      <c r="C1319" s="3">
        <v>45562</v>
      </c>
      <c r="D1319" s="8" t="s">
        <v>11</v>
      </c>
      <c r="E1319" s="9" t="s">
        <v>18</v>
      </c>
      <c r="F1319" s="9" t="s">
        <v>13</v>
      </c>
      <c r="G1319" s="11">
        <v>60</v>
      </c>
      <c r="H1319" s="11">
        <v>48</v>
      </c>
      <c r="I1319" s="11">
        <v>60</v>
      </c>
      <c r="J1319" s="11">
        <v>54</v>
      </c>
      <c r="K1319" s="11">
        <v>54</v>
      </c>
    </row>
    <row r="1320" spans="1:11" ht="28.8" x14ac:dyDescent="0.3">
      <c r="A1320" s="1">
        <v>71</v>
      </c>
      <c r="B1320" s="1">
        <v>2024</v>
      </c>
      <c r="C1320" s="3">
        <v>45562</v>
      </c>
      <c r="D1320" s="4" t="s">
        <v>11</v>
      </c>
      <c r="E1320" s="5" t="s">
        <v>19</v>
      </c>
      <c r="F1320" s="5" t="s">
        <v>13</v>
      </c>
      <c r="G1320" s="6"/>
      <c r="H1320" s="7">
        <v>48</v>
      </c>
      <c r="I1320" s="7">
        <v>72</v>
      </c>
      <c r="J1320" s="7">
        <v>58</v>
      </c>
      <c r="K1320" s="7">
        <v>54</v>
      </c>
    </row>
    <row r="1321" spans="1:11" ht="28.8" x14ac:dyDescent="0.3">
      <c r="A1321" s="1">
        <v>71</v>
      </c>
      <c r="B1321" s="1">
        <v>2024</v>
      </c>
      <c r="C1321" s="3">
        <v>45562</v>
      </c>
      <c r="D1321" s="8" t="s">
        <v>11</v>
      </c>
      <c r="E1321" s="9" t="s">
        <v>20</v>
      </c>
      <c r="F1321" s="9" t="s">
        <v>13</v>
      </c>
      <c r="G1321" s="11">
        <v>60</v>
      </c>
      <c r="H1321" s="11">
        <v>60</v>
      </c>
      <c r="I1321" s="11">
        <v>60</v>
      </c>
      <c r="J1321" s="11">
        <v>60</v>
      </c>
      <c r="K1321" s="11">
        <v>60</v>
      </c>
    </row>
    <row r="1322" spans="1:11" ht="28.8" x14ac:dyDescent="0.3">
      <c r="A1322" s="1">
        <v>71</v>
      </c>
      <c r="B1322" s="1">
        <v>2024</v>
      </c>
      <c r="C1322" s="3">
        <v>45562</v>
      </c>
      <c r="D1322" s="4" t="s">
        <v>11</v>
      </c>
      <c r="E1322" s="5" t="s">
        <v>21</v>
      </c>
      <c r="F1322" s="5" t="s">
        <v>13</v>
      </c>
      <c r="G1322" s="7">
        <v>18</v>
      </c>
      <c r="H1322" s="7">
        <v>18</v>
      </c>
      <c r="I1322" s="7">
        <v>48</v>
      </c>
      <c r="J1322" s="7" t="s">
        <v>341</v>
      </c>
      <c r="K1322" s="7">
        <v>20</v>
      </c>
    </row>
    <row r="1323" spans="1:11" ht="28.8" x14ac:dyDescent="0.3">
      <c r="A1323" s="1">
        <v>71</v>
      </c>
      <c r="B1323" s="1">
        <v>2024</v>
      </c>
      <c r="C1323" s="3">
        <v>45562</v>
      </c>
      <c r="D1323" s="8" t="s">
        <v>11</v>
      </c>
      <c r="E1323" s="9" t="s">
        <v>73</v>
      </c>
      <c r="F1323" s="9" t="s">
        <v>13</v>
      </c>
      <c r="G1323" s="11">
        <v>60</v>
      </c>
      <c r="H1323" s="11">
        <v>60</v>
      </c>
      <c r="I1323" s="11">
        <v>60</v>
      </c>
      <c r="J1323" s="11">
        <v>60</v>
      </c>
      <c r="K1323" s="11">
        <v>60</v>
      </c>
    </row>
    <row r="1324" spans="1:11" ht="28.8" x14ac:dyDescent="0.3">
      <c r="A1324" s="1">
        <v>71</v>
      </c>
      <c r="B1324" s="1">
        <v>2024</v>
      </c>
      <c r="C1324" s="3">
        <v>45562</v>
      </c>
      <c r="D1324" s="4" t="s">
        <v>11</v>
      </c>
      <c r="E1324" s="5" t="s">
        <v>23</v>
      </c>
      <c r="F1324" s="5" t="s">
        <v>13</v>
      </c>
      <c r="G1324" s="7">
        <v>18</v>
      </c>
      <c r="H1324" s="7">
        <v>18</v>
      </c>
      <c r="I1324" s="7">
        <v>24</v>
      </c>
      <c r="J1324" s="7" t="s">
        <v>342</v>
      </c>
      <c r="K1324" s="7">
        <v>18</v>
      </c>
    </row>
    <row r="1325" spans="1:11" ht="28.8" x14ac:dyDescent="0.3">
      <c r="A1325" s="1">
        <v>71</v>
      </c>
      <c r="B1325" s="1">
        <v>2024</v>
      </c>
      <c r="C1325" s="3">
        <v>45562</v>
      </c>
      <c r="D1325" s="8" t="s">
        <v>11</v>
      </c>
      <c r="E1325" s="9" t="s">
        <v>24</v>
      </c>
      <c r="F1325" s="9" t="s">
        <v>13</v>
      </c>
      <c r="G1325" s="11">
        <v>48</v>
      </c>
      <c r="H1325" s="11">
        <v>48</v>
      </c>
      <c r="I1325" s="11">
        <v>72</v>
      </c>
      <c r="J1325" s="11">
        <v>56</v>
      </c>
      <c r="K1325" s="11">
        <v>48</v>
      </c>
    </row>
    <row r="1326" spans="1:11" ht="28.8" x14ac:dyDescent="0.3">
      <c r="A1326" s="1">
        <v>71</v>
      </c>
      <c r="B1326" s="1">
        <v>2024</v>
      </c>
      <c r="C1326" s="3">
        <v>45562</v>
      </c>
      <c r="D1326" s="4" t="s">
        <v>11</v>
      </c>
      <c r="E1326" s="5" t="s">
        <v>25</v>
      </c>
      <c r="F1326" s="5" t="s">
        <v>26</v>
      </c>
      <c r="G1326" s="7">
        <v>48</v>
      </c>
      <c r="H1326" s="7">
        <v>48</v>
      </c>
      <c r="I1326" s="7">
        <v>60</v>
      </c>
      <c r="J1326" s="7">
        <v>51</v>
      </c>
      <c r="K1326" s="7">
        <v>48</v>
      </c>
    </row>
    <row r="1327" spans="1:11" ht="28.8" x14ac:dyDescent="0.3">
      <c r="A1327" s="1">
        <v>71</v>
      </c>
      <c r="B1327" s="1">
        <v>2024</v>
      </c>
      <c r="C1327" s="3">
        <v>45562</v>
      </c>
      <c r="D1327" s="8" t="s">
        <v>11</v>
      </c>
      <c r="E1327" s="9" t="s">
        <v>27</v>
      </c>
      <c r="F1327" s="9" t="s">
        <v>13</v>
      </c>
      <c r="G1327" s="11">
        <v>48</v>
      </c>
      <c r="H1327" s="11">
        <v>48</v>
      </c>
      <c r="I1327" s="11">
        <v>72</v>
      </c>
      <c r="J1327" s="11">
        <v>57</v>
      </c>
      <c r="K1327" s="11">
        <v>54</v>
      </c>
    </row>
    <row r="1328" spans="1:11" ht="28.8" x14ac:dyDescent="0.3">
      <c r="A1328" s="1">
        <v>71</v>
      </c>
      <c r="B1328" s="1">
        <v>2024</v>
      </c>
      <c r="C1328" s="3">
        <v>45562</v>
      </c>
      <c r="D1328" s="4" t="s">
        <v>11</v>
      </c>
      <c r="E1328" s="5" t="s">
        <v>28</v>
      </c>
      <c r="F1328" s="5" t="s">
        <v>13</v>
      </c>
      <c r="G1328" s="7">
        <v>36</v>
      </c>
      <c r="H1328" s="7">
        <v>24</v>
      </c>
      <c r="I1328" s="7">
        <v>40</v>
      </c>
      <c r="J1328" s="7">
        <v>32</v>
      </c>
      <c r="K1328" s="7">
        <v>36</v>
      </c>
    </row>
    <row r="1329" spans="1:11" ht="28.8" x14ac:dyDescent="0.3">
      <c r="A1329" s="1">
        <v>71</v>
      </c>
      <c r="B1329" s="1">
        <v>2024</v>
      </c>
      <c r="C1329" s="3">
        <v>45562</v>
      </c>
      <c r="D1329" s="8" t="s">
        <v>11</v>
      </c>
      <c r="E1329" s="9" t="s">
        <v>29</v>
      </c>
      <c r="F1329" s="9" t="s">
        <v>13</v>
      </c>
      <c r="G1329" s="11">
        <v>48</v>
      </c>
      <c r="H1329" s="11">
        <v>42</v>
      </c>
      <c r="I1329" s="11">
        <v>48</v>
      </c>
      <c r="J1329" s="11" t="s">
        <v>174</v>
      </c>
      <c r="K1329" s="11">
        <v>48</v>
      </c>
    </row>
    <row r="1330" spans="1:11" ht="28.8" x14ac:dyDescent="0.3">
      <c r="A1330" s="1">
        <v>71</v>
      </c>
      <c r="B1330" s="1">
        <v>2024</v>
      </c>
      <c r="C1330" s="3">
        <v>45562</v>
      </c>
      <c r="D1330" s="4" t="s">
        <v>11</v>
      </c>
      <c r="E1330" s="5" t="s">
        <v>31</v>
      </c>
      <c r="F1330" s="5" t="s">
        <v>32</v>
      </c>
      <c r="G1330" s="7">
        <v>5</v>
      </c>
      <c r="H1330" s="7">
        <v>4</v>
      </c>
      <c r="I1330" s="7">
        <v>5</v>
      </c>
      <c r="J1330" s="7" t="s">
        <v>343</v>
      </c>
      <c r="K1330" s="7">
        <v>5</v>
      </c>
    </row>
    <row r="1331" spans="1:11" ht="28.8" x14ac:dyDescent="0.3">
      <c r="A1331" s="1">
        <v>71</v>
      </c>
      <c r="B1331" s="1">
        <v>2024</v>
      </c>
      <c r="C1331" s="3">
        <v>45562</v>
      </c>
      <c r="D1331" s="8" t="s">
        <v>11</v>
      </c>
      <c r="E1331" s="9" t="s">
        <v>34</v>
      </c>
      <c r="F1331" s="9" t="s">
        <v>35</v>
      </c>
      <c r="G1331" s="11">
        <v>10</v>
      </c>
      <c r="H1331" s="11">
        <v>10</v>
      </c>
      <c r="I1331" s="11">
        <v>15</v>
      </c>
      <c r="J1331" s="11" t="s">
        <v>344</v>
      </c>
      <c r="K1331" s="11">
        <v>11</v>
      </c>
    </row>
    <row r="1332" spans="1:11" ht="28.8" x14ac:dyDescent="0.3">
      <c r="A1332" s="1">
        <v>71</v>
      </c>
      <c r="B1332" s="1">
        <v>2024</v>
      </c>
      <c r="C1332" s="3">
        <v>45562</v>
      </c>
      <c r="D1332" s="4" t="s">
        <v>11</v>
      </c>
      <c r="E1332" s="5" t="s">
        <v>36</v>
      </c>
      <c r="F1332" s="5" t="s">
        <v>35</v>
      </c>
      <c r="G1332" s="7">
        <v>20</v>
      </c>
      <c r="H1332" s="7">
        <v>20</v>
      </c>
      <c r="I1332" s="7">
        <v>25</v>
      </c>
      <c r="J1332" s="7" t="s">
        <v>345</v>
      </c>
      <c r="K1332" s="7">
        <v>20</v>
      </c>
    </row>
    <row r="1333" spans="1:11" ht="43.2" x14ac:dyDescent="0.3">
      <c r="A1333" s="1">
        <v>71</v>
      </c>
      <c r="B1333" s="1">
        <v>2024</v>
      </c>
      <c r="C1333" s="3">
        <v>45562</v>
      </c>
      <c r="D1333" s="8" t="s">
        <v>38</v>
      </c>
      <c r="E1333" s="9" t="s">
        <v>153</v>
      </c>
      <c r="F1333" s="9" t="s">
        <v>154</v>
      </c>
      <c r="G1333" s="10"/>
      <c r="H1333" s="11">
        <v>80</v>
      </c>
      <c r="I1333" s="11">
        <v>85</v>
      </c>
      <c r="J1333" s="11" t="s">
        <v>168</v>
      </c>
      <c r="K1333" s="11" t="s">
        <v>168</v>
      </c>
    </row>
    <row r="1334" spans="1:11" ht="43.2" x14ac:dyDescent="0.3">
      <c r="A1334" s="1">
        <v>71</v>
      </c>
      <c r="B1334" s="1">
        <v>2024</v>
      </c>
      <c r="C1334" s="3">
        <v>45562</v>
      </c>
      <c r="D1334" s="4" t="s">
        <v>38</v>
      </c>
      <c r="E1334" s="5" t="s">
        <v>39</v>
      </c>
      <c r="F1334" s="5" t="s">
        <v>40</v>
      </c>
      <c r="G1334" s="7">
        <v>35</v>
      </c>
      <c r="H1334" s="7">
        <v>35</v>
      </c>
      <c r="I1334" s="7">
        <v>50</v>
      </c>
      <c r="J1334" s="7">
        <v>42</v>
      </c>
      <c r="K1334" s="7">
        <v>45</v>
      </c>
    </row>
    <row r="1335" spans="1:11" ht="43.2" x14ac:dyDescent="0.3">
      <c r="A1335" s="1">
        <v>71</v>
      </c>
      <c r="B1335" s="1">
        <v>2024</v>
      </c>
      <c r="C1335" s="3">
        <v>45562</v>
      </c>
      <c r="D1335" s="8" t="s">
        <v>38</v>
      </c>
      <c r="E1335" s="9" t="s">
        <v>42</v>
      </c>
      <c r="F1335" s="9" t="s">
        <v>43</v>
      </c>
      <c r="G1335" s="11">
        <v>70</v>
      </c>
      <c r="H1335" s="11">
        <v>45</v>
      </c>
      <c r="I1335" s="11">
        <v>70</v>
      </c>
      <c r="J1335" s="11">
        <v>64</v>
      </c>
      <c r="K1335" s="11">
        <v>70</v>
      </c>
    </row>
    <row r="1336" spans="1:11" ht="43.2" x14ac:dyDescent="0.3">
      <c r="A1336" s="1">
        <v>71</v>
      </c>
      <c r="B1336" s="1">
        <v>2024</v>
      </c>
      <c r="C1336" s="3">
        <v>45562</v>
      </c>
      <c r="D1336" s="4" t="s">
        <v>38</v>
      </c>
      <c r="E1336" s="5" t="s">
        <v>44</v>
      </c>
      <c r="F1336" s="5" t="s">
        <v>45</v>
      </c>
      <c r="G1336" s="6"/>
      <c r="H1336" s="7">
        <v>45</v>
      </c>
      <c r="I1336" s="7">
        <v>60</v>
      </c>
      <c r="J1336" s="7" t="s">
        <v>138</v>
      </c>
      <c r="K1336" s="7">
        <v>50</v>
      </c>
    </row>
    <row r="1337" spans="1:11" ht="43.2" x14ac:dyDescent="0.3">
      <c r="A1337" s="1">
        <v>71</v>
      </c>
      <c r="B1337" s="1">
        <v>2024</v>
      </c>
      <c r="C1337" s="3">
        <v>45562</v>
      </c>
      <c r="D1337" s="8" t="s">
        <v>38</v>
      </c>
      <c r="E1337" s="9" t="s">
        <v>48</v>
      </c>
      <c r="F1337" s="9" t="s">
        <v>45</v>
      </c>
      <c r="G1337" s="10"/>
      <c r="H1337" s="11">
        <v>50</v>
      </c>
      <c r="I1337" s="11">
        <v>110</v>
      </c>
      <c r="J1337" s="11" t="s">
        <v>270</v>
      </c>
      <c r="K1337" s="11">
        <v>90</v>
      </c>
    </row>
    <row r="1338" spans="1:11" ht="43.2" x14ac:dyDescent="0.3">
      <c r="A1338" s="1">
        <v>71</v>
      </c>
      <c r="B1338" s="1">
        <v>2024</v>
      </c>
      <c r="C1338" s="3">
        <v>45562</v>
      </c>
      <c r="D1338" s="4" t="s">
        <v>38</v>
      </c>
      <c r="E1338" s="5" t="s">
        <v>49</v>
      </c>
      <c r="F1338" s="5" t="s">
        <v>50</v>
      </c>
      <c r="G1338" s="7">
        <v>70</v>
      </c>
      <c r="H1338" s="7">
        <v>60</v>
      </c>
      <c r="I1338" s="7">
        <v>70</v>
      </c>
      <c r="J1338" s="7">
        <v>65</v>
      </c>
      <c r="K1338" s="7">
        <v>65</v>
      </c>
    </row>
    <row r="1339" spans="1:11" ht="43.2" x14ac:dyDescent="0.3">
      <c r="A1339" s="1">
        <v>71</v>
      </c>
      <c r="B1339" s="1">
        <v>2024</v>
      </c>
      <c r="C1339" s="3">
        <v>45562</v>
      </c>
      <c r="D1339" s="8" t="s">
        <v>38</v>
      </c>
      <c r="E1339" s="9" t="s">
        <v>52</v>
      </c>
      <c r="F1339" s="9" t="s">
        <v>43</v>
      </c>
      <c r="G1339" s="11">
        <v>60</v>
      </c>
      <c r="H1339" s="11">
        <v>35</v>
      </c>
      <c r="I1339" s="11">
        <v>60</v>
      </c>
      <c r="J1339" s="11">
        <v>50</v>
      </c>
      <c r="K1339" s="11">
        <v>55</v>
      </c>
    </row>
    <row r="1340" spans="1:11" ht="43.2" x14ac:dyDescent="0.3">
      <c r="A1340" s="1">
        <v>71</v>
      </c>
      <c r="B1340" s="1">
        <v>2024</v>
      </c>
      <c r="C1340" s="3">
        <v>45562</v>
      </c>
      <c r="D1340" s="4" t="s">
        <v>38</v>
      </c>
      <c r="E1340" s="5" t="s">
        <v>53</v>
      </c>
      <c r="F1340" s="5" t="s">
        <v>43</v>
      </c>
      <c r="G1340" s="7">
        <v>60</v>
      </c>
      <c r="H1340" s="7">
        <v>60</v>
      </c>
      <c r="I1340" s="7">
        <v>80</v>
      </c>
      <c r="J1340" s="7">
        <v>68</v>
      </c>
      <c r="K1340" s="7">
        <v>70</v>
      </c>
    </row>
    <row r="1341" spans="1:11" ht="43.2" x14ac:dyDescent="0.3">
      <c r="A1341" s="1">
        <v>71</v>
      </c>
      <c r="B1341" s="1">
        <v>2024</v>
      </c>
      <c r="C1341" s="3">
        <v>45562</v>
      </c>
      <c r="D1341" s="8" t="s">
        <v>38</v>
      </c>
      <c r="E1341" s="9" t="s">
        <v>54</v>
      </c>
      <c r="F1341" s="9" t="s">
        <v>40</v>
      </c>
      <c r="G1341" s="10"/>
      <c r="H1341" s="11">
        <v>90</v>
      </c>
      <c r="I1341" s="11">
        <v>120</v>
      </c>
      <c r="J1341" s="11">
        <v>105</v>
      </c>
      <c r="K1341" s="11">
        <v>105</v>
      </c>
    </row>
    <row r="1342" spans="1:11" ht="43.2" x14ac:dyDescent="0.3">
      <c r="A1342" s="1">
        <v>71</v>
      </c>
      <c r="B1342" s="1">
        <v>2024</v>
      </c>
      <c r="C1342" s="3">
        <v>45562</v>
      </c>
      <c r="D1342" s="4" t="s">
        <v>38</v>
      </c>
      <c r="E1342" s="5" t="s">
        <v>56</v>
      </c>
      <c r="F1342" s="5" t="s">
        <v>43</v>
      </c>
      <c r="G1342" s="6"/>
      <c r="H1342" s="7">
        <v>65</v>
      </c>
      <c r="I1342" s="7">
        <v>65</v>
      </c>
      <c r="J1342" s="7">
        <v>65</v>
      </c>
      <c r="K1342" s="7">
        <v>65</v>
      </c>
    </row>
    <row r="1343" spans="1:11" ht="43.2" x14ac:dyDescent="0.3">
      <c r="A1343" s="1">
        <v>71</v>
      </c>
      <c r="B1343" s="1">
        <v>2024</v>
      </c>
      <c r="C1343" s="3">
        <v>45562</v>
      </c>
      <c r="D1343" s="8" t="s">
        <v>38</v>
      </c>
      <c r="E1343" s="9" t="s">
        <v>57</v>
      </c>
      <c r="F1343" s="9" t="s">
        <v>40</v>
      </c>
      <c r="G1343" s="11">
        <v>100</v>
      </c>
      <c r="H1343" s="11">
        <v>80</v>
      </c>
      <c r="I1343" s="11">
        <v>100</v>
      </c>
      <c r="J1343" s="11" t="s">
        <v>196</v>
      </c>
      <c r="K1343" s="11">
        <v>100</v>
      </c>
    </row>
    <row r="1344" spans="1:11" ht="43.2" x14ac:dyDescent="0.3">
      <c r="A1344" s="1">
        <v>71</v>
      </c>
      <c r="B1344" s="1">
        <v>2024</v>
      </c>
      <c r="C1344" s="3">
        <v>45562</v>
      </c>
      <c r="D1344" s="4" t="s">
        <v>38</v>
      </c>
      <c r="E1344" s="5" t="s">
        <v>58</v>
      </c>
      <c r="F1344" s="5" t="s">
        <v>40</v>
      </c>
      <c r="G1344" s="6"/>
      <c r="H1344" s="7">
        <v>100</v>
      </c>
      <c r="I1344" s="7">
        <v>145</v>
      </c>
      <c r="J1344" s="7" t="s">
        <v>346</v>
      </c>
      <c r="K1344" s="7">
        <v>130</v>
      </c>
    </row>
    <row r="1345" spans="1:11" ht="43.2" x14ac:dyDescent="0.3">
      <c r="A1345" s="1">
        <v>71</v>
      </c>
      <c r="B1345" s="1">
        <v>2024</v>
      </c>
      <c r="C1345" s="3">
        <v>45562</v>
      </c>
      <c r="D1345" s="8" t="s">
        <v>38</v>
      </c>
      <c r="E1345" s="9" t="s">
        <v>59</v>
      </c>
      <c r="F1345" s="9" t="s">
        <v>45</v>
      </c>
      <c r="G1345" s="11">
        <v>55</v>
      </c>
      <c r="H1345" s="11">
        <v>40</v>
      </c>
      <c r="I1345" s="11">
        <v>55</v>
      </c>
      <c r="J1345" s="11">
        <v>49</v>
      </c>
      <c r="K1345" s="11">
        <v>50</v>
      </c>
    </row>
    <row r="1346" spans="1:11" ht="43.2" x14ac:dyDescent="0.3">
      <c r="A1346" s="1">
        <v>71</v>
      </c>
      <c r="B1346" s="1">
        <v>2024</v>
      </c>
      <c r="C1346" s="3">
        <v>45562</v>
      </c>
      <c r="D1346" s="4" t="s">
        <v>38</v>
      </c>
      <c r="E1346" s="5" t="s">
        <v>60</v>
      </c>
      <c r="F1346" s="5" t="s">
        <v>61</v>
      </c>
      <c r="G1346" s="7">
        <v>140</v>
      </c>
      <c r="H1346" s="7">
        <v>140</v>
      </c>
      <c r="I1346" s="7">
        <v>150</v>
      </c>
      <c r="J1346" s="7">
        <v>144</v>
      </c>
      <c r="K1346" s="7">
        <v>140</v>
      </c>
    </row>
    <row r="1347" spans="1:11" ht="43.2" x14ac:dyDescent="0.3">
      <c r="A1347" s="1">
        <v>71</v>
      </c>
      <c r="B1347" s="1">
        <v>2024</v>
      </c>
      <c r="C1347" s="3">
        <v>45562</v>
      </c>
      <c r="D1347" s="8" t="s">
        <v>38</v>
      </c>
      <c r="E1347" s="9" t="s">
        <v>63</v>
      </c>
      <c r="F1347" s="9" t="s">
        <v>40</v>
      </c>
      <c r="G1347" s="11">
        <v>60</v>
      </c>
      <c r="H1347" s="11">
        <v>50</v>
      </c>
      <c r="I1347" s="11">
        <v>90</v>
      </c>
      <c r="J1347" s="11">
        <v>66</v>
      </c>
      <c r="K1347" s="11">
        <v>60</v>
      </c>
    </row>
    <row r="1348" spans="1:11" ht="43.2" x14ac:dyDescent="0.3">
      <c r="A1348" s="1">
        <v>71</v>
      </c>
      <c r="B1348" s="1">
        <v>2024</v>
      </c>
      <c r="C1348" s="3">
        <v>45562</v>
      </c>
      <c r="D1348" s="4" t="s">
        <v>38</v>
      </c>
      <c r="E1348" s="5" t="s">
        <v>64</v>
      </c>
      <c r="F1348" s="5" t="s">
        <v>40</v>
      </c>
      <c r="G1348" s="6"/>
      <c r="H1348" s="7">
        <v>100</v>
      </c>
      <c r="I1348" s="7">
        <v>130</v>
      </c>
      <c r="J1348" s="7" t="s">
        <v>201</v>
      </c>
      <c r="K1348" s="7">
        <v>120</v>
      </c>
    </row>
    <row r="1349" spans="1:11" x14ac:dyDescent="0.3">
      <c r="A1349" s="1">
        <v>71</v>
      </c>
      <c r="B1349" s="1">
        <v>2024</v>
      </c>
      <c r="C1349" s="3">
        <v>45562</v>
      </c>
      <c r="D1349" s="8" t="s">
        <v>65</v>
      </c>
      <c r="E1349" s="9" t="s">
        <v>66</v>
      </c>
      <c r="F1349" s="9" t="s">
        <v>45</v>
      </c>
      <c r="G1349" s="10"/>
      <c r="H1349" s="10"/>
      <c r="I1349" s="10"/>
      <c r="J1349" s="10"/>
      <c r="K1349" s="10"/>
    </row>
    <row r="1350" spans="1:11" x14ac:dyDescent="0.3">
      <c r="A1350" s="1">
        <v>71</v>
      </c>
      <c r="B1350" s="1">
        <v>2024</v>
      </c>
      <c r="C1350" s="3">
        <v>45562</v>
      </c>
      <c r="D1350" s="4" t="s">
        <v>65</v>
      </c>
      <c r="E1350" s="5" t="s">
        <v>67</v>
      </c>
      <c r="F1350" s="5" t="s">
        <v>45</v>
      </c>
      <c r="G1350" s="6"/>
      <c r="H1350" s="6"/>
      <c r="I1350" s="6"/>
      <c r="J1350" s="6"/>
      <c r="K1350" s="6"/>
    </row>
    <row r="1351" spans="1:11" x14ac:dyDescent="0.3">
      <c r="A1351" s="1">
        <v>71</v>
      </c>
      <c r="B1351" s="1">
        <v>2024</v>
      </c>
      <c r="C1351" s="3">
        <v>45562</v>
      </c>
      <c r="D1351" s="8" t="s">
        <v>65</v>
      </c>
      <c r="E1351" s="9" t="s">
        <v>68</v>
      </c>
      <c r="F1351" s="9" t="s">
        <v>45</v>
      </c>
      <c r="G1351" s="10"/>
      <c r="H1351" s="10"/>
      <c r="I1351" s="10"/>
      <c r="J1351" s="10"/>
      <c r="K1351" s="10"/>
    </row>
    <row r="1352" spans="1:11" x14ac:dyDescent="0.3">
      <c r="A1352" s="1">
        <v>71</v>
      </c>
      <c r="B1352" s="1">
        <v>2024</v>
      </c>
      <c r="C1352" s="3">
        <v>45562</v>
      </c>
      <c r="D1352" s="4" t="s">
        <v>65</v>
      </c>
      <c r="E1352" s="5" t="s">
        <v>69</v>
      </c>
      <c r="F1352" s="5" t="s">
        <v>45</v>
      </c>
      <c r="G1352" s="6"/>
      <c r="H1352" s="7">
        <v>50</v>
      </c>
      <c r="I1352" s="7">
        <v>50</v>
      </c>
      <c r="J1352" s="7">
        <v>50</v>
      </c>
      <c r="K1352" s="7">
        <v>50</v>
      </c>
    </row>
    <row r="1353" spans="1:11" x14ac:dyDescent="0.3">
      <c r="A1353" s="1">
        <v>71</v>
      </c>
      <c r="B1353" s="1">
        <v>2024</v>
      </c>
      <c r="C1353" s="3">
        <v>45562</v>
      </c>
      <c r="D1353" s="8" t="s">
        <v>65</v>
      </c>
      <c r="E1353" s="9" t="s">
        <v>70</v>
      </c>
      <c r="F1353" s="9" t="s">
        <v>71</v>
      </c>
      <c r="G1353" s="10"/>
      <c r="H1353" s="10"/>
      <c r="I1353" s="10"/>
      <c r="J1353" s="10"/>
      <c r="K1353" s="10"/>
    </row>
    <row r="1354" spans="1:11" ht="28.8" x14ac:dyDescent="0.3">
      <c r="A1354" s="1">
        <v>72</v>
      </c>
      <c r="B1354" s="1">
        <v>2024</v>
      </c>
      <c r="C1354" s="3">
        <v>45569</v>
      </c>
      <c r="D1354" s="4" t="s">
        <v>11</v>
      </c>
      <c r="E1354" s="5" t="s">
        <v>12</v>
      </c>
      <c r="F1354" s="5" t="s">
        <v>13</v>
      </c>
      <c r="G1354" s="7">
        <v>48</v>
      </c>
      <c r="H1354" s="7">
        <v>48</v>
      </c>
      <c r="I1354" s="7">
        <v>60</v>
      </c>
      <c r="J1354" s="7">
        <v>51</v>
      </c>
      <c r="K1354" s="7">
        <v>48</v>
      </c>
    </row>
    <row r="1355" spans="1:11" ht="28.8" x14ac:dyDescent="0.3">
      <c r="A1355" s="1">
        <v>72</v>
      </c>
      <c r="B1355" s="1">
        <v>2024</v>
      </c>
      <c r="C1355" s="3">
        <v>45569</v>
      </c>
      <c r="D1355" s="8" t="s">
        <v>11</v>
      </c>
      <c r="E1355" s="9" t="s">
        <v>14</v>
      </c>
      <c r="F1355" s="9" t="s">
        <v>13</v>
      </c>
      <c r="G1355" s="11">
        <v>72</v>
      </c>
      <c r="H1355" s="11">
        <v>72</v>
      </c>
      <c r="I1355" s="11">
        <v>84</v>
      </c>
      <c r="J1355" s="11">
        <v>76</v>
      </c>
      <c r="K1355" s="11">
        <v>72</v>
      </c>
    </row>
    <row r="1356" spans="1:11" ht="28.8" x14ac:dyDescent="0.3">
      <c r="A1356" s="1">
        <v>72</v>
      </c>
      <c r="B1356" s="1">
        <v>2024</v>
      </c>
      <c r="C1356" s="3">
        <v>45569</v>
      </c>
      <c r="D1356" s="4" t="s">
        <v>11</v>
      </c>
      <c r="E1356" s="5" t="s">
        <v>15</v>
      </c>
      <c r="F1356" s="5" t="s">
        <v>13</v>
      </c>
      <c r="G1356" s="7">
        <v>30</v>
      </c>
      <c r="H1356" s="7">
        <v>30</v>
      </c>
      <c r="I1356" s="7">
        <v>36</v>
      </c>
      <c r="J1356" s="7">
        <v>33</v>
      </c>
      <c r="K1356" s="7">
        <v>33</v>
      </c>
    </row>
    <row r="1357" spans="1:11" ht="28.8" x14ac:dyDescent="0.3">
      <c r="A1357" s="1">
        <v>72</v>
      </c>
      <c r="B1357" s="1">
        <v>2024</v>
      </c>
      <c r="C1357" s="3">
        <v>45569</v>
      </c>
      <c r="D1357" s="8" t="s">
        <v>11</v>
      </c>
      <c r="E1357" s="9" t="s">
        <v>16</v>
      </c>
      <c r="F1357" s="9" t="s">
        <v>13</v>
      </c>
      <c r="G1357" s="11">
        <v>24</v>
      </c>
      <c r="H1357" s="11">
        <v>18</v>
      </c>
      <c r="I1357" s="11">
        <v>24</v>
      </c>
      <c r="J1357" s="11" t="s">
        <v>72</v>
      </c>
      <c r="K1357" s="11">
        <v>22</v>
      </c>
    </row>
    <row r="1358" spans="1:11" ht="28.8" x14ac:dyDescent="0.3">
      <c r="A1358" s="1">
        <v>72</v>
      </c>
      <c r="B1358" s="1">
        <v>2024</v>
      </c>
      <c r="C1358" s="3">
        <v>45569</v>
      </c>
      <c r="D1358" s="4" t="s">
        <v>11</v>
      </c>
      <c r="E1358" s="5" t="s">
        <v>17</v>
      </c>
      <c r="F1358" s="5" t="s">
        <v>13</v>
      </c>
      <c r="G1358" s="7">
        <v>24</v>
      </c>
      <c r="H1358" s="7">
        <v>18</v>
      </c>
      <c r="I1358" s="7">
        <v>24</v>
      </c>
      <c r="J1358" s="7" t="s">
        <v>72</v>
      </c>
      <c r="K1358" s="7">
        <v>22</v>
      </c>
    </row>
    <row r="1359" spans="1:11" ht="28.8" x14ac:dyDescent="0.3">
      <c r="A1359" s="1">
        <v>72</v>
      </c>
      <c r="B1359" s="1">
        <v>2024</v>
      </c>
      <c r="C1359" s="3">
        <v>45569</v>
      </c>
      <c r="D1359" s="8" t="s">
        <v>11</v>
      </c>
      <c r="E1359" s="9" t="s">
        <v>18</v>
      </c>
      <c r="F1359" s="9" t="s">
        <v>13</v>
      </c>
      <c r="G1359" s="11">
        <v>48</v>
      </c>
      <c r="H1359" s="11">
        <v>48</v>
      </c>
      <c r="I1359" s="11">
        <v>60</v>
      </c>
      <c r="J1359" s="11">
        <v>52</v>
      </c>
      <c r="K1359" s="11">
        <v>48</v>
      </c>
    </row>
    <row r="1360" spans="1:11" ht="28.8" x14ac:dyDescent="0.3">
      <c r="A1360" s="1">
        <v>72</v>
      </c>
      <c r="B1360" s="1">
        <v>2024</v>
      </c>
      <c r="C1360" s="3">
        <v>45569</v>
      </c>
      <c r="D1360" s="4" t="s">
        <v>11</v>
      </c>
      <c r="E1360" s="5" t="s">
        <v>19</v>
      </c>
      <c r="F1360" s="5" t="s">
        <v>13</v>
      </c>
      <c r="G1360" s="6"/>
      <c r="H1360" s="7">
        <v>48</v>
      </c>
      <c r="I1360" s="7">
        <v>60</v>
      </c>
      <c r="J1360" s="7">
        <v>54</v>
      </c>
      <c r="K1360" s="7">
        <v>54</v>
      </c>
    </row>
    <row r="1361" spans="1:11" ht="28.8" x14ac:dyDescent="0.3">
      <c r="A1361" s="1">
        <v>72</v>
      </c>
      <c r="B1361" s="1">
        <v>2024</v>
      </c>
      <c r="C1361" s="3">
        <v>45569</v>
      </c>
      <c r="D1361" s="8" t="s">
        <v>11</v>
      </c>
      <c r="E1361" s="9" t="s">
        <v>20</v>
      </c>
      <c r="F1361" s="9" t="s">
        <v>13</v>
      </c>
      <c r="G1361" s="11">
        <v>72</v>
      </c>
      <c r="H1361" s="11">
        <v>72</v>
      </c>
      <c r="I1361" s="11">
        <v>72</v>
      </c>
      <c r="J1361" s="11">
        <v>72</v>
      </c>
      <c r="K1361" s="11">
        <v>72</v>
      </c>
    </row>
    <row r="1362" spans="1:11" ht="28.8" x14ac:dyDescent="0.3">
      <c r="A1362" s="1">
        <v>72</v>
      </c>
      <c r="B1362" s="1">
        <v>2024</v>
      </c>
      <c r="C1362" s="3">
        <v>45569</v>
      </c>
      <c r="D1362" s="4" t="s">
        <v>11</v>
      </c>
      <c r="E1362" s="5" t="s">
        <v>21</v>
      </c>
      <c r="F1362" s="5" t="s">
        <v>13</v>
      </c>
      <c r="G1362" s="7">
        <v>24</v>
      </c>
      <c r="H1362" s="7">
        <v>18</v>
      </c>
      <c r="I1362" s="7">
        <v>24</v>
      </c>
      <c r="J1362" s="7" t="s">
        <v>37</v>
      </c>
      <c r="K1362" s="7">
        <v>24</v>
      </c>
    </row>
    <row r="1363" spans="1:11" ht="28.8" x14ac:dyDescent="0.3">
      <c r="A1363" s="1">
        <v>72</v>
      </c>
      <c r="B1363" s="1">
        <v>2024</v>
      </c>
      <c r="C1363" s="3">
        <v>45569</v>
      </c>
      <c r="D1363" s="8" t="s">
        <v>11</v>
      </c>
      <c r="E1363" s="9" t="s">
        <v>73</v>
      </c>
      <c r="F1363" s="9" t="s">
        <v>13</v>
      </c>
      <c r="G1363" s="11">
        <v>60</v>
      </c>
      <c r="H1363" s="11">
        <v>50</v>
      </c>
      <c r="I1363" s="11">
        <v>60</v>
      </c>
      <c r="J1363" s="11" t="s">
        <v>55</v>
      </c>
      <c r="K1363" s="11">
        <v>60</v>
      </c>
    </row>
    <row r="1364" spans="1:11" ht="28.8" x14ac:dyDescent="0.3">
      <c r="A1364" s="1">
        <v>72</v>
      </c>
      <c r="B1364" s="1">
        <v>2024</v>
      </c>
      <c r="C1364" s="3">
        <v>45569</v>
      </c>
      <c r="D1364" s="4" t="s">
        <v>11</v>
      </c>
      <c r="E1364" s="5" t="s">
        <v>23</v>
      </c>
      <c r="F1364" s="5" t="s">
        <v>13</v>
      </c>
      <c r="G1364" s="7">
        <v>24</v>
      </c>
      <c r="H1364" s="7">
        <v>20</v>
      </c>
      <c r="I1364" s="7">
        <v>24</v>
      </c>
      <c r="J1364" s="7">
        <v>23</v>
      </c>
      <c r="K1364" s="7">
        <v>24</v>
      </c>
    </row>
    <row r="1365" spans="1:11" ht="28.8" x14ac:dyDescent="0.3">
      <c r="A1365" s="1">
        <v>72</v>
      </c>
      <c r="B1365" s="1">
        <v>2024</v>
      </c>
      <c r="C1365" s="3">
        <v>45569</v>
      </c>
      <c r="D1365" s="8" t="s">
        <v>11</v>
      </c>
      <c r="E1365" s="9" t="s">
        <v>24</v>
      </c>
      <c r="F1365" s="9" t="s">
        <v>13</v>
      </c>
      <c r="G1365" s="11">
        <v>48</v>
      </c>
      <c r="H1365" s="11">
        <v>48</v>
      </c>
      <c r="I1365" s="11">
        <v>72</v>
      </c>
      <c r="J1365" s="11">
        <v>56</v>
      </c>
      <c r="K1365" s="11">
        <v>48</v>
      </c>
    </row>
    <row r="1366" spans="1:11" ht="28.8" x14ac:dyDescent="0.3">
      <c r="A1366" s="1">
        <v>72</v>
      </c>
      <c r="B1366" s="1">
        <v>2024</v>
      </c>
      <c r="C1366" s="3">
        <v>45569</v>
      </c>
      <c r="D1366" s="4" t="s">
        <v>11</v>
      </c>
      <c r="E1366" s="5" t="s">
        <v>25</v>
      </c>
      <c r="F1366" s="5" t="s">
        <v>26</v>
      </c>
      <c r="G1366" s="7">
        <v>60</v>
      </c>
      <c r="H1366" s="7">
        <v>48</v>
      </c>
      <c r="I1366" s="7">
        <v>60</v>
      </c>
      <c r="J1366" s="7">
        <v>54</v>
      </c>
      <c r="K1366" s="7">
        <v>54</v>
      </c>
    </row>
    <row r="1367" spans="1:11" ht="28.8" x14ac:dyDescent="0.3">
      <c r="A1367" s="1">
        <v>72</v>
      </c>
      <c r="B1367" s="1">
        <v>2024</v>
      </c>
      <c r="C1367" s="3">
        <v>45569</v>
      </c>
      <c r="D1367" s="8" t="s">
        <v>11</v>
      </c>
      <c r="E1367" s="9" t="s">
        <v>27</v>
      </c>
      <c r="F1367" s="9" t="s">
        <v>13</v>
      </c>
      <c r="G1367" s="11">
        <v>48</v>
      </c>
      <c r="H1367" s="11">
        <v>35</v>
      </c>
      <c r="I1367" s="11">
        <v>48</v>
      </c>
      <c r="J1367" s="11" t="s">
        <v>347</v>
      </c>
      <c r="K1367" s="11">
        <v>48</v>
      </c>
    </row>
    <row r="1368" spans="1:11" ht="28.8" x14ac:dyDescent="0.3">
      <c r="A1368" s="1">
        <v>72</v>
      </c>
      <c r="B1368" s="1">
        <v>2024</v>
      </c>
      <c r="C1368" s="3">
        <v>45569</v>
      </c>
      <c r="D1368" s="4" t="s">
        <v>11</v>
      </c>
      <c r="E1368" s="5" t="s">
        <v>28</v>
      </c>
      <c r="F1368" s="5" t="s">
        <v>13</v>
      </c>
      <c r="G1368" s="7">
        <v>30</v>
      </c>
      <c r="H1368" s="7">
        <v>24</v>
      </c>
      <c r="I1368" s="7">
        <v>36</v>
      </c>
      <c r="J1368" s="7">
        <v>30</v>
      </c>
      <c r="K1368" s="7">
        <v>30</v>
      </c>
    </row>
    <row r="1369" spans="1:11" ht="28.8" x14ac:dyDescent="0.3">
      <c r="A1369" s="1">
        <v>72</v>
      </c>
      <c r="B1369" s="1">
        <v>2024</v>
      </c>
      <c r="C1369" s="3">
        <v>45569</v>
      </c>
      <c r="D1369" s="8" t="s">
        <v>11</v>
      </c>
      <c r="E1369" s="9" t="s">
        <v>29</v>
      </c>
      <c r="F1369" s="9" t="s">
        <v>13</v>
      </c>
      <c r="G1369" s="11">
        <v>48</v>
      </c>
      <c r="H1369" s="11">
        <v>48</v>
      </c>
      <c r="I1369" s="11">
        <v>54</v>
      </c>
      <c r="J1369" s="11" t="s">
        <v>173</v>
      </c>
      <c r="K1369" s="11">
        <v>48</v>
      </c>
    </row>
    <row r="1370" spans="1:11" ht="28.8" x14ac:dyDescent="0.3">
      <c r="A1370" s="1">
        <v>72</v>
      </c>
      <c r="B1370" s="1">
        <v>2024</v>
      </c>
      <c r="C1370" s="3">
        <v>45569</v>
      </c>
      <c r="D1370" s="4" t="s">
        <v>11</v>
      </c>
      <c r="E1370" s="5" t="s">
        <v>31</v>
      </c>
      <c r="F1370" s="5" t="s">
        <v>32</v>
      </c>
      <c r="G1370" s="7">
        <v>5</v>
      </c>
      <c r="H1370" s="7">
        <v>4</v>
      </c>
      <c r="I1370" s="7">
        <v>5</v>
      </c>
      <c r="J1370" s="7" t="s">
        <v>150</v>
      </c>
      <c r="K1370" s="7">
        <v>5</v>
      </c>
    </row>
    <row r="1371" spans="1:11" ht="28.8" x14ac:dyDescent="0.3">
      <c r="A1371" s="1">
        <v>72</v>
      </c>
      <c r="B1371" s="1">
        <v>2024</v>
      </c>
      <c r="C1371" s="3">
        <v>45569</v>
      </c>
      <c r="D1371" s="8" t="s">
        <v>11</v>
      </c>
      <c r="E1371" s="9" t="s">
        <v>34</v>
      </c>
      <c r="F1371" s="9" t="s">
        <v>35</v>
      </c>
      <c r="G1371" s="11">
        <v>12</v>
      </c>
      <c r="H1371" s="11">
        <v>12</v>
      </c>
      <c r="I1371" s="11">
        <v>15</v>
      </c>
      <c r="J1371" s="11" t="s">
        <v>348</v>
      </c>
      <c r="K1371" s="11">
        <v>12</v>
      </c>
    </row>
    <row r="1372" spans="1:11" ht="28.8" x14ac:dyDescent="0.3">
      <c r="A1372" s="1">
        <v>72</v>
      </c>
      <c r="B1372" s="1">
        <v>2024</v>
      </c>
      <c r="C1372" s="3">
        <v>45569</v>
      </c>
      <c r="D1372" s="4" t="s">
        <v>11</v>
      </c>
      <c r="E1372" s="5" t="s">
        <v>36</v>
      </c>
      <c r="F1372" s="5" t="s">
        <v>35</v>
      </c>
      <c r="G1372" s="7">
        <v>20</v>
      </c>
      <c r="H1372" s="7">
        <v>20</v>
      </c>
      <c r="I1372" s="7">
        <v>30</v>
      </c>
      <c r="J1372" s="7" t="s">
        <v>315</v>
      </c>
      <c r="K1372" s="7" t="s">
        <v>37</v>
      </c>
    </row>
    <row r="1373" spans="1:11" ht="43.2" x14ac:dyDescent="0.3">
      <c r="A1373" s="1">
        <v>72</v>
      </c>
      <c r="B1373" s="1">
        <v>2024</v>
      </c>
      <c r="C1373" s="3">
        <v>45569</v>
      </c>
      <c r="D1373" s="8" t="s">
        <v>38</v>
      </c>
      <c r="E1373" s="9" t="s">
        <v>153</v>
      </c>
      <c r="F1373" s="9" t="s">
        <v>154</v>
      </c>
      <c r="G1373" s="11">
        <v>80</v>
      </c>
      <c r="H1373" s="11">
        <v>75</v>
      </c>
      <c r="I1373" s="11">
        <v>80</v>
      </c>
      <c r="J1373" s="11" t="s">
        <v>262</v>
      </c>
      <c r="K1373" s="11">
        <v>80</v>
      </c>
    </row>
    <row r="1374" spans="1:11" ht="43.2" x14ac:dyDescent="0.3">
      <c r="A1374" s="1">
        <v>72</v>
      </c>
      <c r="B1374" s="1">
        <v>2024</v>
      </c>
      <c r="C1374" s="3">
        <v>45569</v>
      </c>
      <c r="D1374" s="4" t="s">
        <v>38</v>
      </c>
      <c r="E1374" s="5" t="s">
        <v>39</v>
      </c>
      <c r="F1374" s="5" t="s">
        <v>40</v>
      </c>
      <c r="G1374" s="7">
        <v>35</v>
      </c>
      <c r="H1374" s="7">
        <v>35</v>
      </c>
      <c r="I1374" s="7">
        <v>50</v>
      </c>
      <c r="J1374" s="7" t="s">
        <v>349</v>
      </c>
      <c r="K1374" s="7">
        <v>40</v>
      </c>
    </row>
    <row r="1375" spans="1:11" ht="43.2" x14ac:dyDescent="0.3">
      <c r="A1375" s="1">
        <v>72</v>
      </c>
      <c r="B1375" s="1">
        <v>2024</v>
      </c>
      <c r="C1375" s="3">
        <v>45569</v>
      </c>
      <c r="D1375" s="8" t="s">
        <v>38</v>
      </c>
      <c r="E1375" s="9" t="s">
        <v>42</v>
      </c>
      <c r="F1375" s="9" t="s">
        <v>43</v>
      </c>
      <c r="G1375" s="11">
        <v>70</v>
      </c>
      <c r="H1375" s="11">
        <v>45</v>
      </c>
      <c r="I1375" s="11">
        <v>70</v>
      </c>
      <c r="J1375" s="11" t="s">
        <v>80</v>
      </c>
      <c r="K1375" s="11" t="s">
        <v>84</v>
      </c>
    </row>
    <row r="1376" spans="1:11" ht="43.2" x14ac:dyDescent="0.3">
      <c r="A1376" s="1">
        <v>72</v>
      </c>
      <c r="B1376" s="1">
        <v>2024</v>
      </c>
      <c r="C1376" s="3">
        <v>45569</v>
      </c>
      <c r="D1376" s="4" t="s">
        <v>38</v>
      </c>
      <c r="E1376" s="5" t="s">
        <v>44</v>
      </c>
      <c r="F1376" s="5" t="s">
        <v>45</v>
      </c>
      <c r="G1376" s="7">
        <v>60</v>
      </c>
      <c r="H1376" s="7">
        <v>50</v>
      </c>
      <c r="I1376" s="7">
        <v>60</v>
      </c>
      <c r="J1376" s="7" t="s">
        <v>41</v>
      </c>
      <c r="K1376" s="7">
        <v>60</v>
      </c>
    </row>
    <row r="1377" spans="1:11" ht="43.2" x14ac:dyDescent="0.3">
      <c r="A1377" s="1">
        <v>72</v>
      </c>
      <c r="B1377" s="1">
        <v>2024</v>
      </c>
      <c r="C1377" s="3">
        <v>45569</v>
      </c>
      <c r="D1377" s="8" t="s">
        <v>38</v>
      </c>
      <c r="E1377" s="9" t="s">
        <v>48</v>
      </c>
      <c r="F1377" s="9" t="s">
        <v>45</v>
      </c>
      <c r="G1377" s="10"/>
      <c r="H1377" s="11">
        <v>75</v>
      </c>
      <c r="I1377" s="11">
        <v>120</v>
      </c>
      <c r="J1377" s="11" t="s">
        <v>156</v>
      </c>
      <c r="K1377" s="11" t="s">
        <v>156</v>
      </c>
    </row>
    <row r="1378" spans="1:11" ht="43.2" x14ac:dyDescent="0.3">
      <c r="A1378" s="1">
        <v>72</v>
      </c>
      <c r="B1378" s="1">
        <v>2024</v>
      </c>
      <c r="C1378" s="3">
        <v>45569</v>
      </c>
      <c r="D1378" s="4" t="s">
        <v>38</v>
      </c>
      <c r="E1378" s="5" t="s">
        <v>49</v>
      </c>
      <c r="F1378" s="5" t="s">
        <v>50</v>
      </c>
      <c r="G1378" s="6"/>
      <c r="H1378" s="7">
        <v>60</v>
      </c>
      <c r="I1378" s="7">
        <v>80</v>
      </c>
      <c r="J1378" s="7" t="s">
        <v>94</v>
      </c>
      <c r="K1378" s="7" t="s">
        <v>84</v>
      </c>
    </row>
    <row r="1379" spans="1:11" ht="43.2" x14ac:dyDescent="0.3">
      <c r="A1379" s="1">
        <v>72</v>
      </c>
      <c r="B1379" s="1">
        <v>2024</v>
      </c>
      <c r="C1379" s="3">
        <v>45569</v>
      </c>
      <c r="D1379" s="8" t="s">
        <v>38</v>
      </c>
      <c r="E1379" s="9" t="s">
        <v>52</v>
      </c>
      <c r="F1379" s="9" t="s">
        <v>43</v>
      </c>
      <c r="G1379" s="11">
        <v>55</v>
      </c>
      <c r="H1379" s="11">
        <v>30</v>
      </c>
      <c r="I1379" s="11">
        <v>60</v>
      </c>
      <c r="J1379" s="11">
        <v>50</v>
      </c>
      <c r="K1379" s="11">
        <v>55</v>
      </c>
    </row>
    <row r="1380" spans="1:11" ht="43.2" x14ac:dyDescent="0.3">
      <c r="A1380" s="1">
        <v>72</v>
      </c>
      <c r="B1380" s="1">
        <v>2024</v>
      </c>
      <c r="C1380" s="3">
        <v>45569</v>
      </c>
      <c r="D1380" s="4" t="s">
        <v>38</v>
      </c>
      <c r="E1380" s="5" t="s">
        <v>53</v>
      </c>
      <c r="F1380" s="5" t="s">
        <v>43</v>
      </c>
      <c r="G1380" s="7">
        <v>60</v>
      </c>
      <c r="H1380" s="7">
        <v>60</v>
      </c>
      <c r="I1380" s="7">
        <v>85</v>
      </c>
      <c r="J1380" s="7" t="s">
        <v>84</v>
      </c>
      <c r="K1380" s="7" t="s">
        <v>80</v>
      </c>
    </row>
    <row r="1381" spans="1:11" ht="43.2" x14ac:dyDescent="0.3">
      <c r="A1381" s="1">
        <v>72</v>
      </c>
      <c r="B1381" s="1">
        <v>2024</v>
      </c>
      <c r="C1381" s="3">
        <v>45569</v>
      </c>
      <c r="D1381" s="8" t="s">
        <v>38</v>
      </c>
      <c r="E1381" s="9" t="s">
        <v>54</v>
      </c>
      <c r="F1381" s="9" t="s">
        <v>40</v>
      </c>
      <c r="G1381" s="11">
        <v>120</v>
      </c>
      <c r="H1381" s="11">
        <v>120</v>
      </c>
      <c r="I1381" s="11">
        <v>120</v>
      </c>
      <c r="J1381" s="11">
        <v>120</v>
      </c>
      <c r="K1381" s="11">
        <v>120</v>
      </c>
    </row>
    <row r="1382" spans="1:11" ht="43.2" x14ac:dyDescent="0.3">
      <c r="A1382" s="1">
        <v>72</v>
      </c>
      <c r="B1382" s="1">
        <v>2024</v>
      </c>
      <c r="C1382" s="3">
        <v>45569</v>
      </c>
      <c r="D1382" s="4" t="s">
        <v>38</v>
      </c>
      <c r="E1382" s="5" t="s">
        <v>56</v>
      </c>
      <c r="F1382" s="5" t="s">
        <v>43</v>
      </c>
      <c r="G1382" s="6"/>
      <c r="H1382" s="7">
        <v>50</v>
      </c>
      <c r="I1382" s="7">
        <v>50</v>
      </c>
      <c r="J1382" s="7">
        <v>50</v>
      </c>
      <c r="K1382" s="7">
        <v>50</v>
      </c>
    </row>
    <row r="1383" spans="1:11" ht="43.2" x14ac:dyDescent="0.3">
      <c r="A1383" s="1">
        <v>72</v>
      </c>
      <c r="B1383" s="1">
        <v>2024</v>
      </c>
      <c r="C1383" s="3">
        <v>45569</v>
      </c>
      <c r="D1383" s="8" t="s">
        <v>38</v>
      </c>
      <c r="E1383" s="9" t="s">
        <v>57</v>
      </c>
      <c r="F1383" s="9" t="s">
        <v>40</v>
      </c>
      <c r="G1383" s="11">
        <v>100</v>
      </c>
      <c r="H1383" s="11">
        <v>100</v>
      </c>
      <c r="I1383" s="11">
        <v>100</v>
      </c>
      <c r="J1383" s="11">
        <v>100</v>
      </c>
      <c r="K1383" s="11">
        <v>100</v>
      </c>
    </row>
    <row r="1384" spans="1:11" ht="43.2" x14ac:dyDescent="0.3">
      <c r="A1384" s="1">
        <v>72</v>
      </c>
      <c r="B1384" s="1">
        <v>2024</v>
      </c>
      <c r="C1384" s="3">
        <v>45569</v>
      </c>
      <c r="D1384" s="4" t="s">
        <v>38</v>
      </c>
      <c r="E1384" s="5" t="s">
        <v>58</v>
      </c>
      <c r="F1384" s="5" t="s">
        <v>40</v>
      </c>
      <c r="G1384" s="7">
        <v>120</v>
      </c>
      <c r="H1384" s="7">
        <v>120</v>
      </c>
      <c r="I1384" s="7">
        <v>140</v>
      </c>
      <c r="J1384" s="7" t="s">
        <v>240</v>
      </c>
      <c r="K1384" s="7">
        <v>125</v>
      </c>
    </row>
    <row r="1385" spans="1:11" ht="43.2" x14ac:dyDescent="0.3">
      <c r="A1385" s="1">
        <v>72</v>
      </c>
      <c r="B1385" s="1">
        <v>2024</v>
      </c>
      <c r="C1385" s="3">
        <v>45569</v>
      </c>
      <c r="D1385" s="8" t="s">
        <v>38</v>
      </c>
      <c r="E1385" s="9" t="s">
        <v>59</v>
      </c>
      <c r="F1385" s="9" t="s">
        <v>45</v>
      </c>
      <c r="G1385" s="10"/>
      <c r="H1385" s="11">
        <v>45</v>
      </c>
      <c r="I1385" s="11">
        <v>80</v>
      </c>
      <c r="J1385" s="11">
        <v>60</v>
      </c>
      <c r="K1385" s="11" t="s">
        <v>41</v>
      </c>
    </row>
    <row r="1386" spans="1:11" ht="43.2" x14ac:dyDescent="0.3">
      <c r="A1386" s="1">
        <v>72</v>
      </c>
      <c r="B1386" s="1">
        <v>2024</v>
      </c>
      <c r="C1386" s="3">
        <v>45569</v>
      </c>
      <c r="D1386" s="4" t="s">
        <v>38</v>
      </c>
      <c r="E1386" s="5" t="s">
        <v>60</v>
      </c>
      <c r="F1386" s="5" t="s">
        <v>61</v>
      </c>
      <c r="G1386" s="7">
        <v>140</v>
      </c>
      <c r="H1386" s="7">
        <v>140</v>
      </c>
      <c r="I1386" s="7">
        <v>175</v>
      </c>
      <c r="J1386" s="7" t="s">
        <v>350</v>
      </c>
      <c r="K1386" s="7">
        <v>145</v>
      </c>
    </row>
    <row r="1387" spans="1:11" ht="43.2" x14ac:dyDescent="0.3">
      <c r="A1387" s="1">
        <v>72</v>
      </c>
      <c r="B1387" s="1">
        <v>2024</v>
      </c>
      <c r="C1387" s="3">
        <v>45569</v>
      </c>
      <c r="D1387" s="8" t="s">
        <v>38</v>
      </c>
      <c r="E1387" s="9" t="s">
        <v>63</v>
      </c>
      <c r="F1387" s="9" t="s">
        <v>40</v>
      </c>
      <c r="G1387" s="11">
        <v>80</v>
      </c>
      <c r="H1387" s="11">
        <v>45</v>
      </c>
      <c r="I1387" s="11">
        <v>90</v>
      </c>
      <c r="J1387" s="11" t="s">
        <v>351</v>
      </c>
      <c r="K1387" s="11">
        <v>80</v>
      </c>
    </row>
    <row r="1388" spans="1:11" ht="43.2" x14ac:dyDescent="0.3">
      <c r="A1388" s="1">
        <v>72</v>
      </c>
      <c r="B1388" s="1">
        <v>2024</v>
      </c>
      <c r="C1388" s="3">
        <v>45569</v>
      </c>
      <c r="D1388" s="4" t="s">
        <v>38</v>
      </c>
      <c r="E1388" s="5" t="s">
        <v>64</v>
      </c>
      <c r="F1388" s="5" t="s">
        <v>40</v>
      </c>
      <c r="G1388" s="7">
        <v>110</v>
      </c>
      <c r="H1388" s="7">
        <v>110</v>
      </c>
      <c r="I1388" s="7">
        <v>120</v>
      </c>
      <c r="J1388" s="7" t="s">
        <v>214</v>
      </c>
      <c r="K1388" s="7">
        <v>110</v>
      </c>
    </row>
    <row r="1389" spans="1:11" x14ac:dyDescent="0.3">
      <c r="A1389" s="1">
        <v>72</v>
      </c>
      <c r="B1389" s="1">
        <v>2024</v>
      </c>
      <c r="C1389" s="3">
        <v>45569</v>
      </c>
      <c r="D1389" s="8" t="s">
        <v>65</v>
      </c>
      <c r="E1389" s="9" t="s">
        <v>66</v>
      </c>
      <c r="F1389" s="9" t="s">
        <v>45</v>
      </c>
      <c r="G1389" s="10"/>
      <c r="H1389" s="10"/>
      <c r="I1389" s="10"/>
      <c r="J1389" s="10"/>
      <c r="K1389" s="10"/>
    </row>
    <row r="1390" spans="1:11" x14ac:dyDescent="0.3">
      <c r="A1390" s="1">
        <v>72</v>
      </c>
      <c r="B1390" s="1">
        <v>2024</v>
      </c>
      <c r="C1390" s="3">
        <v>45569</v>
      </c>
      <c r="D1390" s="4" t="s">
        <v>65</v>
      </c>
      <c r="E1390" s="5" t="s">
        <v>67</v>
      </c>
      <c r="F1390" s="5" t="s">
        <v>45</v>
      </c>
      <c r="G1390" s="6"/>
      <c r="H1390" s="6"/>
      <c r="I1390" s="6"/>
      <c r="J1390" s="6"/>
      <c r="K1390" s="6"/>
    </row>
    <row r="1391" spans="1:11" x14ac:dyDescent="0.3">
      <c r="A1391" s="1">
        <v>72</v>
      </c>
      <c r="B1391" s="1">
        <v>2024</v>
      </c>
      <c r="C1391" s="3">
        <v>45569</v>
      </c>
      <c r="D1391" s="8" t="s">
        <v>65</v>
      </c>
      <c r="E1391" s="9" t="s">
        <v>68</v>
      </c>
      <c r="F1391" s="9" t="s">
        <v>45</v>
      </c>
      <c r="G1391" s="10"/>
      <c r="H1391" s="10"/>
      <c r="I1391" s="10"/>
      <c r="J1391" s="10"/>
      <c r="K1391" s="10"/>
    </row>
    <row r="1392" spans="1:11" x14ac:dyDescent="0.3">
      <c r="A1392" s="1">
        <v>72</v>
      </c>
      <c r="B1392" s="1">
        <v>2024</v>
      </c>
      <c r="C1392" s="3">
        <v>45569</v>
      </c>
      <c r="D1392" s="4" t="s">
        <v>65</v>
      </c>
      <c r="E1392" s="5" t="s">
        <v>69</v>
      </c>
      <c r="F1392" s="5" t="s">
        <v>45</v>
      </c>
      <c r="G1392" s="6"/>
      <c r="H1392" s="7">
        <v>60</v>
      </c>
      <c r="I1392" s="7">
        <v>60</v>
      </c>
      <c r="J1392" s="7">
        <v>60</v>
      </c>
      <c r="K1392" s="7">
        <v>60</v>
      </c>
    </row>
    <row r="1393" spans="1:11" x14ac:dyDescent="0.3">
      <c r="A1393" s="1">
        <v>72</v>
      </c>
      <c r="B1393" s="1">
        <v>2024</v>
      </c>
      <c r="C1393" s="3">
        <v>45569</v>
      </c>
      <c r="D1393" s="8" t="s">
        <v>65</v>
      </c>
      <c r="E1393" s="9" t="s">
        <v>70</v>
      </c>
      <c r="F1393" s="9" t="s">
        <v>71</v>
      </c>
      <c r="G1393" s="10"/>
      <c r="H1393" s="10"/>
      <c r="I1393" s="10"/>
      <c r="J1393" s="10"/>
      <c r="K1393" s="10"/>
    </row>
    <row r="1394" spans="1:11" ht="28.8" x14ac:dyDescent="0.3">
      <c r="A1394" s="1">
        <v>73</v>
      </c>
      <c r="B1394" s="1">
        <v>2024</v>
      </c>
      <c r="C1394" s="3">
        <v>45576</v>
      </c>
      <c r="D1394" s="4" t="s">
        <v>11</v>
      </c>
      <c r="E1394" s="5" t="s">
        <v>12</v>
      </c>
      <c r="F1394" s="5" t="s">
        <v>13</v>
      </c>
      <c r="G1394" s="7">
        <v>48</v>
      </c>
      <c r="H1394" s="7">
        <v>36</v>
      </c>
      <c r="I1394" s="7">
        <v>60</v>
      </c>
      <c r="J1394" s="7">
        <v>48</v>
      </c>
      <c r="K1394" s="7">
        <v>48</v>
      </c>
    </row>
    <row r="1395" spans="1:11" ht="28.8" x14ac:dyDescent="0.3">
      <c r="A1395" s="1">
        <v>73</v>
      </c>
      <c r="B1395" s="1">
        <v>2024</v>
      </c>
      <c r="C1395" s="3">
        <v>45576</v>
      </c>
      <c r="D1395" s="8" t="s">
        <v>11</v>
      </c>
      <c r="E1395" s="9" t="s">
        <v>14</v>
      </c>
      <c r="F1395" s="9" t="s">
        <v>13</v>
      </c>
      <c r="G1395" s="11">
        <v>84</v>
      </c>
      <c r="H1395" s="11">
        <v>72</v>
      </c>
      <c r="I1395" s="11">
        <v>84</v>
      </c>
      <c r="J1395" s="11">
        <v>80</v>
      </c>
      <c r="K1395" s="11">
        <v>84</v>
      </c>
    </row>
    <row r="1396" spans="1:11" ht="28.8" x14ac:dyDescent="0.3">
      <c r="A1396" s="1">
        <v>73</v>
      </c>
      <c r="B1396" s="1">
        <v>2024</v>
      </c>
      <c r="C1396" s="3">
        <v>45576</v>
      </c>
      <c r="D1396" s="4" t="s">
        <v>11</v>
      </c>
      <c r="E1396" s="5" t="s">
        <v>15</v>
      </c>
      <c r="F1396" s="5" t="s">
        <v>13</v>
      </c>
      <c r="G1396" s="7">
        <v>36</v>
      </c>
      <c r="H1396" s="7">
        <v>25</v>
      </c>
      <c r="I1396" s="7">
        <v>42</v>
      </c>
      <c r="J1396" s="7" t="s">
        <v>352</v>
      </c>
      <c r="K1396" s="7">
        <v>36</v>
      </c>
    </row>
    <row r="1397" spans="1:11" ht="28.8" x14ac:dyDescent="0.3">
      <c r="A1397" s="1">
        <v>73</v>
      </c>
      <c r="B1397" s="1">
        <v>2024</v>
      </c>
      <c r="C1397" s="3">
        <v>45576</v>
      </c>
      <c r="D1397" s="8" t="s">
        <v>11</v>
      </c>
      <c r="E1397" s="9" t="s">
        <v>16</v>
      </c>
      <c r="F1397" s="9" t="s">
        <v>13</v>
      </c>
      <c r="G1397" s="11">
        <v>18</v>
      </c>
      <c r="H1397" s="11">
        <v>18</v>
      </c>
      <c r="I1397" s="11">
        <v>24</v>
      </c>
      <c r="J1397" s="11">
        <v>21</v>
      </c>
      <c r="K1397" s="11">
        <v>21</v>
      </c>
    </row>
    <row r="1398" spans="1:11" ht="28.8" x14ac:dyDescent="0.3">
      <c r="A1398" s="1">
        <v>73</v>
      </c>
      <c r="B1398" s="1">
        <v>2024</v>
      </c>
      <c r="C1398" s="3">
        <v>45576</v>
      </c>
      <c r="D1398" s="4" t="s">
        <v>11</v>
      </c>
      <c r="E1398" s="5" t="s">
        <v>17</v>
      </c>
      <c r="F1398" s="5" t="s">
        <v>13</v>
      </c>
      <c r="G1398" s="7">
        <v>18</v>
      </c>
      <c r="H1398" s="7">
        <v>18</v>
      </c>
      <c r="I1398" s="7">
        <v>24</v>
      </c>
      <c r="J1398" s="7">
        <v>21</v>
      </c>
      <c r="K1398" s="7">
        <v>21</v>
      </c>
    </row>
    <row r="1399" spans="1:11" ht="28.8" x14ac:dyDescent="0.3">
      <c r="A1399" s="1">
        <v>73</v>
      </c>
      <c r="B1399" s="1">
        <v>2024</v>
      </c>
      <c r="C1399" s="3">
        <v>45576</v>
      </c>
      <c r="D1399" s="8" t="s">
        <v>11</v>
      </c>
      <c r="E1399" s="9" t="s">
        <v>18</v>
      </c>
      <c r="F1399" s="9" t="s">
        <v>13</v>
      </c>
      <c r="G1399" s="11">
        <v>60</v>
      </c>
      <c r="H1399" s="11">
        <v>60</v>
      </c>
      <c r="I1399" s="11">
        <v>60</v>
      </c>
      <c r="J1399" s="11">
        <v>60</v>
      </c>
      <c r="K1399" s="11">
        <v>60</v>
      </c>
    </row>
    <row r="1400" spans="1:11" ht="28.8" x14ac:dyDescent="0.3">
      <c r="A1400" s="1">
        <v>73</v>
      </c>
      <c r="B1400" s="1">
        <v>2024</v>
      </c>
      <c r="C1400" s="3">
        <v>45576</v>
      </c>
      <c r="D1400" s="4" t="s">
        <v>11</v>
      </c>
      <c r="E1400" s="5" t="s">
        <v>19</v>
      </c>
      <c r="F1400" s="5" t="s">
        <v>13</v>
      </c>
      <c r="G1400" s="6"/>
      <c r="H1400" s="7">
        <v>42</v>
      </c>
      <c r="I1400" s="7">
        <v>72</v>
      </c>
      <c r="J1400" s="7">
        <v>58</v>
      </c>
      <c r="K1400" s="7">
        <v>60</v>
      </c>
    </row>
    <row r="1401" spans="1:11" ht="28.8" x14ac:dyDescent="0.3">
      <c r="A1401" s="1">
        <v>73</v>
      </c>
      <c r="B1401" s="1">
        <v>2024</v>
      </c>
      <c r="C1401" s="3">
        <v>45576</v>
      </c>
      <c r="D1401" s="8" t="s">
        <v>11</v>
      </c>
      <c r="E1401" s="9" t="s">
        <v>20</v>
      </c>
      <c r="F1401" s="9" t="s">
        <v>13</v>
      </c>
      <c r="G1401" s="11">
        <v>72</v>
      </c>
      <c r="H1401" s="11">
        <v>60</v>
      </c>
      <c r="I1401" s="11">
        <v>72</v>
      </c>
      <c r="J1401" s="11">
        <v>69</v>
      </c>
      <c r="K1401" s="11">
        <v>72</v>
      </c>
    </row>
    <row r="1402" spans="1:11" ht="28.8" x14ac:dyDescent="0.3">
      <c r="A1402" s="1">
        <v>73</v>
      </c>
      <c r="B1402" s="1">
        <v>2024</v>
      </c>
      <c r="C1402" s="3">
        <v>45576</v>
      </c>
      <c r="D1402" s="4" t="s">
        <v>11</v>
      </c>
      <c r="E1402" s="5" t="s">
        <v>21</v>
      </c>
      <c r="F1402" s="5" t="s">
        <v>13</v>
      </c>
      <c r="G1402" s="7">
        <v>18</v>
      </c>
      <c r="H1402" s="7">
        <v>18</v>
      </c>
      <c r="I1402" s="7">
        <v>24</v>
      </c>
      <c r="J1402" s="7">
        <v>21</v>
      </c>
      <c r="K1402" s="7">
        <v>21</v>
      </c>
    </row>
    <row r="1403" spans="1:11" ht="28.8" x14ac:dyDescent="0.3">
      <c r="A1403" s="1">
        <v>73</v>
      </c>
      <c r="B1403" s="1">
        <v>2024</v>
      </c>
      <c r="C1403" s="3">
        <v>45576</v>
      </c>
      <c r="D1403" s="8" t="s">
        <v>11</v>
      </c>
      <c r="E1403" s="9" t="s">
        <v>73</v>
      </c>
      <c r="F1403" s="9" t="s">
        <v>13</v>
      </c>
      <c r="G1403" s="10"/>
      <c r="H1403" s="11">
        <v>50</v>
      </c>
      <c r="I1403" s="11">
        <v>78</v>
      </c>
      <c r="J1403" s="11" t="s">
        <v>172</v>
      </c>
      <c r="K1403" s="11">
        <v>60</v>
      </c>
    </row>
    <row r="1404" spans="1:11" ht="28.8" x14ac:dyDescent="0.3">
      <c r="A1404" s="1">
        <v>73</v>
      </c>
      <c r="B1404" s="1">
        <v>2024</v>
      </c>
      <c r="C1404" s="3">
        <v>45576</v>
      </c>
      <c r="D1404" s="4" t="s">
        <v>11</v>
      </c>
      <c r="E1404" s="5" t="s">
        <v>23</v>
      </c>
      <c r="F1404" s="5" t="s">
        <v>13</v>
      </c>
      <c r="G1404" s="7">
        <v>18</v>
      </c>
      <c r="H1404" s="7">
        <v>18</v>
      </c>
      <c r="I1404" s="7">
        <v>24</v>
      </c>
      <c r="J1404" s="7">
        <v>21</v>
      </c>
      <c r="K1404" s="7">
        <v>21</v>
      </c>
    </row>
    <row r="1405" spans="1:11" ht="28.8" x14ac:dyDescent="0.3">
      <c r="A1405" s="1">
        <v>73</v>
      </c>
      <c r="B1405" s="1">
        <v>2024</v>
      </c>
      <c r="C1405" s="3">
        <v>45576</v>
      </c>
      <c r="D1405" s="8" t="s">
        <v>11</v>
      </c>
      <c r="E1405" s="9" t="s">
        <v>24</v>
      </c>
      <c r="F1405" s="9" t="s">
        <v>13</v>
      </c>
      <c r="G1405" s="11">
        <v>60</v>
      </c>
      <c r="H1405" s="11">
        <v>48</v>
      </c>
      <c r="I1405" s="11">
        <v>60</v>
      </c>
      <c r="J1405" s="11">
        <v>56</v>
      </c>
      <c r="K1405" s="11">
        <v>60</v>
      </c>
    </row>
    <row r="1406" spans="1:11" ht="28.8" x14ac:dyDescent="0.3">
      <c r="A1406" s="1">
        <v>73</v>
      </c>
      <c r="B1406" s="1">
        <v>2024</v>
      </c>
      <c r="C1406" s="3">
        <v>45576</v>
      </c>
      <c r="D1406" s="4" t="s">
        <v>11</v>
      </c>
      <c r="E1406" s="5" t="s">
        <v>25</v>
      </c>
      <c r="F1406" s="5" t="s">
        <v>26</v>
      </c>
      <c r="G1406" s="7">
        <v>60</v>
      </c>
      <c r="H1406" s="7">
        <v>36</v>
      </c>
      <c r="I1406" s="7">
        <v>60</v>
      </c>
      <c r="J1406" s="7">
        <v>51</v>
      </c>
      <c r="K1406" s="7">
        <v>54</v>
      </c>
    </row>
    <row r="1407" spans="1:11" ht="28.8" x14ac:dyDescent="0.3">
      <c r="A1407" s="1">
        <v>73</v>
      </c>
      <c r="B1407" s="1">
        <v>2024</v>
      </c>
      <c r="C1407" s="3">
        <v>45576</v>
      </c>
      <c r="D1407" s="8" t="s">
        <v>11</v>
      </c>
      <c r="E1407" s="9" t="s">
        <v>27</v>
      </c>
      <c r="F1407" s="9" t="s">
        <v>13</v>
      </c>
      <c r="G1407" s="10"/>
      <c r="H1407" s="11">
        <v>48</v>
      </c>
      <c r="I1407" s="11">
        <v>72</v>
      </c>
      <c r="J1407" s="11">
        <v>60</v>
      </c>
      <c r="K1407" s="11">
        <v>60</v>
      </c>
    </row>
    <row r="1408" spans="1:11" ht="28.8" x14ac:dyDescent="0.3">
      <c r="A1408" s="1">
        <v>73</v>
      </c>
      <c r="B1408" s="1">
        <v>2024</v>
      </c>
      <c r="C1408" s="3">
        <v>45576</v>
      </c>
      <c r="D1408" s="4" t="s">
        <v>11</v>
      </c>
      <c r="E1408" s="5" t="s">
        <v>28</v>
      </c>
      <c r="F1408" s="5" t="s">
        <v>13</v>
      </c>
      <c r="G1408" s="7">
        <v>24</v>
      </c>
      <c r="H1408" s="7">
        <v>24</v>
      </c>
      <c r="I1408" s="7">
        <v>36</v>
      </c>
      <c r="J1408" s="7" t="s">
        <v>179</v>
      </c>
      <c r="K1408" s="7">
        <v>27</v>
      </c>
    </row>
    <row r="1409" spans="1:11" ht="28.8" x14ac:dyDescent="0.3">
      <c r="A1409" s="1">
        <v>73</v>
      </c>
      <c r="B1409" s="1">
        <v>2024</v>
      </c>
      <c r="C1409" s="3">
        <v>45576</v>
      </c>
      <c r="D1409" s="8" t="s">
        <v>30</v>
      </c>
      <c r="E1409" s="9" t="s">
        <v>31</v>
      </c>
      <c r="F1409" s="9" t="s">
        <v>32</v>
      </c>
      <c r="G1409" s="11">
        <v>5</v>
      </c>
      <c r="H1409" s="11">
        <v>5</v>
      </c>
      <c r="I1409" s="11">
        <v>5</v>
      </c>
      <c r="J1409" s="11">
        <v>5</v>
      </c>
      <c r="K1409" s="11">
        <v>5</v>
      </c>
    </row>
    <row r="1410" spans="1:11" ht="28.8" x14ac:dyDescent="0.3">
      <c r="A1410" s="1">
        <v>73</v>
      </c>
      <c r="B1410" s="1">
        <v>2024</v>
      </c>
      <c r="C1410" s="3">
        <v>45576</v>
      </c>
      <c r="D1410" s="4" t="s">
        <v>30</v>
      </c>
      <c r="E1410" s="5" t="s">
        <v>34</v>
      </c>
      <c r="F1410" s="5" t="s">
        <v>35</v>
      </c>
      <c r="G1410" s="7">
        <v>12</v>
      </c>
      <c r="H1410" s="7">
        <v>12</v>
      </c>
      <c r="I1410" s="7">
        <v>15</v>
      </c>
      <c r="J1410" s="7" t="s">
        <v>278</v>
      </c>
      <c r="K1410" s="7" t="s">
        <v>278</v>
      </c>
    </row>
    <row r="1411" spans="1:11" ht="28.8" x14ac:dyDescent="0.3">
      <c r="A1411" s="1">
        <v>73</v>
      </c>
      <c r="B1411" s="1">
        <v>2024</v>
      </c>
      <c r="C1411" s="3">
        <v>45576</v>
      </c>
      <c r="D1411" s="8" t="s">
        <v>30</v>
      </c>
      <c r="E1411" s="9" t="s">
        <v>36</v>
      </c>
      <c r="F1411" s="9" t="s">
        <v>35</v>
      </c>
      <c r="G1411" s="10"/>
      <c r="H1411" s="11">
        <v>35</v>
      </c>
      <c r="I1411" s="11">
        <v>20</v>
      </c>
      <c r="J1411" s="11">
        <v>35</v>
      </c>
      <c r="K1411" s="11" t="s">
        <v>353</v>
      </c>
    </row>
    <row r="1412" spans="1:11" ht="43.2" x14ac:dyDescent="0.3">
      <c r="A1412" s="1">
        <v>73</v>
      </c>
      <c r="B1412" s="1">
        <v>2024</v>
      </c>
      <c r="C1412" s="3">
        <v>45576</v>
      </c>
      <c r="D1412" s="4" t="s">
        <v>38</v>
      </c>
      <c r="E1412" s="5" t="s">
        <v>153</v>
      </c>
      <c r="F1412" s="5" t="s">
        <v>154</v>
      </c>
      <c r="G1412" s="6"/>
      <c r="H1412" s="7">
        <v>80</v>
      </c>
      <c r="I1412" s="7">
        <v>80</v>
      </c>
      <c r="J1412" s="7">
        <v>80</v>
      </c>
      <c r="K1412" s="7">
        <v>80</v>
      </c>
    </row>
    <row r="1413" spans="1:11" ht="43.2" x14ac:dyDescent="0.3">
      <c r="A1413" s="1">
        <v>73</v>
      </c>
      <c r="B1413" s="1">
        <v>2024</v>
      </c>
      <c r="C1413" s="3">
        <v>45576</v>
      </c>
      <c r="D1413" s="8" t="s">
        <v>38</v>
      </c>
      <c r="E1413" s="9" t="s">
        <v>39</v>
      </c>
      <c r="F1413" s="9" t="s">
        <v>40</v>
      </c>
      <c r="G1413" s="11">
        <v>40</v>
      </c>
      <c r="H1413" s="11">
        <v>30</v>
      </c>
      <c r="I1413" s="11">
        <v>40</v>
      </c>
      <c r="J1413" s="11">
        <v>35</v>
      </c>
      <c r="K1413" s="11">
        <v>35</v>
      </c>
    </row>
    <row r="1414" spans="1:11" ht="43.2" x14ac:dyDescent="0.3">
      <c r="A1414" s="1">
        <v>73</v>
      </c>
      <c r="B1414" s="1">
        <v>2024</v>
      </c>
      <c r="C1414" s="3">
        <v>45576</v>
      </c>
      <c r="D1414" s="4" t="s">
        <v>38</v>
      </c>
      <c r="E1414" s="5" t="s">
        <v>42</v>
      </c>
      <c r="F1414" s="5" t="s">
        <v>43</v>
      </c>
      <c r="G1414" s="7">
        <v>45</v>
      </c>
      <c r="H1414" s="7">
        <v>45</v>
      </c>
      <c r="I1414" s="7">
        <v>70</v>
      </c>
      <c r="J1414" s="7" t="s">
        <v>235</v>
      </c>
      <c r="K1414" s="7">
        <v>55</v>
      </c>
    </row>
    <row r="1415" spans="1:11" ht="43.2" x14ac:dyDescent="0.3">
      <c r="A1415" s="1">
        <v>73</v>
      </c>
      <c r="B1415" s="1">
        <v>2024</v>
      </c>
      <c r="C1415" s="3">
        <v>45576</v>
      </c>
      <c r="D1415" s="8" t="s">
        <v>38</v>
      </c>
      <c r="E1415" s="9" t="s">
        <v>44</v>
      </c>
      <c r="F1415" s="9" t="s">
        <v>45</v>
      </c>
      <c r="G1415" s="10"/>
      <c r="H1415" s="11">
        <v>50</v>
      </c>
      <c r="I1415" s="11">
        <v>70</v>
      </c>
      <c r="J1415" s="11">
        <v>60</v>
      </c>
      <c r="K1415" s="11">
        <v>60</v>
      </c>
    </row>
    <row r="1416" spans="1:11" ht="43.2" x14ac:dyDescent="0.3">
      <c r="A1416" s="1">
        <v>73</v>
      </c>
      <c r="B1416" s="1">
        <v>2024</v>
      </c>
      <c r="C1416" s="3">
        <v>45576</v>
      </c>
      <c r="D1416" s="4" t="s">
        <v>38</v>
      </c>
      <c r="E1416" s="5" t="s">
        <v>48</v>
      </c>
      <c r="F1416" s="5" t="s">
        <v>45</v>
      </c>
      <c r="G1416" s="6"/>
      <c r="H1416" s="7">
        <v>45</v>
      </c>
      <c r="I1416" s="7">
        <v>110</v>
      </c>
      <c r="J1416" s="7" t="s">
        <v>354</v>
      </c>
      <c r="K1416" s="7">
        <v>90</v>
      </c>
    </row>
    <row r="1417" spans="1:11" ht="43.2" x14ac:dyDescent="0.3">
      <c r="A1417" s="1">
        <v>73</v>
      </c>
      <c r="B1417" s="1">
        <v>2024</v>
      </c>
      <c r="C1417" s="3">
        <v>45576</v>
      </c>
      <c r="D1417" s="8" t="s">
        <v>38</v>
      </c>
      <c r="E1417" s="9" t="s">
        <v>52</v>
      </c>
      <c r="F1417" s="9" t="s">
        <v>43</v>
      </c>
      <c r="G1417" s="11">
        <v>55</v>
      </c>
      <c r="H1417" s="11">
        <v>40</v>
      </c>
      <c r="I1417" s="11">
        <v>55</v>
      </c>
      <c r="J1417" s="11" t="s">
        <v>137</v>
      </c>
      <c r="K1417" s="11">
        <v>50</v>
      </c>
    </row>
    <row r="1418" spans="1:11" ht="43.2" x14ac:dyDescent="0.3">
      <c r="A1418" s="1">
        <v>73</v>
      </c>
      <c r="B1418" s="1">
        <v>2024</v>
      </c>
      <c r="C1418" s="3">
        <v>45576</v>
      </c>
      <c r="D1418" s="4" t="s">
        <v>38</v>
      </c>
      <c r="E1418" s="5" t="s">
        <v>53</v>
      </c>
      <c r="F1418" s="5" t="s">
        <v>43</v>
      </c>
      <c r="G1418" s="6"/>
      <c r="H1418" s="7">
        <v>55</v>
      </c>
      <c r="I1418" s="7">
        <v>85</v>
      </c>
      <c r="J1418" s="7" t="s">
        <v>94</v>
      </c>
      <c r="K1418" s="7" t="s">
        <v>84</v>
      </c>
    </row>
    <row r="1419" spans="1:11" ht="43.2" x14ac:dyDescent="0.3">
      <c r="A1419" s="1">
        <v>73</v>
      </c>
      <c r="B1419" s="1">
        <v>2024</v>
      </c>
      <c r="C1419" s="3">
        <v>45576</v>
      </c>
      <c r="D1419" s="8" t="s">
        <v>38</v>
      </c>
      <c r="E1419" s="9" t="s">
        <v>54</v>
      </c>
      <c r="F1419" s="9" t="s">
        <v>40</v>
      </c>
      <c r="G1419" s="10"/>
      <c r="H1419" s="11">
        <v>90</v>
      </c>
      <c r="I1419" s="11">
        <v>100</v>
      </c>
      <c r="J1419" s="11">
        <v>95</v>
      </c>
      <c r="K1419" s="11">
        <v>95</v>
      </c>
    </row>
    <row r="1420" spans="1:11" ht="43.2" x14ac:dyDescent="0.3">
      <c r="A1420" s="1">
        <v>73</v>
      </c>
      <c r="B1420" s="1">
        <v>2024</v>
      </c>
      <c r="C1420" s="3">
        <v>45576</v>
      </c>
      <c r="D1420" s="4" t="s">
        <v>38</v>
      </c>
      <c r="E1420" s="5" t="s">
        <v>56</v>
      </c>
      <c r="F1420" s="5" t="s">
        <v>43</v>
      </c>
      <c r="G1420" s="6"/>
      <c r="H1420" s="7">
        <v>70</v>
      </c>
      <c r="I1420" s="7">
        <v>70</v>
      </c>
      <c r="J1420" s="7">
        <v>70</v>
      </c>
      <c r="K1420" s="7">
        <v>70</v>
      </c>
    </row>
    <row r="1421" spans="1:11" ht="43.2" x14ac:dyDescent="0.3">
      <c r="A1421" s="1">
        <v>73</v>
      </c>
      <c r="B1421" s="1">
        <v>2024</v>
      </c>
      <c r="C1421" s="3">
        <v>45576</v>
      </c>
      <c r="D1421" s="8" t="s">
        <v>38</v>
      </c>
      <c r="E1421" s="9" t="s">
        <v>57</v>
      </c>
      <c r="F1421" s="9" t="s">
        <v>40</v>
      </c>
      <c r="G1421" s="10"/>
      <c r="H1421" s="11">
        <v>70</v>
      </c>
      <c r="I1421" s="11">
        <v>80</v>
      </c>
      <c r="J1421" s="11">
        <v>75</v>
      </c>
      <c r="K1421" s="11">
        <v>75</v>
      </c>
    </row>
    <row r="1422" spans="1:11" ht="43.2" x14ac:dyDescent="0.3">
      <c r="A1422" s="1">
        <v>73</v>
      </c>
      <c r="B1422" s="1">
        <v>2024</v>
      </c>
      <c r="C1422" s="3">
        <v>45576</v>
      </c>
      <c r="D1422" s="4" t="s">
        <v>38</v>
      </c>
      <c r="E1422" s="5" t="s">
        <v>58</v>
      </c>
      <c r="F1422" s="5" t="s">
        <v>40</v>
      </c>
      <c r="G1422" s="7">
        <v>100</v>
      </c>
      <c r="H1422" s="7">
        <v>75</v>
      </c>
      <c r="I1422" s="7">
        <v>100</v>
      </c>
      <c r="J1422" s="7" t="s">
        <v>355</v>
      </c>
      <c r="K1422" s="7">
        <v>90</v>
      </c>
    </row>
    <row r="1423" spans="1:11" ht="43.2" x14ac:dyDescent="0.3">
      <c r="A1423" s="1">
        <v>73</v>
      </c>
      <c r="B1423" s="1">
        <v>2024</v>
      </c>
      <c r="C1423" s="3">
        <v>45576</v>
      </c>
      <c r="D1423" s="8" t="s">
        <v>38</v>
      </c>
      <c r="E1423" s="9" t="s">
        <v>59</v>
      </c>
      <c r="F1423" s="9" t="s">
        <v>45</v>
      </c>
      <c r="G1423" s="11">
        <v>45</v>
      </c>
      <c r="H1423" s="11">
        <v>45</v>
      </c>
      <c r="I1423" s="11">
        <v>85</v>
      </c>
      <c r="J1423" s="11" t="s">
        <v>41</v>
      </c>
      <c r="K1423" s="11">
        <v>50</v>
      </c>
    </row>
    <row r="1424" spans="1:11" ht="43.2" x14ac:dyDescent="0.3">
      <c r="A1424" s="1">
        <v>73</v>
      </c>
      <c r="B1424" s="1">
        <v>2024</v>
      </c>
      <c r="C1424" s="3">
        <v>45576</v>
      </c>
      <c r="D1424" s="4" t="s">
        <v>38</v>
      </c>
      <c r="E1424" s="5" t="s">
        <v>60</v>
      </c>
      <c r="F1424" s="5" t="s">
        <v>61</v>
      </c>
      <c r="G1424" s="7">
        <v>160</v>
      </c>
      <c r="H1424" s="7">
        <v>150</v>
      </c>
      <c r="I1424" s="7">
        <v>180</v>
      </c>
      <c r="J1424" s="7" t="s">
        <v>356</v>
      </c>
      <c r="K1424" s="7">
        <v>160</v>
      </c>
    </row>
    <row r="1425" spans="1:11" ht="43.2" x14ac:dyDescent="0.3">
      <c r="A1425" s="1">
        <v>73</v>
      </c>
      <c r="B1425" s="1">
        <v>2024</v>
      </c>
      <c r="C1425" s="3">
        <v>45576</v>
      </c>
      <c r="D1425" s="8" t="s">
        <v>38</v>
      </c>
      <c r="E1425" s="9" t="s">
        <v>63</v>
      </c>
      <c r="F1425" s="9" t="s">
        <v>40</v>
      </c>
      <c r="G1425" s="10"/>
      <c r="H1425" s="11">
        <v>50</v>
      </c>
      <c r="I1425" s="11">
        <v>80</v>
      </c>
      <c r="J1425" s="11">
        <v>65</v>
      </c>
      <c r="K1425" s="11">
        <v>65</v>
      </c>
    </row>
    <row r="1426" spans="1:11" ht="43.2" x14ac:dyDescent="0.3">
      <c r="A1426" s="1">
        <v>73</v>
      </c>
      <c r="B1426" s="1">
        <v>2024</v>
      </c>
      <c r="C1426" s="3">
        <v>45576</v>
      </c>
      <c r="D1426" s="4" t="s">
        <v>38</v>
      </c>
      <c r="E1426" s="5" t="s">
        <v>64</v>
      </c>
      <c r="F1426" s="5" t="s">
        <v>40</v>
      </c>
      <c r="G1426" s="6"/>
      <c r="H1426" s="6"/>
      <c r="I1426" s="7">
        <v>90</v>
      </c>
      <c r="J1426" s="7">
        <v>120</v>
      </c>
      <c r="K1426" s="7" t="s">
        <v>114</v>
      </c>
    </row>
    <row r="1427" spans="1:11" x14ac:dyDescent="0.3">
      <c r="A1427" s="1">
        <v>73</v>
      </c>
      <c r="B1427" s="1">
        <v>2024</v>
      </c>
      <c r="C1427" s="3">
        <v>45576</v>
      </c>
      <c r="D1427" s="8" t="s">
        <v>65</v>
      </c>
      <c r="E1427" s="9" t="s">
        <v>66</v>
      </c>
      <c r="F1427" s="9" t="s">
        <v>45</v>
      </c>
      <c r="G1427" s="10"/>
      <c r="H1427" s="10"/>
      <c r="I1427" s="10"/>
      <c r="J1427" s="10"/>
      <c r="K1427" s="10"/>
    </row>
    <row r="1428" spans="1:11" x14ac:dyDescent="0.3">
      <c r="A1428" s="1">
        <v>73</v>
      </c>
      <c r="B1428" s="1">
        <v>2024</v>
      </c>
      <c r="C1428" s="3">
        <v>45576</v>
      </c>
      <c r="D1428" s="4" t="s">
        <v>65</v>
      </c>
      <c r="E1428" s="5" t="s">
        <v>67</v>
      </c>
      <c r="F1428" s="5" t="s">
        <v>45</v>
      </c>
      <c r="G1428" s="6"/>
      <c r="H1428" s="6"/>
      <c r="I1428" s="6"/>
      <c r="J1428" s="6"/>
      <c r="K1428" s="6"/>
    </row>
    <row r="1429" spans="1:11" x14ac:dyDescent="0.3">
      <c r="A1429" s="1">
        <v>73</v>
      </c>
      <c r="B1429" s="1">
        <v>2024</v>
      </c>
      <c r="C1429" s="3">
        <v>45576</v>
      </c>
      <c r="D1429" s="8" t="s">
        <v>65</v>
      </c>
      <c r="E1429" s="9" t="s">
        <v>68</v>
      </c>
      <c r="F1429" s="9" t="s">
        <v>45</v>
      </c>
      <c r="G1429" s="10"/>
      <c r="H1429" s="10"/>
      <c r="I1429" s="10"/>
      <c r="J1429" s="10"/>
      <c r="K1429" s="10"/>
    </row>
    <row r="1430" spans="1:11" x14ac:dyDescent="0.3">
      <c r="A1430" s="1">
        <v>73</v>
      </c>
      <c r="B1430" s="1">
        <v>2024</v>
      </c>
      <c r="C1430" s="3">
        <v>45576</v>
      </c>
      <c r="D1430" s="4" t="s">
        <v>65</v>
      </c>
      <c r="E1430" s="5" t="s">
        <v>69</v>
      </c>
      <c r="F1430" s="5" t="s">
        <v>45</v>
      </c>
      <c r="G1430" s="6"/>
      <c r="H1430" s="7">
        <v>70</v>
      </c>
      <c r="I1430" s="7">
        <v>70</v>
      </c>
      <c r="J1430" s="7">
        <v>70</v>
      </c>
      <c r="K1430" s="7">
        <v>70</v>
      </c>
    </row>
    <row r="1431" spans="1:11" x14ac:dyDescent="0.3">
      <c r="A1431" s="1">
        <v>73</v>
      </c>
      <c r="B1431" s="1">
        <v>2024</v>
      </c>
      <c r="C1431" s="3">
        <v>45576</v>
      </c>
      <c r="D1431" s="4" t="s">
        <v>65</v>
      </c>
      <c r="E1431" s="22" t="s">
        <v>70</v>
      </c>
      <c r="F1431" s="22" t="s">
        <v>71</v>
      </c>
      <c r="G1431" s="23"/>
      <c r="H1431" s="24"/>
      <c r="I1431" s="24"/>
      <c r="J1431" s="24"/>
      <c r="K1431" s="24"/>
    </row>
    <row r="1432" spans="1:11" x14ac:dyDescent="0.3">
      <c r="A1432">
        <v>74</v>
      </c>
      <c r="B1432">
        <v>2024</v>
      </c>
      <c r="C1432" s="3"/>
      <c r="D1432" s="21"/>
      <c r="E1432" s="15" t="s">
        <v>12</v>
      </c>
      <c r="F1432" s="16" t="s">
        <v>13</v>
      </c>
      <c r="G1432" s="17">
        <v>48</v>
      </c>
      <c r="H1432" s="17">
        <v>36</v>
      </c>
      <c r="I1432" s="17">
        <v>60</v>
      </c>
      <c r="J1432" s="17">
        <v>48</v>
      </c>
      <c r="K1432" s="17">
        <v>48</v>
      </c>
    </row>
    <row r="1433" spans="1:11" x14ac:dyDescent="0.3">
      <c r="A1433">
        <v>74</v>
      </c>
      <c r="B1433">
        <v>2024</v>
      </c>
      <c r="C1433" s="3"/>
      <c r="D1433" s="21"/>
      <c r="E1433" s="15" t="s">
        <v>14</v>
      </c>
      <c r="F1433" s="16" t="s">
        <v>13</v>
      </c>
      <c r="G1433" s="17">
        <v>84</v>
      </c>
      <c r="H1433" s="17">
        <v>72</v>
      </c>
      <c r="I1433" s="17">
        <v>84</v>
      </c>
      <c r="J1433" s="17">
        <v>80</v>
      </c>
      <c r="K1433" s="17">
        <v>84</v>
      </c>
    </row>
    <row r="1434" spans="1:11" x14ac:dyDescent="0.3">
      <c r="A1434">
        <v>74</v>
      </c>
      <c r="B1434">
        <v>2024</v>
      </c>
      <c r="C1434" s="3"/>
      <c r="D1434" s="21"/>
      <c r="E1434" s="15" t="s">
        <v>15</v>
      </c>
      <c r="F1434" s="16" t="s">
        <v>13</v>
      </c>
      <c r="G1434" s="17">
        <v>36</v>
      </c>
      <c r="H1434" s="17">
        <v>25</v>
      </c>
      <c r="I1434" s="17">
        <v>42</v>
      </c>
      <c r="J1434" s="17">
        <v>34.75</v>
      </c>
      <c r="K1434" s="17">
        <v>36</v>
      </c>
    </row>
    <row r="1435" spans="1:11" x14ac:dyDescent="0.3">
      <c r="A1435">
        <v>74</v>
      </c>
      <c r="B1435">
        <v>2024</v>
      </c>
      <c r="C1435" s="3"/>
      <c r="D1435" s="21"/>
      <c r="E1435" s="15" t="s">
        <v>16</v>
      </c>
      <c r="F1435" s="16" t="s">
        <v>13</v>
      </c>
      <c r="G1435" s="17">
        <v>18</v>
      </c>
      <c r="H1435" s="17">
        <v>18</v>
      </c>
      <c r="I1435" s="17">
        <v>24</v>
      </c>
      <c r="J1435" s="17">
        <v>21</v>
      </c>
      <c r="K1435" s="17">
        <v>21</v>
      </c>
    </row>
    <row r="1436" spans="1:11" x14ac:dyDescent="0.3">
      <c r="A1436">
        <v>74</v>
      </c>
      <c r="B1436">
        <v>2024</v>
      </c>
      <c r="C1436" s="3"/>
      <c r="D1436" s="21"/>
      <c r="E1436" s="15" t="s">
        <v>17</v>
      </c>
      <c r="F1436" s="16" t="s">
        <v>13</v>
      </c>
      <c r="G1436" s="17">
        <v>18</v>
      </c>
      <c r="H1436" s="17">
        <v>18</v>
      </c>
      <c r="I1436" s="17">
        <v>24</v>
      </c>
      <c r="J1436" s="17">
        <v>21</v>
      </c>
      <c r="K1436" s="17">
        <v>21</v>
      </c>
    </row>
    <row r="1437" spans="1:11" x14ac:dyDescent="0.3">
      <c r="A1437">
        <v>74</v>
      </c>
      <c r="B1437">
        <v>2024</v>
      </c>
      <c r="C1437" s="3"/>
      <c r="D1437" s="21"/>
      <c r="E1437" s="15" t="s">
        <v>18</v>
      </c>
      <c r="F1437" s="16" t="s">
        <v>13</v>
      </c>
      <c r="G1437" s="17">
        <v>60</v>
      </c>
      <c r="H1437" s="17">
        <v>60</v>
      </c>
      <c r="I1437" s="17">
        <v>60</v>
      </c>
      <c r="J1437" s="17">
        <v>60</v>
      </c>
      <c r="K1437" s="17">
        <v>60</v>
      </c>
    </row>
    <row r="1438" spans="1:11" ht="28.8" x14ac:dyDescent="0.3">
      <c r="A1438">
        <v>74</v>
      </c>
      <c r="B1438">
        <v>2024</v>
      </c>
      <c r="C1438" s="3"/>
      <c r="D1438" s="21"/>
      <c r="E1438" s="15" t="s">
        <v>19</v>
      </c>
      <c r="F1438" s="16" t="s">
        <v>13</v>
      </c>
      <c r="G1438" s="16"/>
      <c r="H1438" s="17">
        <v>42</v>
      </c>
      <c r="I1438" s="17">
        <v>72</v>
      </c>
      <c r="J1438" s="17">
        <v>58</v>
      </c>
      <c r="K1438" s="17">
        <v>60</v>
      </c>
    </row>
    <row r="1439" spans="1:11" x14ac:dyDescent="0.3">
      <c r="A1439">
        <v>74</v>
      </c>
      <c r="B1439">
        <v>2024</v>
      </c>
      <c r="C1439" s="3"/>
      <c r="D1439" s="21"/>
      <c r="E1439" s="15" t="s">
        <v>20</v>
      </c>
      <c r="F1439" s="16" t="s">
        <v>13</v>
      </c>
      <c r="G1439" s="17">
        <v>72</v>
      </c>
      <c r="H1439" s="17">
        <v>60</v>
      </c>
      <c r="I1439" s="17">
        <v>72</v>
      </c>
      <c r="J1439" s="17">
        <v>69</v>
      </c>
      <c r="K1439" s="17">
        <v>72</v>
      </c>
    </row>
    <row r="1440" spans="1:11" x14ac:dyDescent="0.3">
      <c r="A1440">
        <v>74</v>
      </c>
      <c r="B1440">
        <v>2024</v>
      </c>
      <c r="C1440" s="3"/>
      <c r="D1440" s="21"/>
      <c r="E1440" s="15" t="s">
        <v>780</v>
      </c>
      <c r="F1440" s="16" t="s">
        <v>13</v>
      </c>
      <c r="G1440" s="17">
        <v>18</v>
      </c>
      <c r="H1440" s="17">
        <v>18</v>
      </c>
      <c r="I1440" s="17">
        <v>24</v>
      </c>
      <c r="J1440" s="17">
        <v>21</v>
      </c>
      <c r="K1440" s="17">
        <v>21</v>
      </c>
    </row>
    <row r="1441" spans="1:11" x14ac:dyDescent="0.3">
      <c r="A1441">
        <v>74</v>
      </c>
      <c r="B1441">
        <v>2024</v>
      </c>
      <c r="C1441" s="3"/>
      <c r="D1441" s="21"/>
      <c r="E1441" s="15" t="s">
        <v>781</v>
      </c>
      <c r="F1441" s="16" t="s">
        <v>13</v>
      </c>
      <c r="G1441" s="16"/>
      <c r="H1441" s="17">
        <v>50</v>
      </c>
      <c r="I1441" s="17">
        <v>78</v>
      </c>
      <c r="J1441" s="17">
        <v>62.67</v>
      </c>
      <c r="K1441" s="17">
        <v>60</v>
      </c>
    </row>
    <row r="1442" spans="1:11" x14ac:dyDescent="0.3">
      <c r="A1442">
        <v>74</v>
      </c>
      <c r="B1442">
        <v>2024</v>
      </c>
      <c r="C1442" s="3"/>
      <c r="D1442" s="21"/>
      <c r="E1442" s="15" t="s">
        <v>23</v>
      </c>
      <c r="F1442" s="16" t="s">
        <v>13</v>
      </c>
      <c r="G1442" s="17">
        <v>18</v>
      </c>
      <c r="H1442" s="17">
        <v>18</v>
      </c>
      <c r="I1442" s="17">
        <v>24</v>
      </c>
      <c r="J1442" s="17">
        <v>21</v>
      </c>
      <c r="K1442" s="17">
        <v>21</v>
      </c>
    </row>
    <row r="1443" spans="1:11" x14ac:dyDescent="0.3">
      <c r="A1443">
        <v>74</v>
      </c>
      <c r="B1443">
        <v>2024</v>
      </c>
      <c r="C1443" s="3"/>
      <c r="D1443" s="21"/>
      <c r="E1443" s="15" t="s">
        <v>24</v>
      </c>
      <c r="F1443" s="16" t="s">
        <v>13</v>
      </c>
      <c r="G1443" s="17">
        <v>60</v>
      </c>
      <c r="H1443" s="17">
        <v>48</v>
      </c>
      <c r="I1443" s="17">
        <v>60</v>
      </c>
      <c r="J1443" s="17">
        <v>56</v>
      </c>
      <c r="K1443" s="17">
        <v>60</v>
      </c>
    </row>
    <row r="1444" spans="1:11" x14ac:dyDescent="0.3">
      <c r="A1444">
        <v>74</v>
      </c>
      <c r="B1444">
        <v>2024</v>
      </c>
      <c r="C1444" s="3"/>
      <c r="D1444" s="21"/>
      <c r="E1444" s="15" t="s">
        <v>25</v>
      </c>
      <c r="F1444" s="16" t="s">
        <v>26</v>
      </c>
      <c r="G1444" s="17">
        <v>60</v>
      </c>
      <c r="H1444" s="17">
        <v>36</v>
      </c>
      <c r="I1444" s="17">
        <v>60</v>
      </c>
      <c r="J1444" s="17">
        <v>51</v>
      </c>
      <c r="K1444" s="17">
        <v>54</v>
      </c>
    </row>
    <row r="1445" spans="1:11" x14ac:dyDescent="0.3">
      <c r="A1445">
        <v>74</v>
      </c>
      <c r="B1445">
        <v>2024</v>
      </c>
      <c r="C1445" s="3"/>
      <c r="D1445" s="21"/>
      <c r="E1445" s="15" t="s">
        <v>27</v>
      </c>
      <c r="F1445" s="16" t="s">
        <v>13</v>
      </c>
      <c r="G1445" s="16"/>
      <c r="H1445" s="17">
        <v>48</v>
      </c>
      <c r="I1445" s="17">
        <v>72</v>
      </c>
      <c r="J1445" s="17">
        <v>60</v>
      </c>
      <c r="K1445" s="17">
        <v>60</v>
      </c>
    </row>
    <row r="1446" spans="1:11" x14ac:dyDescent="0.3">
      <c r="A1446">
        <v>74</v>
      </c>
      <c r="B1446">
        <v>2024</v>
      </c>
      <c r="C1446" s="3"/>
      <c r="D1446" s="21"/>
      <c r="E1446" s="15" t="s">
        <v>28</v>
      </c>
      <c r="F1446" s="16" t="s">
        <v>13</v>
      </c>
      <c r="G1446" s="17">
        <v>24</v>
      </c>
      <c r="H1446" s="17">
        <v>24</v>
      </c>
      <c r="I1446" s="17">
        <v>36</v>
      </c>
      <c r="J1446" s="17">
        <v>28.5</v>
      </c>
      <c r="K1446" s="17">
        <v>27</v>
      </c>
    </row>
    <row r="1447" spans="1:11" x14ac:dyDescent="0.3">
      <c r="A1447">
        <v>74</v>
      </c>
      <c r="B1447">
        <v>2024</v>
      </c>
      <c r="C1447" s="3"/>
      <c r="D1447" s="21"/>
      <c r="E1447" s="15" t="s">
        <v>29</v>
      </c>
      <c r="F1447" s="16" t="s">
        <v>13</v>
      </c>
      <c r="G1447" s="17">
        <v>48</v>
      </c>
      <c r="H1447" s="17">
        <v>48</v>
      </c>
      <c r="I1447" s="17">
        <v>48</v>
      </c>
      <c r="J1447" s="17">
        <v>48</v>
      </c>
      <c r="K1447" s="17">
        <v>48</v>
      </c>
    </row>
    <row r="1448" spans="1:11" x14ac:dyDescent="0.3">
      <c r="A1448">
        <v>74</v>
      </c>
      <c r="B1448">
        <v>2024</v>
      </c>
      <c r="C1448" s="3"/>
      <c r="D1448" s="21"/>
      <c r="E1448" s="15" t="s">
        <v>31</v>
      </c>
      <c r="F1448" s="16" t="s">
        <v>32</v>
      </c>
      <c r="G1448" s="17">
        <v>5</v>
      </c>
      <c r="H1448" s="17">
        <v>5</v>
      </c>
      <c r="I1448" s="17">
        <v>5</v>
      </c>
      <c r="J1448" s="17">
        <v>5</v>
      </c>
      <c r="K1448" s="17">
        <v>5</v>
      </c>
    </row>
    <row r="1449" spans="1:11" x14ac:dyDescent="0.3">
      <c r="A1449">
        <v>74</v>
      </c>
      <c r="B1449">
        <v>2024</v>
      </c>
      <c r="C1449" s="3"/>
      <c r="D1449" s="21"/>
      <c r="E1449" s="15" t="s">
        <v>34</v>
      </c>
      <c r="F1449" s="16" t="s">
        <v>35</v>
      </c>
      <c r="G1449" s="17">
        <v>12</v>
      </c>
      <c r="H1449" s="17">
        <v>12</v>
      </c>
      <c r="I1449" s="17">
        <v>15</v>
      </c>
      <c r="J1449" s="17">
        <v>13.5</v>
      </c>
      <c r="K1449" s="17">
        <v>13.5</v>
      </c>
    </row>
    <row r="1450" spans="1:11" x14ac:dyDescent="0.3">
      <c r="A1450">
        <v>74</v>
      </c>
      <c r="B1450">
        <v>2024</v>
      </c>
      <c r="C1450" s="3"/>
      <c r="D1450" s="21"/>
      <c r="E1450" s="15" t="s">
        <v>36</v>
      </c>
      <c r="F1450" s="16" t="s">
        <v>35</v>
      </c>
      <c r="G1450" s="17">
        <v>35</v>
      </c>
      <c r="H1450" s="17">
        <v>20</v>
      </c>
      <c r="I1450" s="17">
        <v>35</v>
      </c>
      <c r="J1450" s="17">
        <v>28.75</v>
      </c>
      <c r="K1450" s="17">
        <v>30</v>
      </c>
    </row>
    <row r="1451" spans="1:11" x14ac:dyDescent="0.3">
      <c r="A1451">
        <v>74</v>
      </c>
      <c r="B1451">
        <v>2024</v>
      </c>
      <c r="C1451" s="3"/>
      <c r="D1451" s="21"/>
      <c r="E1451" s="15" t="s">
        <v>516</v>
      </c>
      <c r="F1451" s="16" t="s">
        <v>154</v>
      </c>
      <c r="G1451" s="16"/>
      <c r="H1451" s="17">
        <v>80</v>
      </c>
      <c r="I1451" s="17">
        <v>80</v>
      </c>
      <c r="J1451" s="17">
        <v>80</v>
      </c>
      <c r="K1451" s="17">
        <v>80</v>
      </c>
    </row>
    <row r="1452" spans="1:11" x14ac:dyDescent="0.3">
      <c r="A1452">
        <v>74</v>
      </c>
      <c r="B1452">
        <v>2024</v>
      </c>
      <c r="C1452" s="3"/>
      <c r="D1452" s="21"/>
      <c r="E1452" s="15" t="s">
        <v>39</v>
      </c>
      <c r="F1452" s="16" t="s">
        <v>40</v>
      </c>
      <c r="G1452" s="17">
        <v>40</v>
      </c>
      <c r="H1452" s="17">
        <v>30</v>
      </c>
      <c r="I1452" s="17">
        <v>40</v>
      </c>
      <c r="J1452" s="17">
        <v>35</v>
      </c>
      <c r="K1452" s="17">
        <v>35</v>
      </c>
    </row>
    <row r="1453" spans="1:11" x14ac:dyDescent="0.3">
      <c r="A1453">
        <v>74</v>
      </c>
      <c r="B1453">
        <v>2024</v>
      </c>
      <c r="C1453" s="3"/>
      <c r="D1453" s="21"/>
      <c r="E1453" s="15" t="s">
        <v>782</v>
      </c>
      <c r="F1453" s="16" t="s">
        <v>43</v>
      </c>
      <c r="G1453" s="17">
        <v>45</v>
      </c>
      <c r="H1453" s="17">
        <v>45</v>
      </c>
      <c r="I1453" s="17">
        <v>70</v>
      </c>
      <c r="J1453" s="17">
        <v>56.25</v>
      </c>
      <c r="K1453" s="17">
        <v>55</v>
      </c>
    </row>
    <row r="1454" spans="1:11" x14ac:dyDescent="0.3">
      <c r="A1454">
        <v>74</v>
      </c>
      <c r="B1454">
        <v>2024</v>
      </c>
      <c r="C1454" s="3"/>
      <c r="D1454" s="21"/>
      <c r="E1454" s="15" t="s">
        <v>44</v>
      </c>
      <c r="F1454" s="16" t="s">
        <v>45</v>
      </c>
      <c r="G1454" s="16"/>
      <c r="H1454" s="17">
        <v>50</v>
      </c>
      <c r="I1454" s="17">
        <v>70</v>
      </c>
      <c r="J1454" s="17">
        <v>60</v>
      </c>
      <c r="K1454" s="17">
        <v>60</v>
      </c>
    </row>
    <row r="1455" spans="1:11" x14ac:dyDescent="0.3">
      <c r="A1455">
        <v>74</v>
      </c>
      <c r="B1455">
        <v>2024</v>
      </c>
      <c r="C1455" s="3"/>
      <c r="D1455" s="21"/>
      <c r="E1455" s="15" t="s">
        <v>48</v>
      </c>
      <c r="F1455" s="16" t="s">
        <v>45</v>
      </c>
      <c r="G1455" s="16"/>
      <c r="H1455" s="17">
        <v>45</v>
      </c>
      <c r="I1455" s="17">
        <v>110</v>
      </c>
      <c r="J1455" s="17">
        <v>81.67</v>
      </c>
      <c r="K1455" s="17">
        <v>90</v>
      </c>
    </row>
    <row r="1456" spans="1:11" x14ac:dyDescent="0.3">
      <c r="A1456">
        <v>74</v>
      </c>
      <c r="B1456">
        <v>2024</v>
      </c>
      <c r="C1456" s="3"/>
      <c r="D1456" s="21"/>
      <c r="E1456" s="15" t="s">
        <v>49</v>
      </c>
      <c r="F1456" s="16" t="s">
        <v>50</v>
      </c>
      <c r="G1456" s="16"/>
      <c r="H1456" s="17">
        <v>55</v>
      </c>
      <c r="I1456" s="17">
        <v>70</v>
      </c>
      <c r="J1456" s="17">
        <v>62.5</v>
      </c>
      <c r="K1456" s="17">
        <v>62.5</v>
      </c>
    </row>
    <row r="1457" spans="1:11" x14ac:dyDescent="0.3">
      <c r="A1457">
        <v>74</v>
      </c>
      <c r="B1457">
        <v>2024</v>
      </c>
      <c r="C1457" s="3"/>
      <c r="D1457" s="21"/>
      <c r="E1457" s="15" t="s">
        <v>52</v>
      </c>
      <c r="F1457" s="16" t="s">
        <v>43</v>
      </c>
      <c r="G1457" s="17">
        <v>55</v>
      </c>
      <c r="H1457" s="17">
        <v>40</v>
      </c>
      <c r="I1457" s="17">
        <v>55</v>
      </c>
      <c r="J1457" s="17">
        <v>48.75</v>
      </c>
      <c r="K1457" s="17">
        <v>50</v>
      </c>
    </row>
    <row r="1458" spans="1:11" x14ac:dyDescent="0.3">
      <c r="A1458">
        <v>74</v>
      </c>
      <c r="B1458">
        <v>2024</v>
      </c>
      <c r="C1458" s="3"/>
      <c r="D1458" s="21"/>
      <c r="E1458" s="15" t="s">
        <v>53</v>
      </c>
      <c r="F1458" s="16" t="s">
        <v>43</v>
      </c>
      <c r="G1458" s="16"/>
      <c r="H1458" s="17">
        <v>55</v>
      </c>
      <c r="I1458" s="17">
        <v>85</v>
      </c>
      <c r="J1458" s="17">
        <v>68.75</v>
      </c>
      <c r="K1458" s="17">
        <v>67.5</v>
      </c>
    </row>
    <row r="1459" spans="1:11" x14ac:dyDescent="0.3">
      <c r="A1459">
        <v>74</v>
      </c>
      <c r="B1459">
        <v>2024</v>
      </c>
      <c r="C1459" s="3"/>
      <c r="D1459" s="21"/>
      <c r="E1459" s="15" t="s">
        <v>54</v>
      </c>
      <c r="F1459" s="16" t="s">
        <v>40</v>
      </c>
      <c r="G1459" s="16"/>
      <c r="H1459" s="17">
        <v>90</v>
      </c>
      <c r="I1459" s="17">
        <v>100</v>
      </c>
      <c r="J1459" s="17">
        <v>95</v>
      </c>
      <c r="K1459" s="17">
        <v>95</v>
      </c>
    </row>
    <row r="1460" spans="1:11" x14ac:dyDescent="0.3">
      <c r="A1460">
        <v>74</v>
      </c>
      <c r="B1460">
        <v>2024</v>
      </c>
      <c r="C1460" s="3"/>
      <c r="D1460" s="21"/>
      <c r="E1460" s="15" t="s">
        <v>56</v>
      </c>
      <c r="F1460" s="16" t="s">
        <v>43</v>
      </c>
      <c r="G1460" s="16"/>
      <c r="H1460" s="17">
        <v>70</v>
      </c>
      <c r="I1460" s="17">
        <v>70</v>
      </c>
      <c r="J1460" s="17">
        <v>70</v>
      </c>
      <c r="K1460" s="17">
        <v>70</v>
      </c>
    </row>
    <row r="1461" spans="1:11" x14ac:dyDescent="0.3">
      <c r="A1461">
        <v>74</v>
      </c>
      <c r="B1461">
        <v>2024</v>
      </c>
      <c r="C1461" s="3"/>
      <c r="D1461" s="21"/>
      <c r="E1461" s="15" t="s">
        <v>57</v>
      </c>
      <c r="F1461" s="16" t="s">
        <v>40</v>
      </c>
      <c r="G1461" s="16"/>
      <c r="H1461" s="17">
        <v>70</v>
      </c>
      <c r="I1461" s="17">
        <v>80</v>
      </c>
      <c r="J1461" s="17">
        <v>75</v>
      </c>
      <c r="K1461" s="17">
        <v>75</v>
      </c>
    </row>
    <row r="1462" spans="1:11" x14ac:dyDescent="0.3">
      <c r="A1462">
        <v>74</v>
      </c>
      <c r="B1462">
        <v>2024</v>
      </c>
      <c r="C1462" s="3"/>
      <c r="D1462" s="21"/>
      <c r="E1462" s="15" t="s">
        <v>58</v>
      </c>
      <c r="F1462" s="16" t="s">
        <v>40</v>
      </c>
      <c r="G1462" s="17">
        <v>100</v>
      </c>
      <c r="H1462" s="17">
        <v>75</v>
      </c>
      <c r="I1462" s="17">
        <v>100</v>
      </c>
      <c r="J1462" s="17">
        <v>88.75</v>
      </c>
      <c r="K1462" s="17">
        <v>90</v>
      </c>
    </row>
    <row r="1463" spans="1:11" x14ac:dyDescent="0.3">
      <c r="A1463">
        <v>74</v>
      </c>
      <c r="B1463">
        <v>2024</v>
      </c>
      <c r="C1463" s="3"/>
      <c r="D1463" s="21"/>
      <c r="E1463" s="15" t="s">
        <v>59</v>
      </c>
      <c r="F1463" s="16" t="s">
        <v>45</v>
      </c>
      <c r="G1463" s="17">
        <v>45</v>
      </c>
      <c r="H1463" s="17">
        <v>45</v>
      </c>
      <c r="I1463" s="17">
        <v>85</v>
      </c>
      <c r="J1463" s="17">
        <v>57.5</v>
      </c>
      <c r="K1463" s="17">
        <v>50</v>
      </c>
    </row>
    <row r="1464" spans="1:11" x14ac:dyDescent="0.3">
      <c r="A1464">
        <v>74</v>
      </c>
      <c r="B1464">
        <v>2024</v>
      </c>
      <c r="C1464" s="3"/>
      <c r="D1464" s="21"/>
      <c r="E1464" s="15" t="s">
        <v>60</v>
      </c>
      <c r="F1464" s="16" t="s">
        <v>61</v>
      </c>
      <c r="G1464" s="17">
        <v>160</v>
      </c>
      <c r="H1464" s="17">
        <v>150</v>
      </c>
      <c r="I1464" s="17">
        <v>180</v>
      </c>
      <c r="J1464" s="17">
        <v>162.5</v>
      </c>
      <c r="K1464" s="17">
        <v>160</v>
      </c>
    </row>
    <row r="1465" spans="1:11" x14ac:dyDescent="0.3">
      <c r="A1465">
        <v>74</v>
      </c>
      <c r="B1465">
        <v>2024</v>
      </c>
      <c r="C1465" s="3"/>
      <c r="D1465" s="21"/>
      <c r="E1465" s="15" t="s">
        <v>63</v>
      </c>
      <c r="F1465" s="16" t="s">
        <v>40</v>
      </c>
      <c r="G1465" s="16"/>
      <c r="H1465" s="17">
        <v>50</v>
      </c>
      <c r="I1465" s="17">
        <v>80</v>
      </c>
      <c r="J1465" s="17">
        <v>65</v>
      </c>
      <c r="K1465" s="17">
        <v>65</v>
      </c>
    </row>
    <row r="1466" spans="1:11" x14ac:dyDescent="0.3">
      <c r="A1466">
        <v>74</v>
      </c>
      <c r="B1466">
        <v>2024</v>
      </c>
      <c r="C1466" s="3"/>
      <c r="D1466" s="21"/>
      <c r="E1466" s="15" t="s">
        <v>64</v>
      </c>
      <c r="F1466" s="16" t="s">
        <v>40</v>
      </c>
      <c r="G1466" s="16"/>
      <c r="H1466" s="17">
        <v>90</v>
      </c>
      <c r="I1466" s="17">
        <v>120</v>
      </c>
      <c r="J1466" s="17">
        <v>103.33</v>
      </c>
      <c r="K1466" s="17">
        <v>100</v>
      </c>
    </row>
    <row r="1467" spans="1:11" x14ac:dyDescent="0.3">
      <c r="A1467">
        <v>74</v>
      </c>
      <c r="B1467">
        <v>2024</v>
      </c>
      <c r="C1467" s="3"/>
      <c r="D1467" s="21"/>
      <c r="E1467" s="15" t="s">
        <v>66</v>
      </c>
      <c r="F1467" s="16" t="s">
        <v>45</v>
      </c>
      <c r="G1467" s="16"/>
      <c r="H1467" s="16"/>
      <c r="I1467" s="16"/>
      <c r="J1467" s="16"/>
      <c r="K1467" s="16"/>
    </row>
    <row r="1468" spans="1:11" x14ac:dyDescent="0.3">
      <c r="A1468">
        <v>74</v>
      </c>
      <c r="B1468">
        <v>2024</v>
      </c>
      <c r="C1468" s="3"/>
      <c r="D1468" s="21"/>
      <c r="E1468" s="15" t="s">
        <v>67</v>
      </c>
      <c r="F1468" s="16" t="s">
        <v>45</v>
      </c>
      <c r="G1468" s="16"/>
      <c r="H1468" s="16"/>
      <c r="I1468" s="16"/>
      <c r="J1468" s="16"/>
      <c r="K1468" s="16"/>
    </row>
    <row r="1469" spans="1:11" x14ac:dyDescent="0.3">
      <c r="A1469">
        <v>74</v>
      </c>
      <c r="B1469">
        <v>2024</v>
      </c>
      <c r="C1469" s="3"/>
      <c r="D1469" s="21"/>
      <c r="E1469" s="15" t="s">
        <v>68</v>
      </c>
      <c r="F1469" s="16" t="s">
        <v>45</v>
      </c>
      <c r="G1469" s="16"/>
      <c r="H1469" s="16"/>
      <c r="I1469" s="16"/>
      <c r="J1469" s="16"/>
      <c r="K1469" s="16"/>
    </row>
    <row r="1470" spans="1:11" x14ac:dyDescent="0.3">
      <c r="A1470">
        <v>74</v>
      </c>
      <c r="B1470">
        <v>2024</v>
      </c>
      <c r="C1470" s="3"/>
      <c r="D1470" s="21"/>
      <c r="E1470" s="15" t="s">
        <v>69</v>
      </c>
      <c r="F1470" s="16" t="s">
        <v>45</v>
      </c>
      <c r="G1470" s="16"/>
      <c r="H1470" s="17">
        <v>70</v>
      </c>
      <c r="I1470" s="17">
        <v>70</v>
      </c>
      <c r="J1470" s="17">
        <v>70</v>
      </c>
      <c r="K1470" s="17">
        <v>70</v>
      </c>
    </row>
    <row r="1471" spans="1:11" x14ac:dyDescent="0.3">
      <c r="A1471">
        <v>74</v>
      </c>
      <c r="B1471">
        <v>2024</v>
      </c>
      <c r="C1471" s="3"/>
      <c r="D1471" s="21"/>
      <c r="E1471" s="15" t="s">
        <v>70</v>
      </c>
      <c r="F1471" s="16" t="s">
        <v>71</v>
      </c>
      <c r="G1471" s="16"/>
      <c r="H1471" s="16"/>
      <c r="I1471" s="16"/>
      <c r="J1471" s="16"/>
      <c r="K1471" s="16"/>
    </row>
    <row r="1472" spans="1:11" x14ac:dyDescent="0.3">
      <c r="A1472">
        <v>75</v>
      </c>
      <c r="B1472">
        <v>2024</v>
      </c>
      <c r="C1472" s="3"/>
      <c r="D1472" s="21"/>
      <c r="E1472" s="15" t="s">
        <v>12</v>
      </c>
      <c r="F1472" s="16" t="s">
        <v>13</v>
      </c>
      <c r="G1472" s="16"/>
      <c r="H1472" s="17">
        <v>36</v>
      </c>
      <c r="I1472" s="17">
        <v>60</v>
      </c>
      <c r="J1472" s="17">
        <v>48</v>
      </c>
      <c r="K1472" s="17">
        <v>48</v>
      </c>
    </row>
    <row r="1473" spans="1:11" x14ac:dyDescent="0.3">
      <c r="A1473">
        <v>75</v>
      </c>
      <c r="B1473">
        <v>2024</v>
      </c>
      <c r="C1473" s="3"/>
      <c r="D1473" s="21"/>
      <c r="E1473" s="15" t="s">
        <v>14</v>
      </c>
      <c r="F1473" s="16" t="s">
        <v>13</v>
      </c>
      <c r="G1473" s="17">
        <v>72</v>
      </c>
      <c r="H1473" s="17">
        <v>78</v>
      </c>
      <c r="I1473" s="17">
        <v>84</v>
      </c>
      <c r="J1473" s="17">
        <v>78</v>
      </c>
      <c r="K1473" s="17">
        <v>78</v>
      </c>
    </row>
    <row r="1474" spans="1:11" x14ac:dyDescent="0.3">
      <c r="A1474">
        <v>75</v>
      </c>
      <c r="B1474">
        <v>2024</v>
      </c>
      <c r="C1474" s="3"/>
      <c r="D1474" s="21"/>
      <c r="E1474" s="15" t="s">
        <v>15</v>
      </c>
      <c r="F1474" s="16" t="s">
        <v>13</v>
      </c>
      <c r="G1474" s="17">
        <v>30</v>
      </c>
      <c r="H1474" s="17">
        <v>30</v>
      </c>
      <c r="I1474" s="17">
        <v>30</v>
      </c>
      <c r="J1474" s="17">
        <v>30</v>
      </c>
      <c r="K1474" s="17">
        <v>30</v>
      </c>
    </row>
    <row r="1475" spans="1:11" x14ac:dyDescent="0.3">
      <c r="A1475">
        <v>75</v>
      </c>
      <c r="B1475">
        <v>2024</v>
      </c>
      <c r="C1475" s="3"/>
      <c r="D1475" s="21"/>
      <c r="E1475" s="15" t="s">
        <v>16</v>
      </c>
      <c r="F1475" s="16" t="s">
        <v>13</v>
      </c>
      <c r="G1475" s="17">
        <v>18</v>
      </c>
      <c r="H1475" s="17">
        <v>18</v>
      </c>
      <c r="I1475" s="17">
        <v>20</v>
      </c>
      <c r="J1475" s="17">
        <v>18.670000000000002</v>
      </c>
      <c r="K1475" s="17">
        <v>18</v>
      </c>
    </row>
    <row r="1476" spans="1:11" x14ac:dyDescent="0.3">
      <c r="A1476">
        <v>75</v>
      </c>
      <c r="B1476">
        <v>2024</v>
      </c>
      <c r="C1476" s="3"/>
      <c r="D1476" s="21"/>
      <c r="E1476" s="15" t="s">
        <v>17</v>
      </c>
      <c r="F1476" s="16" t="s">
        <v>13</v>
      </c>
      <c r="G1476" s="17">
        <v>18</v>
      </c>
      <c r="H1476" s="17">
        <v>18</v>
      </c>
      <c r="I1476" s="17">
        <v>20</v>
      </c>
      <c r="J1476" s="17">
        <v>18.670000000000002</v>
      </c>
      <c r="K1476" s="17">
        <v>18</v>
      </c>
    </row>
    <row r="1477" spans="1:11" x14ac:dyDescent="0.3">
      <c r="A1477">
        <v>75</v>
      </c>
      <c r="B1477">
        <v>2024</v>
      </c>
      <c r="C1477" s="3"/>
      <c r="D1477" s="21"/>
      <c r="E1477" s="15" t="s">
        <v>18</v>
      </c>
      <c r="F1477" s="16" t="s">
        <v>13</v>
      </c>
      <c r="G1477" s="17">
        <v>48</v>
      </c>
      <c r="H1477" s="16"/>
      <c r="I1477" s="17">
        <v>60</v>
      </c>
      <c r="J1477" s="17">
        <v>54</v>
      </c>
      <c r="K1477" s="17">
        <v>54</v>
      </c>
    </row>
    <row r="1478" spans="1:11" ht="28.8" x14ac:dyDescent="0.3">
      <c r="A1478">
        <v>75</v>
      </c>
      <c r="B1478">
        <v>2024</v>
      </c>
      <c r="C1478" s="3"/>
      <c r="D1478" s="21"/>
      <c r="E1478" s="15" t="s">
        <v>19</v>
      </c>
      <c r="F1478" s="16" t="s">
        <v>13</v>
      </c>
      <c r="G1478" s="17">
        <v>60</v>
      </c>
      <c r="H1478" s="16"/>
      <c r="I1478" s="17">
        <v>72</v>
      </c>
      <c r="J1478" s="17">
        <v>66</v>
      </c>
      <c r="K1478" s="17">
        <v>66</v>
      </c>
    </row>
    <row r="1479" spans="1:11" x14ac:dyDescent="0.3">
      <c r="A1479">
        <v>75</v>
      </c>
      <c r="B1479">
        <v>2024</v>
      </c>
      <c r="C1479" s="3"/>
      <c r="D1479" s="21"/>
      <c r="E1479" s="15" t="s">
        <v>20</v>
      </c>
      <c r="F1479" s="16" t="s">
        <v>13</v>
      </c>
      <c r="G1479" s="17">
        <v>72</v>
      </c>
      <c r="H1479" s="17">
        <v>72</v>
      </c>
      <c r="I1479" s="17">
        <v>72</v>
      </c>
      <c r="J1479" s="17">
        <v>72</v>
      </c>
      <c r="K1479" s="17">
        <v>72</v>
      </c>
    </row>
    <row r="1480" spans="1:11" x14ac:dyDescent="0.3">
      <c r="A1480">
        <v>75</v>
      </c>
      <c r="B1480">
        <v>2024</v>
      </c>
      <c r="C1480" s="3"/>
      <c r="D1480" s="21"/>
      <c r="E1480" s="15" t="s">
        <v>780</v>
      </c>
      <c r="F1480" s="16" t="s">
        <v>13</v>
      </c>
      <c r="G1480" s="17">
        <v>18</v>
      </c>
      <c r="H1480" s="17">
        <v>18</v>
      </c>
      <c r="I1480" s="17">
        <v>25</v>
      </c>
      <c r="J1480" s="17">
        <v>20.329999999999998</v>
      </c>
      <c r="K1480" s="17">
        <v>18</v>
      </c>
    </row>
    <row r="1481" spans="1:11" x14ac:dyDescent="0.3">
      <c r="A1481">
        <v>75</v>
      </c>
      <c r="B1481">
        <v>2024</v>
      </c>
      <c r="C1481" s="3"/>
      <c r="D1481" s="21"/>
      <c r="E1481" s="15" t="s">
        <v>781</v>
      </c>
      <c r="F1481" s="16" t="s">
        <v>13</v>
      </c>
      <c r="G1481" s="17">
        <v>72</v>
      </c>
      <c r="H1481" s="17">
        <v>72</v>
      </c>
      <c r="I1481" s="17">
        <v>72</v>
      </c>
      <c r="J1481" s="17">
        <v>72</v>
      </c>
      <c r="K1481" s="17">
        <v>72</v>
      </c>
    </row>
    <row r="1482" spans="1:11" x14ac:dyDescent="0.3">
      <c r="A1482">
        <v>75</v>
      </c>
      <c r="B1482">
        <v>2024</v>
      </c>
      <c r="C1482" s="3"/>
      <c r="D1482" s="21"/>
      <c r="E1482" s="15" t="s">
        <v>23</v>
      </c>
      <c r="F1482" s="16" t="s">
        <v>13</v>
      </c>
      <c r="G1482" s="17">
        <v>18</v>
      </c>
      <c r="H1482" s="17">
        <v>18</v>
      </c>
      <c r="I1482" s="17">
        <v>20</v>
      </c>
      <c r="J1482" s="17">
        <v>18.670000000000002</v>
      </c>
      <c r="K1482" s="17">
        <v>18</v>
      </c>
    </row>
    <row r="1483" spans="1:11" x14ac:dyDescent="0.3">
      <c r="A1483">
        <v>75</v>
      </c>
      <c r="B1483">
        <v>2024</v>
      </c>
      <c r="C1483" s="3"/>
      <c r="D1483" s="21"/>
      <c r="E1483" s="15" t="s">
        <v>24</v>
      </c>
      <c r="F1483" s="16" t="s">
        <v>13</v>
      </c>
      <c r="G1483" s="17">
        <v>48</v>
      </c>
      <c r="H1483" s="17">
        <v>48</v>
      </c>
      <c r="I1483" s="17">
        <v>72</v>
      </c>
      <c r="J1483" s="17">
        <v>60</v>
      </c>
      <c r="K1483" s="17">
        <v>60</v>
      </c>
    </row>
    <row r="1484" spans="1:11" x14ac:dyDescent="0.3">
      <c r="A1484">
        <v>75</v>
      </c>
      <c r="B1484">
        <v>2024</v>
      </c>
      <c r="C1484" s="3"/>
      <c r="D1484" s="21"/>
      <c r="E1484" s="15" t="s">
        <v>25</v>
      </c>
      <c r="F1484" s="16" t="s">
        <v>26</v>
      </c>
      <c r="G1484" s="17">
        <v>48</v>
      </c>
      <c r="H1484" s="17">
        <v>40</v>
      </c>
      <c r="I1484" s="17">
        <v>60</v>
      </c>
      <c r="J1484" s="17">
        <v>52</v>
      </c>
      <c r="K1484" s="17">
        <v>50</v>
      </c>
    </row>
    <row r="1485" spans="1:11" x14ac:dyDescent="0.3">
      <c r="A1485">
        <v>75</v>
      </c>
      <c r="B1485">
        <v>2024</v>
      </c>
      <c r="C1485" s="3"/>
      <c r="D1485" s="21"/>
      <c r="E1485" s="15" t="s">
        <v>27</v>
      </c>
      <c r="F1485" s="16" t="s">
        <v>13</v>
      </c>
      <c r="G1485" s="17">
        <v>48</v>
      </c>
      <c r="H1485" s="16"/>
      <c r="I1485" s="17">
        <v>60</v>
      </c>
      <c r="J1485" s="17">
        <v>50</v>
      </c>
      <c r="K1485" s="16"/>
    </row>
    <row r="1486" spans="1:11" x14ac:dyDescent="0.3">
      <c r="A1486">
        <v>75</v>
      </c>
      <c r="B1486">
        <v>2024</v>
      </c>
      <c r="C1486" s="3"/>
      <c r="D1486" s="21"/>
      <c r="E1486" s="15" t="s">
        <v>28</v>
      </c>
      <c r="F1486" s="16" t="s">
        <v>13</v>
      </c>
      <c r="G1486" s="17">
        <v>30</v>
      </c>
      <c r="H1486" s="17">
        <v>24</v>
      </c>
      <c r="I1486" s="17">
        <v>30</v>
      </c>
      <c r="J1486" s="17">
        <v>28</v>
      </c>
      <c r="K1486" s="17">
        <v>30</v>
      </c>
    </row>
    <row r="1487" spans="1:11" x14ac:dyDescent="0.3">
      <c r="A1487">
        <v>75</v>
      </c>
      <c r="B1487">
        <v>2024</v>
      </c>
      <c r="C1487" s="3"/>
      <c r="D1487" s="21"/>
      <c r="E1487" s="15" t="s">
        <v>29</v>
      </c>
      <c r="F1487" s="16" t="s">
        <v>13</v>
      </c>
      <c r="G1487" s="17">
        <v>48</v>
      </c>
      <c r="H1487" s="16"/>
      <c r="I1487" s="17">
        <v>60</v>
      </c>
      <c r="J1487" s="17">
        <v>54</v>
      </c>
      <c r="K1487" s="17">
        <v>54</v>
      </c>
    </row>
    <row r="1488" spans="1:11" x14ac:dyDescent="0.3">
      <c r="A1488">
        <v>75</v>
      </c>
      <c r="B1488">
        <v>2024</v>
      </c>
      <c r="C1488" s="3"/>
      <c r="D1488" s="21"/>
      <c r="E1488" s="15" t="s">
        <v>31</v>
      </c>
      <c r="F1488" s="16" t="s">
        <v>32</v>
      </c>
      <c r="G1488" s="17">
        <v>5</v>
      </c>
      <c r="H1488" s="17">
        <v>5</v>
      </c>
      <c r="I1488" s="17">
        <v>5</v>
      </c>
      <c r="J1488" s="17">
        <v>5</v>
      </c>
      <c r="K1488" s="17">
        <v>5</v>
      </c>
    </row>
    <row r="1489" spans="1:11" x14ac:dyDescent="0.3">
      <c r="A1489">
        <v>75</v>
      </c>
      <c r="B1489">
        <v>2024</v>
      </c>
      <c r="C1489" s="3"/>
      <c r="D1489" s="21"/>
      <c r="E1489" s="15" t="s">
        <v>34</v>
      </c>
      <c r="F1489" s="16" t="s">
        <v>35</v>
      </c>
      <c r="G1489" s="17">
        <v>15</v>
      </c>
      <c r="H1489" s="17">
        <v>12</v>
      </c>
      <c r="I1489" s="17">
        <v>15</v>
      </c>
      <c r="J1489" s="17">
        <v>14</v>
      </c>
      <c r="K1489" s="17">
        <v>15</v>
      </c>
    </row>
    <row r="1490" spans="1:11" x14ac:dyDescent="0.3">
      <c r="A1490">
        <v>75</v>
      </c>
      <c r="B1490">
        <v>2024</v>
      </c>
      <c r="C1490" s="3"/>
      <c r="D1490" s="21"/>
      <c r="E1490" s="15" t="s">
        <v>36</v>
      </c>
      <c r="F1490" s="16" t="s">
        <v>35</v>
      </c>
      <c r="G1490" s="17">
        <v>25</v>
      </c>
      <c r="H1490" s="17">
        <v>25</v>
      </c>
      <c r="I1490" s="17">
        <v>30</v>
      </c>
      <c r="J1490" s="17">
        <v>26.67</v>
      </c>
      <c r="K1490" s="17">
        <v>25</v>
      </c>
    </row>
    <row r="1491" spans="1:11" x14ac:dyDescent="0.3">
      <c r="A1491">
        <v>75</v>
      </c>
      <c r="B1491">
        <v>2024</v>
      </c>
      <c r="C1491" s="3"/>
      <c r="D1491" s="21"/>
      <c r="E1491" s="15" t="s">
        <v>516</v>
      </c>
      <c r="F1491" s="16" t="s">
        <v>154</v>
      </c>
      <c r="G1491" s="17">
        <v>75</v>
      </c>
      <c r="H1491" s="17">
        <v>75</v>
      </c>
      <c r="I1491" s="17">
        <v>80</v>
      </c>
      <c r="J1491" s="17">
        <v>76.67</v>
      </c>
      <c r="K1491" s="17">
        <v>75</v>
      </c>
    </row>
    <row r="1492" spans="1:11" x14ac:dyDescent="0.3">
      <c r="A1492">
        <v>75</v>
      </c>
      <c r="B1492">
        <v>2024</v>
      </c>
      <c r="C1492" s="3"/>
      <c r="D1492" s="21"/>
      <c r="E1492" s="15" t="s">
        <v>39</v>
      </c>
      <c r="F1492" s="16" t="s">
        <v>40</v>
      </c>
      <c r="G1492" s="17">
        <v>25</v>
      </c>
      <c r="H1492" s="17">
        <v>25</v>
      </c>
      <c r="I1492" s="17">
        <v>40</v>
      </c>
      <c r="J1492" s="17">
        <v>28.57</v>
      </c>
      <c r="K1492" s="17">
        <v>25</v>
      </c>
    </row>
    <row r="1493" spans="1:11" x14ac:dyDescent="0.3">
      <c r="A1493">
        <v>75</v>
      </c>
      <c r="B1493">
        <v>2024</v>
      </c>
      <c r="C1493" s="3"/>
      <c r="D1493" s="21"/>
      <c r="E1493" s="15" t="s">
        <v>782</v>
      </c>
      <c r="F1493" s="16" t="s">
        <v>43</v>
      </c>
      <c r="G1493" s="17">
        <v>70</v>
      </c>
      <c r="H1493" s="17">
        <v>45</v>
      </c>
      <c r="I1493" s="17">
        <v>70</v>
      </c>
      <c r="J1493" s="17">
        <v>60.83</v>
      </c>
      <c r="K1493" s="17">
        <v>67.5</v>
      </c>
    </row>
    <row r="1494" spans="1:11" x14ac:dyDescent="0.3">
      <c r="A1494">
        <v>75</v>
      </c>
      <c r="B1494">
        <v>2024</v>
      </c>
      <c r="C1494" s="3"/>
      <c r="D1494" s="21"/>
      <c r="E1494" s="15" t="s">
        <v>44</v>
      </c>
      <c r="F1494" s="16" t="s">
        <v>45</v>
      </c>
      <c r="G1494" s="17">
        <v>50</v>
      </c>
      <c r="H1494" s="17">
        <v>50</v>
      </c>
      <c r="I1494" s="17">
        <v>65</v>
      </c>
      <c r="J1494" s="17">
        <v>56</v>
      </c>
      <c r="K1494" s="17">
        <v>55</v>
      </c>
    </row>
    <row r="1495" spans="1:11" x14ac:dyDescent="0.3">
      <c r="A1495">
        <v>75</v>
      </c>
      <c r="B1495">
        <v>2024</v>
      </c>
      <c r="C1495" s="3"/>
      <c r="D1495" s="21"/>
      <c r="E1495" s="15" t="s">
        <v>48</v>
      </c>
      <c r="F1495" s="16" t="s">
        <v>45</v>
      </c>
      <c r="G1495" s="17">
        <v>45</v>
      </c>
      <c r="H1495" s="16"/>
      <c r="I1495" s="17">
        <v>80</v>
      </c>
      <c r="J1495" s="17">
        <v>66.67</v>
      </c>
      <c r="K1495" s="17">
        <v>75</v>
      </c>
    </row>
    <row r="1496" spans="1:11" x14ac:dyDescent="0.3">
      <c r="A1496">
        <v>75</v>
      </c>
      <c r="B1496">
        <v>2024</v>
      </c>
      <c r="C1496" s="3"/>
      <c r="D1496" s="21"/>
      <c r="E1496" s="15" t="s">
        <v>49</v>
      </c>
      <c r="F1496" s="16" t="s">
        <v>50</v>
      </c>
      <c r="G1496" s="17">
        <v>50</v>
      </c>
      <c r="H1496" s="17">
        <v>50</v>
      </c>
      <c r="I1496" s="17">
        <v>65</v>
      </c>
      <c r="J1496" s="17">
        <v>57.5</v>
      </c>
      <c r="K1496" s="17">
        <v>56.67</v>
      </c>
    </row>
    <row r="1497" spans="1:11" x14ac:dyDescent="0.3">
      <c r="A1497">
        <v>75</v>
      </c>
      <c r="B1497">
        <v>2024</v>
      </c>
      <c r="C1497" s="3"/>
      <c r="D1497" s="21"/>
      <c r="E1497" s="15" t="s">
        <v>52</v>
      </c>
      <c r="F1497" s="16" t="s">
        <v>43</v>
      </c>
      <c r="G1497" s="17">
        <v>45</v>
      </c>
      <c r="H1497" s="17">
        <v>40</v>
      </c>
      <c r="I1497" s="17">
        <v>60</v>
      </c>
      <c r="J1497" s="17">
        <v>48.57</v>
      </c>
      <c r="K1497" s="17">
        <v>45</v>
      </c>
    </row>
    <row r="1498" spans="1:11" x14ac:dyDescent="0.3">
      <c r="A1498">
        <v>75</v>
      </c>
      <c r="B1498">
        <v>2024</v>
      </c>
      <c r="C1498" s="3"/>
      <c r="D1498" s="21"/>
      <c r="E1498" s="15" t="s">
        <v>53</v>
      </c>
      <c r="F1498" s="16" t="s">
        <v>43</v>
      </c>
      <c r="G1498" s="17">
        <v>40</v>
      </c>
      <c r="H1498" s="17">
        <v>55</v>
      </c>
      <c r="I1498" s="17">
        <v>55</v>
      </c>
      <c r="J1498" s="17">
        <v>51.43</v>
      </c>
      <c r="K1498" s="17">
        <v>55</v>
      </c>
    </row>
    <row r="1499" spans="1:11" x14ac:dyDescent="0.3">
      <c r="A1499">
        <v>75</v>
      </c>
      <c r="B1499">
        <v>2024</v>
      </c>
      <c r="C1499" s="3"/>
      <c r="D1499" s="21"/>
      <c r="E1499" s="15" t="s">
        <v>54</v>
      </c>
      <c r="F1499" s="16" t="s">
        <v>40</v>
      </c>
      <c r="G1499" s="17">
        <v>100</v>
      </c>
      <c r="H1499" s="17">
        <v>120</v>
      </c>
      <c r="I1499" s="17">
        <v>130</v>
      </c>
      <c r="J1499" s="17">
        <v>116</v>
      </c>
      <c r="K1499" s="17">
        <v>120</v>
      </c>
    </row>
    <row r="1500" spans="1:11" x14ac:dyDescent="0.3">
      <c r="A1500">
        <v>75</v>
      </c>
      <c r="B1500">
        <v>2024</v>
      </c>
      <c r="C1500" s="3"/>
      <c r="D1500" s="21"/>
      <c r="E1500" s="15" t="s">
        <v>56</v>
      </c>
      <c r="F1500" s="16" t="s">
        <v>43</v>
      </c>
      <c r="G1500" s="17">
        <v>55</v>
      </c>
      <c r="H1500" s="16"/>
      <c r="I1500" s="17">
        <v>55</v>
      </c>
      <c r="J1500" s="17">
        <v>55</v>
      </c>
      <c r="K1500" s="17">
        <v>55</v>
      </c>
    </row>
    <row r="1501" spans="1:11" x14ac:dyDescent="0.3">
      <c r="A1501">
        <v>75</v>
      </c>
      <c r="B1501">
        <v>2024</v>
      </c>
      <c r="C1501" s="3"/>
      <c r="D1501" s="21"/>
      <c r="E1501" s="15" t="s">
        <v>57</v>
      </c>
      <c r="F1501" s="16" t="s">
        <v>40</v>
      </c>
      <c r="G1501" s="17">
        <v>60</v>
      </c>
      <c r="H1501" s="17">
        <v>50</v>
      </c>
      <c r="I1501" s="17">
        <v>85</v>
      </c>
      <c r="J1501" s="17">
        <v>60</v>
      </c>
      <c r="K1501" s="17">
        <v>63.75</v>
      </c>
    </row>
    <row r="1502" spans="1:11" x14ac:dyDescent="0.3">
      <c r="A1502">
        <v>75</v>
      </c>
      <c r="B1502">
        <v>2024</v>
      </c>
      <c r="C1502" s="3"/>
      <c r="D1502" s="21"/>
      <c r="E1502" s="15" t="s">
        <v>58</v>
      </c>
      <c r="F1502" s="16" t="s">
        <v>40</v>
      </c>
      <c r="G1502" s="17">
        <v>75</v>
      </c>
      <c r="H1502" s="16"/>
      <c r="I1502" s="17">
        <v>100</v>
      </c>
      <c r="J1502" s="17">
        <v>87.5</v>
      </c>
      <c r="K1502" s="17">
        <v>87.5</v>
      </c>
    </row>
    <row r="1503" spans="1:11" x14ac:dyDescent="0.3">
      <c r="A1503">
        <v>75</v>
      </c>
      <c r="B1503">
        <v>2024</v>
      </c>
      <c r="C1503" s="3"/>
      <c r="D1503" s="21"/>
      <c r="E1503" s="15" t="s">
        <v>59</v>
      </c>
      <c r="F1503" s="16" t="s">
        <v>45</v>
      </c>
      <c r="G1503" s="17">
        <v>40</v>
      </c>
      <c r="H1503" s="17">
        <v>50</v>
      </c>
      <c r="I1503" s="17">
        <v>70</v>
      </c>
      <c r="J1503" s="17">
        <v>52.14</v>
      </c>
      <c r="K1503" s="17">
        <v>50</v>
      </c>
    </row>
    <row r="1504" spans="1:11" x14ac:dyDescent="0.3">
      <c r="A1504">
        <v>75</v>
      </c>
      <c r="B1504">
        <v>2024</v>
      </c>
      <c r="C1504" s="3"/>
      <c r="D1504" s="21"/>
      <c r="E1504" s="15" t="s">
        <v>60</v>
      </c>
      <c r="F1504" s="16" t="s">
        <v>61</v>
      </c>
      <c r="G1504" s="17">
        <v>180</v>
      </c>
      <c r="H1504" s="17">
        <v>150</v>
      </c>
      <c r="I1504" s="17">
        <v>180</v>
      </c>
      <c r="J1504" s="17">
        <v>166.67</v>
      </c>
      <c r="K1504" s="17">
        <v>165</v>
      </c>
    </row>
    <row r="1505" spans="1:11" x14ac:dyDescent="0.3">
      <c r="A1505">
        <v>75</v>
      </c>
      <c r="B1505">
        <v>2024</v>
      </c>
      <c r="C1505" s="3"/>
      <c r="D1505" s="21"/>
      <c r="E1505" s="15" t="s">
        <v>63</v>
      </c>
      <c r="F1505" s="16" t="s">
        <v>40</v>
      </c>
      <c r="G1505" s="17">
        <v>60</v>
      </c>
      <c r="H1505" s="17">
        <v>70</v>
      </c>
      <c r="I1505" s="17">
        <v>80</v>
      </c>
      <c r="J1505" s="17">
        <v>68.569999999999993</v>
      </c>
      <c r="K1505" s="17">
        <v>70</v>
      </c>
    </row>
    <row r="1506" spans="1:11" x14ac:dyDescent="0.3">
      <c r="A1506">
        <v>75</v>
      </c>
      <c r="B1506">
        <v>2024</v>
      </c>
      <c r="C1506" s="3"/>
      <c r="D1506" s="21"/>
      <c r="E1506" s="15" t="s">
        <v>64</v>
      </c>
      <c r="F1506" s="16" t="s">
        <v>40</v>
      </c>
      <c r="G1506" s="17">
        <v>80</v>
      </c>
      <c r="H1506" s="16"/>
      <c r="I1506" s="17">
        <v>120</v>
      </c>
      <c r="J1506" s="17">
        <v>95</v>
      </c>
      <c r="K1506" s="17">
        <v>97.5</v>
      </c>
    </row>
    <row r="1507" spans="1:11" x14ac:dyDescent="0.3">
      <c r="A1507">
        <v>75</v>
      </c>
      <c r="B1507">
        <v>2024</v>
      </c>
      <c r="C1507" s="3"/>
      <c r="D1507" s="21"/>
      <c r="E1507" s="15" t="s">
        <v>66</v>
      </c>
      <c r="F1507" s="16" t="s">
        <v>45</v>
      </c>
      <c r="G1507" s="16"/>
      <c r="H1507" s="16"/>
      <c r="I1507" s="16"/>
      <c r="J1507" s="16"/>
      <c r="K1507" s="16"/>
    </row>
    <row r="1508" spans="1:11" x14ac:dyDescent="0.3">
      <c r="A1508">
        <v>75</v>
      </c>
      <c r="B1508">
        <v>2024</v>
      </c>
      <c r="C1508" s="3"/>
      <c r="D1508" s="21"/>
      <c r="E1508" s="15" t="s">
        <v>67</v>
      </c>
      <c r="F1508" s="16" t="s">
        <v>45</v>
      </c>
      <c r="G1508" s="16"/>
      <c r="H1508" s="16"/>
      <c r="I1508" s="16"/>
      <c r="J1508" s="16"/>
      <c r="K1508" s="16"/>
    </row>
    <row r="1509" spans="1:11" x14ac:dyDescent="0.3">
      <c r="A1509">
        <v>75</v>
      </c>
      <c r="B1509">
        <v>2024</v>
      </c>
      <c r="C1509" s="3"/>
      <c r="D1509" s="21"/>
      <c r="E1509" s="15" t="s">
        <v>68</v>
      </c>
      <c r="F1509" s="16" t="s">
        <v>45</v>
      </c>
      <c r="G1509" s="16"/>
      <c r="H1509" s="16"/>
      <c r="I1509" s="16"/>
      <c r="J1509" s="16"/>
      <c r="K1509" s="16"/>
    </row>
    <row r="1510" spans="1:11" x14ac:dyDescent="0.3">
      <c r="A1510">
        <v>75</v>
      </c>
      <c r="B1510">
        <v>2024</v>
      </c>
      <c r="C1510" s="3"/>
      <c r="D1510" s="21"/>
      <c r="E1510" s="15" t="s">
        <v>69</v>
      </c>
      <c r="F1510" s="16" t="s">
        <v>45</v>
      </c>
      <c r="G1510" s="16"/>
      <c r="H1510" s="16"/>
      <c r="I1510" s="16"/>
      <c r="J1510" s="16"/>
      <c r="K1510" s="16"/>
    </row>
    <row r="1511" spans="1:11" x14ac:dyDescent="0.3">
      <c r="A1511">
        <v>75</v>
      </c>
      <c r="B1511">
        <v>2024</v>
      </c>
      <c r="C1511" s="3"/>
      <c r="D1511" s="21"/>
      <c r="E1511" s="15" t="s">
        <v>70</v>
      </c>
      <c r="F1511" s="16" t="s">
        <v>71</v>
      </c>
      <c r="G1511" s="16"/>
      <c r="H1511" s="16"/>
      <c r="I1511" s="16"/>
      <c r="J1511" s="16"/>
      <c r="K1511" s="16"/>
    </row>
    <row r="1512" spans="1:11" x14ac:dyDescent="0.3">
      <c r="A1512" s="1">
        <v>76</v>
      </c>
      <c r="B1512" s="1">
        <v>2024</v>
      </c>
      <c r="C1512" s="3">
        <v>45597</v>
      </c>
      <c r="E1512" s="1" t="s">
        <v>12</v>
      </c>
      <c r="F1512" s="1" t="s">
        <v>13</v>
      </c>
      <c r="G1512" s="1" t="s">
        <v>357</v>
      </c>
      <c r="H1512" s="1" t="s">
        <v>357</v>
      </c>
      <c r="I1512" s="1" t="s">
        <v>358</v>
      </c>
      <c r="J1512" s="1" t="s">
        <v>359</v>
      </c>
      <c r="K1512" s="1" t="s">
        <v>359</v>
      </c>
    </row>
    <row r="1513" spans="1:11" x14ac:dyDescent="0.3">
      <c r="A1513" s="1">
        <v>76</v>
      </c>
      <c r="B1513" s="1">
        <v>2024</v>
      </c>
      <c r="C1513" s="3">
        <v>45597</v>
      </c>
      <c r="E1513" s="1" t="s">
        <v>14</v>
      </c>
      <c r="F1513" s="1" t="s">
        <v>13</v>
      </c>
      <c r="G1513" s="1" t="s">
        <v>360</v>
      </c>
      <c r="H1513" s="1" t="s">
        <v>358</v>
      </c>
      <c r="I1513" s="1" t="s">
        <v>361</v>
      </c>
      <c r="J1513" s="1" t="s">
        <v>360</v>
      </c>
      <c r="K1513" s="1" t="s">
        <v>360</v>
      </c>
    </row>
    <row r="1514" spans="1:11" x14ac:dyDescent="0.3">
      <c r="A1514" s="1">
        <v>76</v>
      </c>
      <c r="B1514" s="1">
        <v>2024</v>
      </c>
      <c r="C1514" s="3">
        <v>45597</v>
      </c>
      <c r="E1514" s="1" t="s">
        <v>15</v>
      </c>
      <c r="F1514" s="1" t="s">
        <v>13</v>
      </c>
      <c r="G1514" s="1" t="s">
        <v>362</v>
      </c>
      <c r="H1514" s="1" t="s">
        <v>362</v>
      </c>
      <c r="I1514" s="1" t="s">
        <v>363</v>
      </c>
      <c r="J1514" s="1" t="s">
        <v>364</v>
      </c>
      <c r="K1514" s="1" t="s">
        <v>365</v>
      </c>
    </row>
    <row r="1515" spans="1:11" x14ac:dyDescent="0.3">
      <c r="A1515" s="1">
        <v>76</v>
      </c>
      <c r="B1515" s="1">
        <v>2024</v>
      </c>
      <c r="C1515" s="3">
        <v>45597</v>
      </c>
      <c r="E1515" s="1" t="s">
        <v>16</v>
      </c>
      <c r="F1515" s="1" t="s">
        <v>13</v>
      </c>
      <c r="G1515" s="1" t="s">
        <v>366</v>
      </c>
      <c r="H1515" s="1" t="s">
        <v>367</v>
      </c>
      <c r="I1515" s="1" t="s">
        <v>366</v>
      </c>
      <c r="J1515" s="1" t="s">
        <v>368</v>
      </c>
      <c r="K1515" s="1" t="s">
        <v>366</v>
      </c>
    </row>
    <row r="1516" spans="1:11" x14ac:dyDescent="0.3">
      <c r="A1516" s="1">
        <v>76</v>
      </c>
      <c r="B1516" s="1">
        <v>2024</v>
      </c>
      <c r="C1516" s="3">
        <v>45597</v>
      </c>
      <c r="E1516" s="1" t="s">
        <v>17</v>
      </c>
      <c r="F1516" s="1" t="s">
        <v>13</v>
      </c>
      <c r="G1516" s="1" t="s">
        <v>366</v>
      </c>
      <c r="H1516" s="1" t="s">
        <v>366</v>
      </c>
      <c r="I1516" s="1" t="s">
        <v>358</v>
      </c>
      <c r="J1516" s="1" t="s">
        <v>365</v>
      </c>
      <c r="K1516" s="1" t="s">
        <v>366</v>
      </c>
    </row>
    <row r="1517" spans="1:11" x14ac:dyDescent="0.3">
      <c r="A1517" s="1">
        <v>76</v>
      </c>
      <c r="B1517" s="1">
        <v>2024</v>
      </c>
      <c r="C1517" s="3">
        <v>45597</v>
      </c>
      <c r="E1517" s="1" t="s">
        <v>18</v>
      </c>
      <c r="F1517" s="1" t="s">
        <v>13</v>
      </c>
      <c r="G1517" s="1" t="s">
        <v>358</v>
      </c>
      <c r="H1517" s="1" t="s">
        <v>358</v>
      </c>
      <c r="I1517" s="1" t="s">
        <v>358</v>
      </c>
      <c r="J1517" s="1" t="s">
        <v>358</v>
      </c>
      <c r="K1517" s="1" t="s">
        <v>358</v>
      </c>
    </row>
    <row r="1518" spans="1:11" x14ac:dyDescent="0.3">
      <c r="A1518" s="1">
        <v>76</v>
      </c>
      <c r="B1518" s="1">
        <v>2024</v>
      </c>
      <c r="C1518" s="3">
        <v>45597</v>
      </c>
      <c r="E1518" s="1" t="s">
        <v>19</v>
      </c>
      <c r="F1518" s="1" t="s">
        <v>13</v>
      </c>
      <c r="G1518" s="1" t="s">
        <v>358</v>
      </c>
      <c r="H1518" s="1" t="s">
        <v>358</v>
      </c>
      <c r="I1518" s="1" t="s">
        <v>360</v>
      </c>
      <c r="J1518" s="1" t="s">
        <v>369</v>
      </c>
      <c r="K1518" s="1" t="s">
        <v>358</v>
      </c>
    </row>
    <row r="1519" spans="1:11" x14ac:dyDescent="0.3">
      <c r="A1519" s="1">
        <v>76</v>
      </c>
      <c r="B1519" s="1">
        <v>2024</v>
      </c>
      <c r="C1519" s="3">
        <v>45597</v>
      </c>
      <c r="E1519" s="1" t="s">
        <v>20</v>
      </c>
      <c r="F1519" s="1" t="s">
        <v>13</v>
      </c>
      <c r="G1519" s="1" t="s">
        <v>360</v>
      </c>
      <c r="H1519" s="1" t="s">
        <v>370</v>
      </c>
      <c r="I1519" s="1" t="s">
        <v>360</v>
      </c>
      <c r="J1519" s="1" t="s">
        <v>371</v>
      </c>
      <c r="K1519" s="1" t="s">
        <v>360</v>
      </c>
    </row>
    <row r="1520" spans="1:11" x14ac:dyDescent="0.3">
      <c r="A1520" s="1">
        <v>76</v>
      </c>
      <c r="B1520" s="1">
        <v>2024</v>
      </c>
      <c r="C1520" s="3">
        <v>45597</v>
      </c>
      <c r="E1520" s="1" t="s">
        <v>21</v>
      </c>
      <c r="F1520" s="1" t="s">
        <v>13</v>
      </c>
      <c r="G1520" s="1" t="s">
        <v>366</v>
      </c>
      <c r="H1520" s="1" t="s">
        <v>367</v>
      </c>
      <c r="I1520" s="1" t="s">
        <v>366</v>
      </c>
      <c r="J1520" s="1" t="s">
        <v>372</v>
      </c>
      <c r="K1520" s="1" t="s">
        <v>373</v>
      </c>
    </row>
    <row r="1521" spans="1:11" x14ac:dyDescent="0.3">
      <c r="A1521" s="1">
        <v>76</v>
      </c>
      <c r="B1521" s="1">
        <v>2024</v>
      </c>
      <c r="C1521" s="3">
        <v>45597</v>
      </c>
      <c r="E1521" s="1" t="s">
        <v>73</v>
      </c>
      <c r="F1521" s="1" t="s">
        <v>13</v>
      </c>
      <c r="G1521" s="1" t="s">
        <v>358</v>
      </c>
      <c r="H1521" s="1" t="s">
        <v>358</v>
      </c>
      <c r="I1521" s="1" t="s">
        <v>370</v>
      </c>
      <c r="J1521" s="1" t="s">
        <v>374</v>
      </c>
      <c r="K1521" s="1" t="s">
        <v>358</v>
      </c>
    </row>
    <row r="1522" spans="1:11" x14ac:dyDescent="0.3">
      <c r="A1522" s="1">
        <v>76</v>
      </c>
      <c r="B1522" s="1">
        <v>2024</v>
      </c>
      <c r="C1522" s="3">
        <v>45597</v>
      </c>
      <c r="E1522" s="1" t="s">
        <v>23</v>
      </c>
      <c r="F1522" s="1" t="s">
        <v>13</v>
      </c>
      <c r="G1522" s="1" t="s">
        <v>366</v>
      </c>
      <c r="H1522" s="1" t="s">
        <v>367</v>
      </c>
      <c r="I1522" s="1" t="s">
        <v>366</v>
      </c>
      <c r="J1522" s="1" t="s">
        <v>368</v>
      </c>
      <c r="K1522" s="1" t="s">
        <v>366</v>
      </c>
    </row>
    <row r="1523" spans="1:11" x14ac:dyDescent="0.3">
      <c r="A1523" s="1">
        <v>76</v>
      </c>
      <c r="B1523" s="1">
        <v>2024</v>
      </c>
      <c r="C1523" s="3">
        <v>45597</v>
      </c>
      <c r="E1523" s="1" t="s">
        <v>24</v>
      </c>
      <c r="F1523" s="1" t="s">
        <v>13</v>
      </c>
      <c r="G1523" s="1" t="s">
        <v>358</v>
      </c>
      <c r="H1523" s="1" t="s">
        <v>358</v>
      </c>
      <c r="I1523" s="1" t="s">
        <v>360</v>
      </c>
      <c r="J1523" s="1" t="s">
        <v>375</v>
      </c>
      <c r="K1523" s="1" t="s">
        <v>358</v>
      </c>
    </row>
    <row r="1524" spans="1:11" x14ac:dyDescent="0.3">
      <c r="A1524" s="1">
        <v>76</v>
      </c>
      <c r="B1524" s="1">
        <v>2024</v>
      </c>
      <c r="C1524" s="3">
        <v>45597</v>
      </c>
      <c r="E1524" s="1" t="s">
        <v>25</v>
      </c>
      <c r="F1524" s="1" t="s">
        <v>26</v>
      </c>
      <c r="G1524" s="1" t="s">
        <v>357</v>
      </c>
      <c r="H1524" s="1" t="s">
        <v>357</v>
      </c>
      <c r="I1524" s="1" t="s">
        <v>358</v>
      </c>
      <c r="J1524" s="1" t="s">
        <v>359</v>
      </c>
      <c r="K1524" s="1" t="s">
        <v>359</v>
      </c>
    </row>
    <row r="1525" spans="1:11" x14ac:dyDescent="0.3">
      <c r="A1525" s="1">
        <v>76</v>
      </c>
      <c r="B1525" s="1">
        <v>2024</v>
      </c>
      <c r="C1525" s="3">
        <v>45597</v>
      </c>
      <c r="E1525" s="1" t="s">
        <v>27</v>
      </c>
      <c r="F1525" s="1" t="s">
        <v>13</v>
      </c>
      <c r="G1525" s="1" t="s">
        <v>360</v>
      </c>
      <c r="H1525" s="1" t="s">
        <v>357</v>
      </c>
      <c r="I1525" s="1" t="s">
        <v>360</v>
      </c>
      <c r="J1525" s="1" t="s">
        <v>369</v>
      </c>
      <c r="K1525" s="1" t="s">
        <v>360</v>
      </c>
    </row>
    <row r="1526" spans="1:11" x14ac:dyDescent="0.3">
      <c r="A1526" s="1">
        <v>76</v>
      </c>
      <c r="B1526" s="1">
        <v>2024</v>
      </c>
      <c r="C1526" s="3">
        <v>45597</v>
      </c>
      <c r="E1526" s="1" t="s">
        <v>28</v>
      </c>
      <c r="F1526" s="1" t="s">
        <v>13</v>
      </c>
      <c r="G1526" s="1" t="s">
        <v>366</v>
      </c>
      <c r="H1526" s="1" t="s">
        <v>366</v>
      </c>
      <c r="I1526" s="1" t="s">
        <v>362</v>
      </c>
      <c r="J1526" s="1" t="s">
        <v>376</v>
      </c>
      <c r="K1526" s="1" t="s">
        <v>366</v>
      </c>
    </row>
    <row r="1527" spans="1:11" x14ac:dyDescent="0.3">
      <c r="A1527" s="1">
        <v>76</v>
      </c>
      <c r="B1527" s="1">
        <v>2024</v>
      </c>
      <c r="C1527" s="3">
        <v>45597</v>
      </c>
      <c r="E1527" s="1" t="s">
        <v>29</v>
      </c>
      <c r="F1527" s="1" t="s">
        <v>13</v>
      </c>
      <c r="G1527" s="1" t="s">
        <v>357</v>
      </c>
      <c r="H1527" s="1" t="s">
        <v>357</v>
      </c>
      <c r="I1527" s="1" t="s">
        <v>358</v>
      </c>
      <c r="J1527" s="1" t="s">
        <v>377</v>
      </c>
      <c r="K1527" s="1" t="s">
        <v>357</v>
      </c>
    </row>
    <row r="1528" spans="1:11" x14ac:dyDescent="0.3">
      <c r="A1528" s="1">
        <v>76</v>
      </c>
      <c r="B1528" s="1">
        <v>2024</v>
      </c>
      <c r="C1528" s="3">
        <v>45597</v>
      </c>
      <c r="E1528" s="1" t="s">
        <v>31</v>
      </c>
      <c r="F1528" s="1" t="s">
        <v>32</v>
      </c>
      <c r="G1528" s="1" t="s">
        <v>378</v>
      </c>
      <c r="H1528" s="1" t="s">
        <v>378</v>
      </c>
      <c r="I1528" s="1" t="s">
        <v>378</v>
      </c>
      <c r="J1528" s="1" t="s">
        <v>378</v>
      </c>
      <c r="K1528" s="1" t="s">
        <v>378</v>
      </c>
    </row>
    <row r="1529" spans="1:11" x14ac:dyDescent="0.3">
      <c r="A1529" s="1">
        <v>76</v>
      </c>
      <c r="B1529" s="1">
        <v>2024</v>
      </c>
      <c r="C1529" s="3">
        <v>45597</v>
      </c>
      <c r="E1529" s="1" t="s">
        <v>34</v>
      </c>
      <c r="F1529" s="1" t="s">
        <v>35</v>
      </c>
      <c r="G1529" s="1" t="s">
        <v>379</v>
      </c>
      <c r="H1529" s="1" t="s">
        <v>380</v>
      </c>
      <c r="I1529" s="1" t="s">
        <v>379</v>
      </c>
      <c r="J1529" s="1" t="s">
        <v>381</v>
      </c>
      <c r="K1529" s="1" t="s">
        <v>379</v>
      </c>
    </row>
    <row r="1530" spans="1:11" x14ac:dyDescent="0.3">
      <c r="A1530" s="1">
        <v>76</v>
      </c>
      <c r="B1530" s="1">
        <v>2024</v>
      </c>
      <c r="C1530" s="3">
        <v>45597</v>
      </c>
      <c r="E1530" s="1" t="s">
        <v>36</v>
      </c>
      <c r="F1530" s="1" t="s">
        <v>35</v>
      </c>
      <c r="G1530" s="1" t="s">
        <v>362</v>
      </c>
      <c r="H1530" s="1" t="s">
        <v>382</v>
      </c>
      <c r="I1530" s="1" t="s">
        <v>362</v>
      </c>
      <c r="J1530" s="1" t="s">
        <v>383</v>
      </c>
      <c r="K1530" s="1" t="s">
        <v>384</v>
      </c>
    </row>
    <row r="1531" spans="1:11" x14ac:dyDescent="0.3">
      <c r="A1531" s="1">
        <v>76</v>
      </c>
      <c r="B1531" s="1">
        <v>2024</v>
      </c>
      <c r="C1531" s="3">
        <v>45597</v>
      </c>
      <c r="E1531" s="1" t="s">
        <v>153</v>
      </c>
      <c r="F1531" s="1" t="s">
        <v>154</v>
      </c>
      <c r="H1531" s="1" t="s">
        <v>385</v>
      </c>
      <c r="I1531" s="1" t="s">
        <v>386</v>
      </c>
      <c r="J1531" s="1" t="s">
        <v>387</v>
      </c>
      <c r="K1531" s="1" t="s">
        <v>387</v>
      </c>
    </row>
    <row r="1532" spans="1:11" x14ac:dyDescent="0.3">
      <c r="A1532" s="1">
        <v>76</v>
      </c>
      <c r="B1532" s="1">
        <v>2024</v>
      </c>
      <c r="C1532" s="3">
        <v>45597</v>
      </c>
      <c r="E1532" s="1" t="s">
        <v>39</v>
      </c>
      <c r="F1532" s="1" t="s">
        <v>40</v>
      </c>
      <c r="G1532" s="1" t="s">
        <v>388</v>
      </c>
      <c r="H1532" s="1" t="s">
        <v>362</v>
      </c>
      <c r="I1532" s="1" t="s">
        <v>388</v>
      </c>
      <c r="J1532" s="1" t="s">
        <v>389</v>
      </c>
      <c r="K1532" s="1" t="s">
        <v>388</v>
      </c>
    </row>
    <row r="1533" spans="1:11" x14ac:dyDescent="0.3">
      <c r="A1533" s="1">
        <v>76</v>
      </c>
      <c r="B1533" s="1">
        <v>2024</v>
      </c>
      <c r="C1533" s="3">
        <v>45597</v>
      </c>
      <c r="E1533" s="1" t="s">
        <v>42</v>
      </c>
      <c r="F1533" s="1" t="s">
        <v>43</v>
      </c>
      <c r="H1533" s="1" t="s">
        <v>390</v>
      </c>
      <c r="I1533" s="1" t="s">
        <v>370</v>
      </c>
      <c r="J1533" s="1" t="s">
        <v>358</v>
      </c>
      <c r="K1533" s="1" t="s">
        <v>391</v>
      </c>
    </row>
    <row r="1534" spans="1:11" x14ac:dyDescent="0.3">
      <c r="A1534" s="1">
        <v>76</v>
      </c>
      <c r="B1534" s="1">
        <v>2024</v>
      </c>
      <c r="C1534" s="3">
        <v>45597</v>
      </c>
      <c r="E1534" s="1" t="s">
        <v>44</v>
      </c>
      <c r="F1534" s="1" t="s">
        <v>45</v>
      </c>
      <c r="H1534" s="1" t="s">
        <v>390</v>
      </c>
      <c r="I1534" s="1" t="s">
        <v>358</v>
      </c>
      <c r="J1534" s="1" t="s">
        <v>392</v>
      </c>
      <c r="K1534" s="1" t="s">
        <v>393</v>
      </c>
    </row>
    <row r="1535" spans="1:11" x14ac:dyDescent="0.3">
      <c r="A1535" s="1">
        <v>76</v>
      </c>
      <c r="B1535" s="1">
        <v>2024</v>
      </c>
      <c r="C1535" s="3">
        <v>45597</v>
      </c>
      <c r="E1535" s="1" t="s">
        <v>48</v>
      </c>
      <c r="F1535" s="1" t="s">
        <v>45</v>
      </c>
      <c r="H1535" s="1" t="s">
        <v>358</v>
      </c>
      <c r="I1535" s="1" t="s">
        <v>358</v>
      </c>
      <c r="J1535" s="1" t="s">
        <v>358</v>
      </c>
      <c r="K1535" s="1" t="s">
        <v>358</v>
      </c>
    </row>
    <row r="1536" spans="1:11" x14ac:dyDescent="0.3">
      <c r="A1536" s="1">
        <v>76</v>
      </c>
      <c r="B1536" s="1">
        <v>2024</v>
      </c>
      <c r="C1536" s="3">
        <v>45597</v>
      </c>
      <c r="E1536" s="1" t="s">
        <v>49</v>
      </c>
      <c r="F1536" s="1" t="s">
        <v>50</v>
      </c>
      <c r="G1536" s="1" t="s">
        <v>393</v>
      </c>
      <c r="H1536" s="1" t="s">
        <v>393</v>
      </c>
      <c r="I1536" s="1" t="s">
        <v>394</v>
      </c>
      <c r="J1536" s="1" t="s">
        <v>395</v>
      </c>
      <c r="K1536" s="1" t="s">
        <v>396</v>
      </c>
    </row>
    <row r="1537" spans="1:11" x14ac:dyDescent="0.3">
      <c r="A1537" s="1">
        <v>76</v>
      </c>
      <c r="B1537" s="1">
        <v>2024</v>
      </c>
      <c r="C1537" s="3">
        <v>45597</v>
      </c>
      <c r="E1537" s="1" t="s">
        <v>52</v>
      </c>
      <c r="F1537" s="1" t="s">
        <v>43</v>
      </c>
      <c r="G1537" s="1" t="s">
        <v>396</v>
      </c>
      <c r="H1537" s="1" t="s">
        <v>397</v>
      </c>
      <c r="I1537" s="1" t="s">
        <v>396</v>
      </c>
      <c r="J1537" s="1" t="s">
        <v>398</v>
      </c>
      <c r="K1537" s="1" t="s">
        <v>393</v>
      </c>
    </row>
    <row r="1538" spans="1:11" x14ac:dyDescent="0.3">
      <c r="A1538" s="1">
        <v>76</v>
      </c>
      <c r="B1538" s="1">
        <v>2024</v>
      </c>
      <c r="C1538" s="3">
        <v>45597</v>
      </c>
      <c r="E1538" s="1" t="s">
        <v>53</v>
      </c>
      <c r="F1538" s="1" t="s">
        <v>43</v>
      </c>
      <c r="G1538" s="1" t="s">
        <v>393</v>
      </c>
      <c r="H1538" s="1" t="s">
        <v>393</v>
      </c>
      <c r="I1538" s="1" t="s">
        <v>385</v>
      </c>
      <c r="J1538" s="1" t="s">
        <v>399</v>
      </c>
      <c r="K1538" s="1" t="s">
        <v>400</v>
      </c>
    </row>
    <row r="1539" spans="1:11" x14ac:dyDescent="0.3">
      <c r="A1539" s="1">
        <v>76</v>
      </c>
      <c r="B1539" s="1">
        <v>2024</v>
      </c>
      <c r="C1539" s="3">
        <v>45597</v>
      </c>
      <c r="E1539" s="1" t="s">
        <v>54</v>
      </c>
      <c r="F1539" s="1" t="s">
        <v>40</v>
      </c>
      <c r="H1539" s="1" t="s">
        <v>386</v>
      </c>
      <c r="I1539" s="1" t="s">
        <v>401</v>
      </c>
      <c r="J1539" s="1" t="s">
        <v>402</v>
      </c>
      <c r="K1539" s="1" t="s">
        <v>403</v>
      </c>
    </row>
    <row r="1540" spans="1:11" x14ac:dyDescent="0.3">
      <c r="A1540" s="1">
        <v>76</v>
      </c>
      <c r="B1540" s="1">
        <v>2024</v>
      </c>
      <c r="C1540" s="3">
        <v>45597</v>
      </c>
      <c r="E1540" s="1" t="s">
        <v>56</v>
      </c>
      <c r="F1540" s="1" t="s">
        <v>43</v>
      </c>
      <c r="H1540" s="1" t="s">
        <v>393</v>
      </c>
      <c r="I1540" s="1" t="s">
        <v>358</v>
      </c>
      <c r="J1540" s="1" t="s">
        <v>396</v>
      </c>
      <c r="K1540" s="1" t="s">
        <v>396</v>
      </c>
    </row>
    <row r="1541" spans="1:11" x14ac:dyDescent="0.3">
      <c r="A1541" s="1">
        <v>76</v>
      </c>
      <c r="B1541" s="1">
        <v>2024</v>
      </c>
      <c r="C1541" s="3">
        <v>45597</v>
      </c>
      <c r="E1541" s="1" t="s">
        <v>57</v>
      </c>
      <c r="F1541" s="1" t="s">
        <v>40</v>
      </c>
      <c r="G1541" s="1" t="s">
        <v>393</v>
      </c>
      <c r="H1541" s="1" t="s">
        <v>397</v>
      </c>
      <c r="I1541" s="1" t="s">
        <v>393</v>
      </c>
      <c r="J1541" s="1" t="s">
        <v>404</v>
      </c>
      <c r="K1541" s="1" t="s">
        <v>393</v>
      </c>
    </row>
    <row r="1542" spans="1:11" x14ac:dyDescent="0.3">
      <c r="A1542" s="1">
        <v>76</v>
      </c>
      <c r="B1542" s="1">
        <v>2024</v>
      </c>
      <c r="C1542" s="3">
        <v>45597</v>
      </c>
      <c r="E1542" s="1" t="s">
        <v>58</v>
      </c>
      <c r="F1542" s="1" t="s">
        <v>40</v>
      </c>
      <c r="G1542" s="1" t="s">
        <v>370</v>
      </c>
      <c r="H1542" s="1" t="s">
        <v>394</v>
      </c>
      <c r="I1542" s="1" t="s">
        <v>405</v>
      </c>
      <c r="J1542" s="1" t="s">
        <v>406</v>
      </c>
      <c r="K1542" s="1" t="s">
        <v>370</v>
      </c>
    </row>
    <row r="1543" spans="1:11" x14ac:dyDescent="0.3">
      <c r="A1543" s="1">
        <v>76</v>
      </c>
      <c r="B1543" s="1">
        <v>2024</v>
      </c>
      <c r="C1543" s="3">
        <v>45597</v>
      </c>
      <c r="E1543" s="1" t="s">
        <v>59</v>
      </c>
      <c r="F1543" s="1" t="s">
        <v>45</v>
      </c>
      <c r="G1543" s="1" t="s">
        <v>393</v>
      </c>
      <c r="H1543" s="1" t="s">
        <v>397</v>
      </c>
      <c r="I1543" s="1" t="s">
        <v>393</v>
      </c>
      <c r="J1543" s="1" t="s">
        <v>407</v>
      </c>
      <c r="K1543" s="1" t="s">
        <v>404</v>
      </c>
    </row>
    <row r="1544" spans="1:11" x14ac:dyDescent="0.3">
      <c r="A1544" s="1">
        <v>76</v>
      </c>
      <c r="B1544" s="1">
        <v>2024</v>
      </c>
      <c r="C1544" s="3">
        <v>45597</v>
      </c>
      <c r="E1544" s="1" t="s">
        <v>60</v>
      </c>
      <c r="F1544" s="1" t="s">
        <v>61</v>
      </c>
      <c r="H1544" s="1" t="s">
        <v>408</v>
      </c>
      <c r="I1544" s="1" t="s">
        <v>409</v>
      </c>
      <c r="J1544" s="1" t="s">
        <v>410</v>
      </c>
      <c r="K1544" s="1" t="s">
        <v>411</v>
      </c>
    </row>
    <row r="1545" spans="1:11" x14ac:dyDescent="0.3">
      <c r="A1545" s="1">
        <v>76</v>
      </c>
      <c r="B1545" s="1">
        <v>2024</v>
      </c>
      <c r="C1545" s="3">
        <v>45597</v>
      </c>
      <c r="E1545" s="1" t="s">
        <v>63</v>
      </c>
      <c r="F1545" s="1" t="s">
        <v>40</v>
      </c>
      <c r="G1545" s="1" t="s">
        <v>386</v>
      </c>
      <c r="H1545" s="1" t="s">
        <v>370</v>
      </c>
      <c r="I1545" s="1" t="s">
        <v>412</v>
      </c>
      <c r="J1545" s="1" t="s">
        <v>413</v>
      </c>
      <c r="K1545" s="1" t="s">
        <v>386</v>
      </c>
    </row>
    <row r="1546" spans="1:11" x14ac:dyDescent="0.3">
      <c r="A1546" s="1">
        <v>76</v>
      </c>
      <c r="B1546" s="1">
        <v>2024</v>
      </c>
      <c r="C1546" s="3">
        <v>45597</v>
      </c>
      <c r="E1546" s="1" t="s">
        <v>64</v>
      </c>
      <c r="F1546" s="1" t="s">
        <v>40</v>
      </c>
      <c r="H1546" s="1" t="s">
        <v>405</v>
      </c>
      <c r="I1546" s="1" t="s">
        <v>409</v>
      </c>
      <c r="J1546" s="1" t="s">
        <v>414</v>
      </c>
      <c r="K1546" s="1" t="s">
        <v>415</v>
      </c>
    </row>
    <row r="1547" spans="1:11" x14ac:dyDescent="0.3">
      <c r="A1547" s="1">
        <v>76</v>
      </c>
      <c r="B1547" s="1">
        <v>2024</v>
      </c>
      <c r="C1547" s="3">
        <v>45597</v>
      </c>
      <c r="E1547" s="1" t="s">
        <v>66</v>
      </c>
      <c r="F1547" s="1" t="s">
        <v>45</v>
      </c>
    </row>
    <row r="1548" spans="1:11" x14ac:dyDescent="0.3">
      <c r="A1548" s="1">
        <v>76</v>
      </c>
      <c r="B1548" s="1">
        <v>2024</v>
      </c>
      <c r="C1548" s="3">
        <v>45597</v>
      </c>
      <c r="E1548" s="1" t="s">
        <v>67</v>
      </c>
      <c r="F1548" s="1" t="s">
        <v>45</v>
      </c>
    </row>
    <row r="1549" spans="1:11" x14ac:dyDescent="0.3">
      <c r="A1549" s="1">
        <v>76</v>
      </c>
      <c r="B1549" s="1">
        <v>2024</v>
      </c>
      <c r="C1549" s="3">
        <v>45597</v>
      </c>
      <c r="E1549" s="1" t="s">
        <v>68</v>
      </c>
      <c r="F1549" s="1" t="s">
        <v>45</v>
      </c>
    </row>
    <row r="1550" spans="1:11" x14ac:dyDescent="0.3">
      <c r="A1550" s="1">
        <v>76</v>
      </c>
      <c r="B1550" s="1">
        <v>2024</v>
      </c>
      <c r="C1550" s="3">
        <v>45597</v>
      </c>
      <c r="E1550" s="1" t="s">
        <v>69</v>
      </c>
      <c r="F1550" s="1" t="s">
        <v>45</v>
      </c>
      <c r="H1550" s="1" t="s">
        <v>370</v>
      </c>
      <c r="I1550" s="1" t="s">
        <v>370</v>
      </c>
      <c r="J1550" s="1" t="s">
        <v>370</v>
      </c>
      <c r="K1550" s="1" t="s">
        <v>370</v>
      </c>
    </row>
    <row r="1551" spans="1:11" x14ac:dyDescent="0.3">
      <c r="A1551" s="1">
        <v>76</v>
      </c>
      <c r="B1551" s="1">
        <v>2024</v>
      </c>
      <c r="C1551" s="3">
        <v>45597</v>
      </c>
      <c r="E1551" s="1" t="s">
        <v>70</v>
      </c>
      <c r="F1551" s="16" t="s">
        <v>71</v>
      </c>
    </row>
    <row r="1552" spans="1:11" x14ac:dyDescent="0.3">
      <c r="A1552" s="1">
        <v>77</v>
      </c>
      <c r="B1552" s="1">
        <v>2024</v>
      </c>
      <c r="C1552" s="3">
        <v>45604</v>
      </c>
      <c r="E1552" s="1" t="s">
        <v>12</v>
      </c>
      <c r="F1552" s="1" t="s">
        <v>13</v>
      </c>
      <c r="G1552" s="1" t="s">
        <v>357</v>
      </c>
      <c r="H1552" s="1" t="s">
        <v>357</v>
      </c>
      <c r="I1552" s="1" t="s">
        <v>358</v>
      </c>
      <c r="J1552" s="1" t="s">
        <v>359</v>
      </c>
      <c r="K1552" s="1" t="s">
        <v>359</v>
      </c>
    </row>
    <row r="1553" spans="1:11" x14ac:dyDescent="0.3">
      <c r="A1553" s="1">
        <v>77</v>
      </c>
      <c r="B1553" s="1">
        <v>2024</v>
      </c>
      <c r="C1553" s="3">
        <v>45604</v>
      </c>
      <c r="E1553" s="1" t="s">
        <v>14</v>
      </c>
      <c r="F1553" s="1" t="s">
        <v>13</v>
      </c>
      <c r="G1553" s="1" t="s">
        <v>360</v>
      </c>
      <c r="H1553" s="1" t="s">
        <v>360</v>
      </c>
      <c r="I1553" s="1" t="s">
        <v>360</v>
      </c>
      <c r="J1553" s="1" t="s">
        <v>360</v>
      </c>
      <c r="K1553" s="1" t="s">
        <v>360</v>
      </c>
    </row>
    <row r="1554" spans="1:11" x14ac:dyDescent="0.3">
      <c r="A1554" s="1">
        <v>77</v>
      </c>
      <c r="B1554" s="1">
        <v>2024</v>
      </c>
      <c r="C1554" s="3">
        <v>45604</v>
      </c>
      <c r="E1554" s="1" t="s">
        <v>15</v>
      </c>
      <c r="F1554" s="1" t="s">
        <v>13</v>
      </c>
      <c r="G1554" s="1" t="s">
        <v>363</v>
      </c>
      <c r="H1554" s="1" t="s">
        <v>363</v>
      </c>
      <c r="I1554" s="1" t="s">
        <v>357</v>
      </c>
      <c r="J1554" s="1" t="s">
        <v>390</v>
      </c>
      <c r="K1554" s="1" t="s">
        <v>390</v>
      </c>
    </row>
    <row r="1555" spans="1:11" x14ac:dyDescent="0.3">
      <c r="A1555" s="1">
        <v>77</v>
      </c>
      <c r="B1555" s="1">
        <v>2024</v>
      </c>
      <c r="C1555" s="3">
        <v>45604</v>
      </c>
      <c r="E1555" s="1" t="s">
        <v>16</v>
      </c>
      <c r="F1555" s="1" t="s">
        <v>13</v>
      </c>
      <c r="G1555" s="1" t="s">
        <v>362</v>
      </c>
      <c r="H1555" s="1" t="s">
        <v>362</v>
      </c>
      <c r="I1555" s="1" t="s">
        <v>362</v>
      </c>
      <c r="J1555" s="1" t="s">
        <v>362</v>
      </c>
      <c r="K1555" s="1" t="s">
        <v>362</v>
      </c>
    </row>
    <row r="1556" spans="1:11" x14ac:dyDescent="0.3">
      <c r="A1556" s="1">
        <v>77</v>
      </c>
      <c r="B1556" s="1">
        <v>2024</v>
      </c>
      <c r="C1556" s="3">
        <v>45604</v>
      </c>
      <c r="E1556" s="1" t="s">
        <v>17</v>
      </c>
      <c r="F1556" s="1" t="s">
        <v>13</v>
      </c>
      <c r="G1556" s="1" t="s">
        <v>362</v>
      </c>
      <c r="H1556" s="1" t="s">
        <v>362</v>
      </c>
      <c r="I1556" s="1" t="s">
        <v>362</v>
      </c>
      <c r="J1556" s="1" t="s">
        <v>362</v>
      </c>
      <c r="K1556" s="1" t="s">
        <v>362</v>
      </c>
    </row>
    <row r="1557" spans="1:11" x14ac:dyDescent="0.3">
      <c r="A1557" s="1">
        <v>77</v>
      </c>
      <c r="B1557" s="1">
        <v>2024</v>
      </c>
      <c r="C1557" s="3">
        <v>45604</v>
      </c>
      <c r="E1557" s="1" t="s">
        <v>18</v>
      </c>
      <c r="F1557" s="1" t="s">
        <v>13</v>
      </c>
      <c r="G1557" s="1" t="s">
        <v>358</v>
      </c>
      <c r="H1557" s="1" t="s">
        <v>358</v>
      </c>
      <c r="I1557" s="1" t="s">
        <v>358</v>
      </c>
      <c r="J1557" s="1" t="s">
        <v>358</v>
      </c>
      <c r="K1557" s="1" t="s">
        <v>358</v>
      </c>
    </row>
    <row r="1558" spans="1:11" x14ac:dyDescent="0.3">
      <c r="A1558" s="1">
        <v>77</v>
      </c>
      <c r="B1558" s="1">
        <v>2024</v>
      </c>
      <c r="C1558" s="3">
        <v>45604</v>
      </c>
      <c r="E1558" s="1" t="s">
        <v>19</v>
      </c>
      <c r="F1558" s="1" t="s">
        <v>13</v>
      </c>
      <c r="G1558" s="1" t="s">
        <v>416</v>
      </c>
      <c r="H1558" s="1" t="s">
        <v>416</v>
      </c>
      <c r="I1558" s="1" t="s">
        <v>361</v>
      </c>
      <c r="J1558" s="1" t="s">
        <v>385</v>
      </c>
      <c r="K1558" s="1" t="s">
        <v>385</v>
      </c>
    </row>
    <row r="1559" spans="1:11" x14ac:dyDescent="0.3">
      <c r="A1559" s="1">
        <v>77</v>
      </c>
      <c r="B1559" s="1">
        <v>2024</v>
      </c>
      <c r="C1559" s="3">
        <v>45604</v>
      </c>
      <c r="E1559" s="1" t="s">
        <v>20</v>
      </c>
      <c r="F1559" s="1" t="s">
        <v>13</v>
      </c>
      <c r="G1559" s="1" t="s">
        <v>358</v>
      </c>
      <c r="H1559" s="1" t="s">
        <v>358</v>
      </c>
      <c r="I1559" s="1" t="s">
        <v>360</v>
      </c>
      <c r="J1559" s="1" t="s">
        <v>416</v>
      </c>
      <c r="K1559" s="1" t="s">
        <v>416</v>
      </c>
    </row>
    <row r="1560" spans="1:11" x14ac:dyDescent="0.3">
      <c r="A1560" s="1">
        <v>77</v>
      </c>
      <c r="B1560" s="1">
        <v>2024</v>
      </c>
      <c r="C1560" s="3">
        <v>45604</v>
      </c>
      <c r="E1560" s="1" t="s">
        <v>21</v>
      </c>
      <c r="F1560" s="1" t="s">
        <v>13</v>
      </c>
      <c r="G1560" s="1" t="s">
        <v>366</v>
      </c>
      <c r="H1560" s="1" t="s">
        <v>366</v>
      </c>
      <c r="I1560" s="1" t="s">
        <v>366</v>
      </c>
      <c r="J1560" s="1" t="s">
        <v>366</v>
      </c>
      <c r="K1560" s="1" t="s">
        <v>366</v>
      </c>
    </row>
    <row r="1561" spans="1:11" x14ac:dyDescent="0.3">
      <c r="A1561" s="1">
        <v>77</v>
      </c>
      <c r="B1561" s="1">
        <v>2024</v>
      </c>
      <c r="C1561" s="3">
        <v>45604</v>
      </c>
      <c r="E1561" s="1" t="s">
        <v>73</v>
      </c>
      <c r="F1561" s="1" t="s">
        <v>13</v>
      </c>
      <c r="G1561" s="1" t="s">
        <v>358</v>
      </c>
      <c r="H1561" s="1" t="s">
        <v>358</v>
      </c>
      <c r="I1561" s="1" t="s">
        <v>417</v>
      </c>
      <c r="J1561" s="1" t="s">
        <v>418</v>
      </c>
      <c r="K1561" s="1" t="s">
        <v>418</v>
      </c>
    </row>
    <row r="1562" spans="1:11" x14ac:dyDescent="0.3">
      <c r="A1562" s="1">
        <v>77</v>
      </c>
      <c r="B1562" s="1">
        <v>2024</v>
      </c>
      <c r="C1562" s="3">
        <v>45604</v>
      </c>
      <c r="E1562" s="1" t="s">
        <v>23</v>
      </c>
      <c r="F1562" s="1" t="s">
        <v>13</v>
      </c>
      <c r="G1562" s="1" t="s">
        <v>362</v>
      </c>
      <c r="H1562" s="1" t="s">
        <v>362</v>
      </c>
      <c r="I1562" s="1" t="s">
        <v>362</v>
      </c>
      <c r="J1562" s="1" t="s">
        <v>362</v>
      </c>
      <c r="K1562" s="1" t="s">
        <v>362</v>
      </c>
    </row>
    <row r="1563" spans="1:11" x14ac:dyDescent="0.3">
      <c r="A1563" s="1">
        <v>77</v>
      </c>
      <c r="B1563" s="1">
        <v>2024</v>
      </c>
      <c r="C1563" s="3">
        <v>45604</v>
      </c>
      <c r="E1563" s="1" t="s">
        <v>24</v>
      </c>
      <c r="F1563" s="1" t="s">
        <v>13</v>
      </c>
      <c r="G1563" s="1" t="s">
        <v>393</v>
      </c>
      <c r="H1563" s="1" t="s">
        <v>393</v>
      </c>
      <c r="I1563" s="1" t="s">
        <v>358</v>
      </c>
      <c r="J1563" s="1" t="s">
        <v>396</v>
      </c>
      <c r="K1563" s="1" t="s">
        <v>396</v>
      </c>
    </row>
    <row r="1564" spans="1:11" x14ac:dyDescent="0.3">
      <c r="A1564" s="1">
        <v>77</v>
      </c>
      <c r="B1564" s="1">
        <v>2024</v>
      </c>
      <c r="C1564" s="3">
        <v>45604</v>
      </c>
      <c r="E1564" s="1" t="s">
        <v>25</v>
      </c>
      <c r="F1564" s="1" t="s">
        <v>26</v>
      </c>
      <c r="G1564" s="1" t="s">
        <v>358</v>
      </c>
      <c r="H1564" s="1" t="s">
        <v>358</v>
      </c>
      <c r="I1564" s="1" t="s">
        <v>360</v>
      </c>
      <c r="J1564" s="1" t="s">
        <v>416</v>
      </c>
      <c r="K1564" s="1" t="s">
        <v>416</v>
      </c>
    </row>
    <row r="1565" spans="1:11" x14ac:dyDescent="0.3">
      <c r="A1565" s="1">
        <v>77</v>
      </c>
      <c r="B1565" s="1">
        <v>2024</v>
      </c>
      <c r="C1565" s="3">
        <v>45604</v>
      </c>
      <c r="E1565" s="1" t="s">
        <v>27</v>
      </c>
      <c r="F1565" s="1" t="s">
        <v>13</v>
      </c>
      <c r="G1565" s="1" t="s">
        <v>360</v>
      </c>
      <c r="H1565" s="1" t="s">
        <v>360</v>
      </c>
      <c r="I1565" s="1" t="s">
        <v>360</v>
      </c>
      <c r="J1565" s="1" t="s">
        <v>360</v>
      </c>
      <c r="K1565" s="1" t="s">
        <v>360</v>
      </c>
    </row>
    <row r="1566" spans="1:11" x14ac:dyDescent="0.3">
      <c r="A1566" s="1">
        <v>77</v>
      </c>
      <c r="B1566" s="1">
        <v>2024</v>
      </c>
      <c r="C1566" s="3">
        <v>45604</v>
      </c>
      <c r="E1566" s="1" t="s">
        <v>28</v>
      </c>
      <c r="F1566" s="1" t="s">
        <v>13</v>
      </c>
      <c r="G1566" s="1" t="s">
        <v>419</v>
      </c>
      <c r="H1566" s="1" t="s">
        <v>419</v>
      </c>
      <c r="I1566" s="1" t="s">
        <v>362</v>
      </c>
      <c r="J1566" s="1" t="s">
        <v>384</v>
      </c>
      <c r="K1566" s="1" t="s">
        <v>384</v>
      </c>
    </row>
    <row r="1567" spans="1:11" x14ac:dyDescent="0.3">
      <c r="A1567" s="1">
        <v>77</v>
      </c>
      <c r="B1567" s="1">
        <v>2024</v>
      </c>
      <c r="C1567" s="3">
        <v>45604</v>
      </c>
      <c r="E1567" s="1" t="s">
        <v>29</v>
      </c>
      <c r="F1567" s="1" t="s">
        <v>13</v>
      </c>
      <c r="G1567" s="1" t="s">
        <v>357</v>
      </c>
      <c r="H1567" s="1" t="s">
        <v>357</v>
      </c>
      <c r="I1567" s="1" t="s">
        <v>357</v>
      </c>
      <c r="J1567" s="1" t="s">
        <v>357</v>
      </c>
      <c r="K1567" s="1" t="s">
        <v>357</v>
      </c>
    </row>
    <row r="1568" spans="1:11" x14ac:dyDescent="0.3">
      <c r="A1568" s="1">
        <v>77</v>
      </c>
      <c r="B1568" s="1">
        <v>2024</v>
      </c>
      <c r="C1568" s="3">
        <v>45604</v>
      </c>
      <c r="E1568" s="1" t="s">
        <v>31</v>
      </c>
      <c r="F1568" s="1" t="s">
        <v>32</v>
      </c>
      <c r="G1568" s="1" t="s">
        <v>378</v>
      </c>
      <c r="H1568" s="1" t="s">
        <v>378</v>
      </c>
      <c r="I1568" s="1" t="s">
        <v>378</v>
      </c>
      <c r="J1568" s="1" t="s">
        <v>378</v>
      </c>
      <c r="K1568" s="1" t="s">
        <v>378</v>
      </c>
    </row>
    <row r="1569" spans="1:11" x14ac:dyDescent="0.3">
      <c r="A1569" s="1">
        <v>77</v>
      </c>
      <c r="B1569" s="1">
        <v>2024</v>
      </c>
      <c r="C1569" s="3">
        <v>45604</v>
      </c>
      <c r="E1569" s="1" t="s">
        <v>34</v>
      </c>
      <c r="F1569" s="1" t="s">
        <v>35</v>
      </c>
      <c r="G1569" s="1" t="s">
        <v>379</v>
      </c>
      <c r="H1569" s="1" t="s">
        <v>379</v>
      </c>
      <c r="I1569" s="1" t="s">
        <v>382</v>
      </c>
      <c r="J1569" s="1" t="s">
        <v>420</v>
      </c>
      <c r="K1569" s="1" t="s">
        <v>420</v>
      </c>
    </row>
    <row r="1570" spans="1:11" x14ac:dyDescent="0.3">
      <c r="A1570" s="1">
        <v>77</v>
      </c>
      <c r="B1570" s="1">
        <v>2024</v>
      </c>
      <c r="C1570" s="3">
        <v>45604</v>
      </c>
      <c r="E1570" s="1" t="s">
        <v>36</v>
      </c>
      <c r="F1570" s="1" t="s">
        <v>35</v>
      </c>
      <c r="G1570" s="1" t="s">
        <v>362</v>
      </c>
      <c r="H1570" s="1" t="s">
        <v>362</v>
      </c>
      <c r="I1570" s="1" t="s">
        <v>362</v>
      </c>
      <c r="J1570" s="1" t="s">
        <v>362</v>
      </c>
      <c r="K1570" s="1" t="s">
        <v>362</v>
      </c>
    </row>
    <row r="1571" spans="1:11" x14ac:dyDescent="0.3">
      <c r="A1571" s="1">
        <v>77</v>
      </c>
      <c r="B1571" s="1">
        <v>2024</v>
      </c>
      <c r="C1571" s="3">
        <v>45604</v>
      </c>
      <c r="E1571" s="1" t="s">
        <v>153</v>
      </c>
      <c r="F1571" s="1" t="s">
        <v>154</v>
      </c>
      <c r="G1571" s="1" t="s">
        <v>386</v>
      </c>
      <c r="H1571" s="1" t="s">
        <v>386</v>
      </c>
      <c r="I1571" s="1" t="s">
        <v>386</v>
      </c>
      <c r="J1571" s="1" t="s">
        <v>386</v>
      </c>
      <c r="K1571" s="1" t="s">
        <v>386</v>
      </c>
    </row>
    <row r="1572" spans="1:11" x14ac:dyDescent="0.3">
      <c r="A1572" s="1">
        <v>77</v>
      </c>
      <c r="B1572" s="1">
        <v>2024</v>
      </c>
      <c r="C1572" s="3">
        <v>45604</v>
      </c>
      <c r="E1572" s="1" t="s">
        <v>39</v>
      </c>
      <c r="F1572" s="1" t="s">
        <v>40</v>
      </c>
      <c r="G1572" s="1" t="s">
        <v>362</v>
      </c>
      <c r="H1572" s="1" t="s">
        <v>362</v>
      </c>
      <c r="I1572" s="1" t="s">
        <v>393</v>
      </c>
      <c r="J1572" s="1" t="s">
        <v>397</v>
      </c>
      <c r="K1572" s="1" t="s">
        <v>397</v>
      </c>
    </row>
    <row r="1573" spans="1:11" x14ac:dyDescent="0.3">
      <c r="A1573" s="1">
        <v>77</v>
      </c>
      <c r="B1573" s="1">
        <v>2024</v>
      </c>
      <c r="C1573" s="3">
        <v>45604</v>
      </c>
      <c r="E1573" s="1" t="s">
        <v>42</v>
      </c>
      <c r="F1573" s="1" t="s">
        <v>43</v>
      </c>
      <c r="G1573" s="1" t="s">
        <v>390</v>
      </c>
      <c r="H1573" s="1" t="s">
        <v>390</v>
      </c>
      <c r="I1573" s="1" t="s">
        <v>385</v>
      </c>
      <c r="J1573" s="1" t="s">
        <v>421</v>
      </c>
      <c r="K1573" s="1" t="s">
        <v>394</v>
      </c>
    </row>
    <row r="1574" spans="1:11" x14ac:dyDescent="0.3">
      <c r="A1574" s="1">
        <v>77</v>
      </c>
      <c r="B1574" s="1">
        <v>2024</v>
      </c>
      <c r="C1574" s="3">
        <v>45604</v>
      </c>
      <c r="E1574" s="1" t="s">
        <v>44</v>
      </c>
      <c r="F1574" s="1" t="s">
        <v>45</v>
      </c>
      <c r="G1574" s="1" t="s">
        <v>390</v>
      </c>
      <c r="H1574" s="1" t="s">
        <v>390</v>
      </c>
      <c r="I1574" s="1" t="s">
        <v>358</v>
      </c>
      <c r="J1574" s="1" t="s">
        <v>422</v>
      </c>
      <c r="K1574" s="1" t="s">
        <v>393</v>
      </c>
    </row>
    <row r="1575" spans="1:11" x14ac:dyDescent="0.3">
      <c r="A1575" s="1">
        <v>77</v>
      </c>
      <c r="B1575" s="1">
        <v>2024</v>
      </c>
      <c r="C1575" s="3">
        <v>45604</v>
      </c>
      <c r="E1575" s="1" t="s">
        <v>48</v>
      </c>
      <c r="F1575" s="1" t="s">
        <v>45</v>
      </c>
      <c r="G1575" s="1" t="s">
        <v>394</v>
      </c>
      <c r="H1575" s="1" t="s">
        <v>394</v>
      </c>
      <c r="I1575" s="1" t="s">
        <v>394</v>
      </c>
      <c r="J1575" s="1" t="s">
        <v>394</v>
      </c>
      <c r="K1575" s="1" t="s">
        <v>394</v>
      </c>
    </row>
    <row r="1576" spans="1:11" x14ac:dyDescent="0.3">
      <c r="A1576" s="1">
        <v>77</v>
      </c>
      <c r="B1576" s="1">
        <v>2024</v>
      </c>
      <c r="C1576" s="3">
        <v>45604</v>
      </c>
      <c r="E1576" s="1" t="s">
        <v>49</v>
      </c>
      <c r="F1576" s="1" t="s">
        <v>50</v>
      </c>
      <c r="G1576" s="1" t="s">
        <v>393</v>
      </c>
      <c r="H1576" s="1" t="s">
        <v>393</v>
      </c>
      <c r="I1576" s="1" t="s">
        <v>370</v>
      </c>
      <c r="J1576" s="1" t="s">
        <v>423</v>
      </c>
      <c r="K1576" s="1" t="s">
        <v>358</v>
      </c>
    </row>
    <row r="1577" spans="1:11" x14ac:dyDescent="0.3">
      <c r="A1577" s="1">
        <v>77</v>
      </c>
      <c r="B1577" s="1">
        <v>2024</v>
      </c>
      <c r="C1577" s="3">
        <v>45604</v>
      </c>
      <c r="E1577" s="1" t="s">
        <v>52</v>
      </c>
      <c r="F1577" s="1" t="s">
        <v>43</v>
      </c>
      <c r="G1577" s="1" t="s">
        <v>393</v>
      </c>
      <c r="H1577" s="1" t="s">
        <v>397</v>
      </c>
      <c r="I1577" s="1" t="s">
        <v>396</v>
      </c>
      <c r="J1577" s="1" t="s">
        <v>398</v>
      </c>
      <c r="K1577" s="1" t="s">
        <v>393</v>
      </c>
    </row>
    <row r="1578" spans="1:11" x14ac:dyDescent="0.3">
      <c r="A1578" s="1">
        <v>77</v>
      </c>
      <c r="B1578" s="1">
        <v>2024</v>
      </c>
      <c r="C1578" s="3">
        <v>45604</v>
      </c>
      <c r="E1578" s="1" t="s">
        <v>53</v>
      </c>
      <c r="F1578" s="1" t="s">
        <v>43</v>
      </c>
      <c r="G1578" s="1" t="s">
        <v>388</v>
      </c>
      <c r="H1578" s="1" t="s">
        <v>388</v>
      </c>
      <c r="I1578" s="1" t="s">
        <v>394</v>
      </c>
      <c r="J1578" s="1" t="s">
        <v>393</v>
      </c>
      <c r="K1578" s="1" t="s">
        <v>393</v>
      </c>
    </row>
    <row r="1579" spans="1:11" x14ac:dyDescent="0.3">
      <c r="A1579" s="1">
        <v>77</v>
      </c>
      <c r="B1579" s="1">
        <v>2024</v>
      </c>
      <c r="C1579" s="3">
        <v>45604</v>
      </c>
      <c r="E1579" s="1" t="s">
        <v>54</v>
      </c>
      <c r="F1579" s="1" t="s">
        <v>40</v>
      </c>
      <c r="G1579" s="1" t="s">
        <v>401</v>
      </c>
      <c r="H1579" s="1" t="s">
        <v>415</v>
      </c>
      <c r="I1579" s="1" t="s">
        <v>401</v>
      </c>
      <c r="J1579" s="1" t="s">
        <v>424</v>
      </c>
      <c r="K1579" s="1" t="s">
        <v>401</v>
      </c>
    </row>
    <row r="1580" spans="1:11" x14ac:dyDescent="0.3">
      <c r="A1580" s="1">
        <v>77</v>
      </c>
      <c r="B1580" s="1">
        <v>2024</v>
      </c>
      <c r="C1580" s="3">
        <v>45604</v>
      </c>
      <c r="E1580" s="1" t="s">
        <v>56</v>
      </c>
      <c r="F1580" s="1" t="s">
        <v>43</v>
      </c>
      <c r="G1580" s="1" t="s">
        <v>393</v>
      </c>
      <c r="H1580" s="1" t="s">
        <v>393</v>
      </c>
      <c r="I1580" s="1" t="s">
        <v>393</v>
      </c>
      <c r="J1580" s="1" t="s">
        <v>393</v>
      </c>
      <c r="K1580" s="1" t="s">
        <v>393</v>
      </c>
    </row>
    <row r="1581" spans="1:11" x14ac:dyDescent="0.3">
      <c r="A1581" s="1">
        <v>77</v>
      </c>
      <c r="B1581" s="1">
        <v>2024</v>
      </c>
      <c r="C1581" s="3">
        <v>45604</v>
      </c>
      <c r="E1581" s="1" t="s">
        <v>57</v>
      </c>
      <c r="F1581" s="1" t="s">
        <v>40</v>
      </c>
      <c r="G1581" s="1" t="s">
        <v>390</v>
      </c>
      <c r="H1581" s="1" t="s">
        <v>390</v>
      </c>
      <c r="I1581" s="1" t="s">
        <v>396</v>
      </c>
      <c r="J1581" s="1" t="s">
        <v>393</v>
      </c>
      <c r="K1581" s="1" t="s">
        <v>393</v>
      </c>
    </row>
    <row r="1582" spans="1:11" x14ac:dyDescent="0.3">
      <c r="A1582" s="1">
        <v>77</v>
      </c>
      <c r="B1582" s="1">
        <v>2024</v>
      </c>
      <c r="C1582" s="3">
        <v>45604</v>
      </c>
      <c r="E1582" s="1" t="s">
        <v>58</v>
      </c>
      <c r="F1582" s="1" t="s">
        <v>40</v>
      </c>
      <c r="G1582" s="1" t="s">
        <v>370</v>
      </c>
      <c r="H1582" s="1" t="s">
        <v>394</v>
      </c>
      <c r="I1582" s="1" t="s">
        <v>405</v>
      </c>
      <c r="J1582" s="1" t="s">
        <v>385</v>
      </c>
      <c r="K1582" s="1" t="s">
        <v>370</v>
      </c>
    </row>
    <row r="1583" spans="1:11" x14ac:dyDescent="0.3">
      <c r="A1583" s="1">
        <v>77</v>
      </c>
      <c r="B1583" s="1">
        <v>2024</v>
      </c>
      <c r="C1583" s="3">
        <v>45604</v>
      </c>
      <c r="E1583" s="1" t="s">
        <v>59</v>
      </c>
      <c r="F1583" s="1" t="s">
        <v>45</v>
      </c>
      <c r="G1583" s="1" t="s">
        <v>393</v>
      </c>
      <c r="H1583" s="1" t="s">
        <v>397</v>
      </c>
      <c r="I1583" s="1" t="s">
        <v>396</v>
      </c>
      <c r="J1583" s="1" t="s">
        <v>357</v>
      </c>
      <c r="K1583" s="1" t="s">
        <v>393</v>
      </c>
    </row>
    <row r="1584" spans="1:11" x14ac:dyDescent="0.3">
      <c r="A1584" s="1">
        <v>77</v>
      </c>
      <c r="B1584" s="1">
        <v>2024</v>
      </c>
      <c r="C1584" s="3">
        <v>45604</v>
      </c>
      <c r="E1584" s="1" t="s">
        <v>60</v>
      </c>
      <c r="F1584" s="1" t="s">
        <v>61</v>
      </c>
      <c r="G1584" s="1" t="s">
        <v>409</v>
      </c>
      <c r="H1584" s="1" t="s">
        <v>411</v>
      </c>
      <c r="I1584" s="1" t="s">
        <v>425</v>
      </c>
      <c r="J1584" s="1" t="s">
        <v>426</v>
      </c>
      <c r="K1584" s="1" t="s">
        <v>409</v>
      </c>
    </row>
    <row r="1585" spans="1:11" x14ac:dyDescent="0.3">
      <c r="A1585" s="1">
        <v>77</v>
      </c>
      <c r="B1585" s="1">
        <v>2024</v>
      </c>
      <c r="C1585" s="3">
        <v>45604</v>
      </c>
      <c r="E1585" s="1" t="s">
        <v>63</v>
      </c>
      <c r="F1585" s="1" t="s">
        <v>40</v>
      </c>
      <c r="G1585" s="1" t="s">
        <v>394</v>
      </c>
      <c r="H1585" s="1" t="s">
        <v>358</v>
      </c>
      <c r="I1585" s="1" t="s">
        <v>370</v>
      </c>
      <c r="J1585" s="1" t="s">
        <v>394</v>
      </c>
      <c r="K1585" s="1" t="s">
        <v>394</v>
      </c>
    </row>
    <row r="1586" spans="1:11" x14ac:dyDescent="0.3">
      <c r="A1586" s="1">
        <v>77</v>
      </c>
      <c r="B1586" s="1">
        <v>2024</v>
      </c>
      <c r="C1586" s="3">
        <v>45604</v>
      </c>
      <c r="E1586" s="1" t="s">
        <v>64</v>
      </c>
      <c r="F1586" s="1" t="s">
        <v>40</v>
      </c>
      <c r="G1586" s="1" t="s">
        <v>415</v>
      </c>
      <c r="H1586" s="1" t="s">
        <v>393</v>
      </c>
      <c r="I1586" s="1" t="s">
        <v>415</v>
      </c>
      <c r="J1586" s="1" t="s">
        <v>427</v>
      </c>
      <c r="K1586" s="1" t="s">
        <v>415</v>
      </c>
    </row>
    <row r="1587" spans="1:11" x14ac:dyDescent="0.3">
      <c r="A1587" s="1">
        <v>77</v>
      </c>
      <c r="B1587" s="1">
        <v>2024</v>
      </c>
      <c r="C1587" s="3">
        <v>45604</v>
      </c>
      <c r="E1587" s="1" t="s">
        <v>66</v>
      </c>
      <c r="F1587" s="1" t="s">
        <v>45</v>
      </c>
    </row>
    <row r="1588" spans="1:11" x14ac:dyDescent="0.3">
      <c r="A1588" s="1">
        <v>77</v>
      </c>
      <c r="B1588" s="1">
        <v>2024</v>
      </c>
      <c r="C1588" s="3">
        <v>45604</v>
      </c>
      <c r="E1588" s="1" t="s">
        <v>67</v>
      </c>
      <c r="F1588" s="1" t="s">
        <v>45</v>
      </c>
    </row>
    <row r="1589" spans="1:11" x14ac:dyDescent="0.3">
      <c r="A1589" s="1">
        <v>77</v>
      </c>
      <c r="B1589" s="1">
        <v>2024</v>
      </c>
      <c r="C1589" s="3">
        <v>45604</v>
      </c>
      <c r="E1589" s="1" t="s">
        <v>68</v>
      </c>
      <c r="F1589" s="1" t="s">
        <v>45</v>
      </c>
    </row>
    <row r="1590" spans="1:11" x14ac:dyDescent="0.3">
      <c r="A1590" s="1">
        <v>77</v>
      </c>
      <c r="B1590" s="1">
        <v>2024</v>
      </c>
      <c r="C1590" s="3">
        <v>45604</v>
      </c>
      <c r="E1590" s="1" t="s">
        <v>69</v>
      </c>
      <c r="F1590" s="1" t="s">
        <v>45</v>
      </c>
      <c r="G1590" s="1" t="s">
        <v>370</v>
      </c>
      <c r="H1590" s="1" t="s">
        <v>370</v>
      </c>
      <c r="I1590" s="1" t="s">
        <v>370</v>
      </c>
      <c r="J1590" s="1" t="s">
        <v>370</v>
      </c>
      <c r="K1590" s="1" t="s">
        <v>370</v>
      </c>
    </row>
    <row r="1591" spans="1:11" x14ac:dyDescent="0.3">
      <c r="A1591" s="1">
        <v>77</v>
      </c>
      <c r="B1591" s="1">
        <v>2024</v>
      </c>
      <c r="C1591" s="3">
        <v>45604</v>
      </c>
      <c r="E1591" s="1" t="s">
        <v>70</v>
      </c>
      <c r="F1591" s="16" t="s">
        <v>71</v>
      </c>
    </row>
    <row r="1592" spans="1:11" x14ac:dyDescent="0.3">
      <c r="A1592" s="1">
        <v>78</v>
      </c>
      <c r="B1592" s="1">
        <v>2024</v>
      </c>
      <c r="C1592" s="3">
        <v>45611</v>
      </c>
      <c r="E1592" s="1" t="s">
        <v>12</v>
      </c>
      <c r="F1592" s="1" t="s">
        <v>13</v>
      </c>
      <c r="G1592" s="1" t="s">
        <v>357</v>
      </c>
      <c r="H1592" s="1" t="s">
        <v>357</v>
      </c>
      <c r="I1592" s="1" t="s">
        <v>358</v>
      </c>
      <c r="J1592" s="1" t="s">
        <v>428</v>
      </c>
      <c r="K1592" s="1" t="s">
        <v>357</v>
      </c>
    </row>
    <row r="1593" spans="1:11" x14ac:dyDescent="0.3">
      <c r="A1593" s="1">
        <v>78</v>
      </c>
      <c r="B1593" s="1">
        <v>2024</v>
      </c>
      <c r="C1593" s="3">
        <v>45611</v>
      </c>
      <c r="E1593" s="1" t="s">
        <v>14</v>
      </c>
      <c r="F1593" s="1" t="s">
        <v>13</v>
      </c>
      <c r="G1593" s="1" t="s">
        <v>358</v>
      </c>
      <c r="H1593" s="1" t="s">
        <v>358</v>
      </c>
      <c r="I1593" s="1" t="s">
        <v>361</v>
      </c>
      <c r="J1593" s="1" t="s">
        <v>429</v>
      </c>
      <c r="K1593" s="1" t="s">
        <v>358</v>
      </c>
    </row>
    <row r="1594" spans="1:11" x14ac:dyDescent="0.3">
      <c r="A1594" s="1">
        <v>78</v>
      </c>
      <c r="B1594" s="1">
        <v>2024</v>
      </c>
      <c r="C1594" s="3">
        <v>45611</v>
      </c>
      <c r="E1594" s="1" t="s">
        <v>15</v>
      </c>
      <c r="F1594" s="1" t="s">
        <v>13</v>
      </c>
      <c r="G1594" s="1" t="s">
        <v>430</v>
      </c>
      <c r="H1594" s="1" t="s">
        <v>362</v>
      </c>
      <c r="I1594" s="1" t="s">
        <v>430</v>
      </c>
      <c r="J1594" s="1" t="s">
        <v>364</v>
      </c>
      <c r="K1594" s="1" t="s">
        <v>430</v>
      </c>
    </row>
    <row r="1595" spans="1:11" x14ac:dyDescent="0.3">
      <c r="A1595" s="1">
        <v>78</v>
      </c>
      <c r="B1595" s="1">
        <v>2024</v>
      </c>
      <c r="C1595" s="3">
        <v>45611</v>
      </c>
      <c r="E1595" s="1" t="s">
        <v>16</v>
      </c>
      <c r="F1595" s="1" t="s">
        <v>13</v>
      </c>
      <c r="G1595" s="1" t="s">
        <v>362</v>
      </c>
      <c r="H1595" s="1" t="s">
        <v>366</v>
      </c>
      <c r="I1595" s="1" t="s">
        <v>362</v>
      </c>
      <c r="J1595" s="1" t="s">
        <v>431</v>
      </c>
      <c r="K1595" s="1" t="s">
        <v>384</v>
      </c>
    </row>
    <row r="1596" spans="1:11" x14ac:dyDescent="0.3">
      <c r="A1596" s="1">
        <v>78</v>
      </c>
      <c r="B1596" s="1">
        <v>2024</v>
      </c>
      <c r="C1596" s="3">
        <v>45611</v>
      </c>
      <c r="E1596" s="1" t="s">
        <v>17</v>
      </c>
      <c r="F1596" s="1" t="s">
        <v>13</v>
      </c>
      <c r="G1596" s="1" t="s">
        <v>362</v>
      </c>
      <c r="H1596" s="1" t="s">
        <v>366</v>
      </c>
      <c r="I1596" s="1" t="s">
        <v>362</v>
      </c>
      <c r="J1596" s="1" t="s">
        <v>432</v>
      </c>
      <c r="K1596" s="1" t="s">
        <v>419</v>
      </c>
    </row>
    <row r="1597" spans="1:11" x14ac:dyDescent="0.3">
      <c r="A1597" s="1">
        <v>78</v>
      </c>
      <c r="B1597" s="1">
        <v>2024</v>
      </c>
      <c r="C1597" s="3">
        <v>45611</v>
      </c>
      <c r="E1597" s="1" t="s">
        <v>18</v>
      </c>
      <c r="F1597" s="1" t="s">
        <v>13</v>
      </c>
      <c r="G1597" s="1" t="s">
        <v>358</v>
      </c>
      <c r="H1597" s="1" t="s">
        <v>357</v>
      </c>
      <c r="I1597" s="1" t="s">
        <v>358</v>
      </c>
      <c r="J1597" s="1" t="s">
        <v>433</v>
      </c>
      <c r="K1597" s="1" t="s">
        <v>358</v>
      </c>
    </row>
    <row r="1598" spans="1:11" x14ac:dyDescent="0.3">
      <c r="A1598" s="1">
        <v>78</v>
      </c>
      <c r="B1598" s="1">
        <v>2024</v>
      </c>
      <c r="C1598" s="3">
        <v>45611</v>
      </c>
      <c r="E1598" s="1" t="s">
        <v>19</v>
      </c>
      <c r="F1598" s="1" t="s">
        <v>13</v>
      </c>
      <c r="G1598" s="1" t="s">
        <v>358</v>
      </c>
      <c r="H1598" s="1" t="s">
        <v>358</v>
      </c>
      <c r="I1598" s="1" t="s">
        <v>417</v>
      </c>
      <c r="J1598" s="1" t="s">
        <v>434</v>
      </c>
      <c r="K1598" s="1" t="s">
        <v>416</v>
      </c>
    </row>
    <row r="1599" spans="1:11" x14ac:dyDescent="0.3">
      <c r="A1599" s="1">
        <v>78</v>
      </c>
      <c r="B1599" s="1">
        <v>2024</v>
      </c>
      <c r="C1599" s="3">
        <v>45611</v>
      </c>
      <c r="E1599" s="1" t="s">
        <v>20</v>
      </c>
      <c r="F1599" s="1" t="s">
        <v>13</v>
      </c>
      <c r="G1599" s="1" t="s">
        <v>360</v>
      </c>
      <c r="H1599" s="1" t="s">
        <v>358</v>
      </c>
      <c r="I1599" s="1" t="s">
        <v>360</v>
      </c>
      <c r="J1599" s="1" t="s">
        <v>418</v>
      </c>
      <c r="K1599" s="1" t="s">
        <v>360</v>
      </c>
    </row>
    <row r="1600" spans="1:11" x14ac:dyDescent="0.3">
      <c r="A1600" s="1">
        <v>78</v>
      </c>
      <c r="B1600" s="1">
        <v>2024</v>
      </c>
      <c r="C1600" s="3">
        <v>45611</v>
      </c>
      <c r="E1600" s="1" t="s">
        <v>21</v>
      </c>
      <c r="F1600" s="1" t="s">
        <v>13</v>
      </c>
      <c r="G1600" s="1" t="s">
        <v>366</v>
      </c>
      <c r="H1600" s="1" t="s">
        <v>367</v>
      </c>
      <c r="I1600" s="1" t="s">
        <v>366</v>
      </c>
      <c r="J1600" s="1" t="s">
        <v>372</v>
      </c>
      <c r="K1600" s="1" t="s">
        <v>373</v>
      </c>
    </row>
    <row r="1601" spans="1:11" x14ac:dyDescent="0.3">
      <c r="A1601" s="1">
        <v>78</v>
      </c>
      <c r="B1601" s="1">
        <v>2024</v>
      </c>
      <c r="C1601" s="3">
        <v>45611</v>
      </c>
      <c r="E1601" s="1" t="s">
        <v>73</v>
      </c>
      <c r="F1601" s="1" t="s">
        <v>13</v>
      </c>
      <c r="G1601" s="1" t="s">
        <v>358</v>
      </c>
      <c r="H1601" s="1" t="s">
        <v>358</v>
      </c>
      <c r="I1601" s="1" t="s">
        <v>358</v>
      </c>
      <c r="J1601" s="1" t="s">
        <v>358</v>
      </c>
      <c r="K1601" s="1" t="s">
        <v>358</v>
      </c>
    </row>
    <row r="1602" spans="1:11" x14ac:dyDescent="0.3">
      <c r="A1602" s="1">
        <v>78</v>
      </c>
      <c r="B1602" s="1">
        <v>2024</v>
      </c>
      <c r="C1602" s="3">
        <v>45611</v>
      </c>
      <c r="E1602" s="1" t="s">
        <v>23</v>
      </c>
      <c r="F1602" s="1" t="s">
        <v>13</v>
      </c>
      <c r="G1602" s="1" t="s">
        <v>362</v>
      </c>
      <c r="H1602" s="1" t="s">
        <v>367</v>
      </c>
      <c r="I1602" s="1" t="s">
        <v>362</v>
      </c>
      <c r="J1602" s="1" t="s">
        <v>435</v>
      </c>
      <c r="K1602" s="1" t="s">
        <v>436</v>
      </c>
    </row>
    <row r="1603" spans="1:11" x14ac:dyDescent="0.3">
      <c r="A1603" s="1">
        <v>78</v>
      </c>
      <c r="B1603" s="1">
        <v>2024</v>
      </c>
      <c r="C1603" s="3">
        <v>45611</v>
      </c>
      <c r="E1603" s="1" t="s">
        <v>24</v>
      </c>
      <c r="F1603" s="1" t="s">
        <v>13</v>
      </c>
      <c r="G1603" s="1" t="s">
        <v>358</v>
      </c>
      <c r="H1603" s="1" t="s">
        <v>357</v>
      </c>
      <c r="I1603" s="1" t="s">
        <v>358</v>
      </c>
      <c r="J1603" s="1" t="s">
        <v>433</v>
      </c>
      <c r="K1603" s="1" t="s">
        <v>358</v>
      </c>
    </row>
    <row r="1604" spans="1:11" x14ac:dyDescent="0.3">
      <c r="A1604" s="1">
        <v>78</v>
      </c>
      <c r="B1604" s="1">
        <v>2024</v>
      </c>
      <c r="C1604" s="3">
        <v>45611</v>
      </c>
      <c r="E1604" s="1" t="s">
        <v>25</v>
      </c>
      <c r="F1604" s="1" t="s">
        <v>26</v>
      </c>
      <c r="G1604" s="1" t="s">
        <v>357</v>
      </c>
      <c r="H1604" s="1" t="s">
        <v>357</v>
      </c>
      <c r="I1604" s="1" t="s">
        <v>358</v>
      </c>
      <c r="J1604" s="1" t="s">
        <v>359</v>
      </c>
      <c r="K1604" s="1" t="s">
        <v>359</v>
      </c>
    </row>
    <row r="1605" spans="1:11" x14ac:dyDescent="0.3">
      <c r="A1605" s="1">
        <v>78</v>
      </c>
      <c r="B1605" s="1">
        <v>2024</v>
      </c>
      <c r="C1605" s="3">
        <v>45611</v>
      </c>
      <c r="E1605" s="1" t="s">
        <v>27</v>
      </c>
      <c r="F1605" s="1" t="s">
        <v>13</v>
      </c>
      <c r="G1605" s="1" t="s">
        <v>357</v>
      </c>
      <c r="H1605" s="1" t="s">
        <v>430</v>
      </c>
      <c r="I1605" s="1" t="s">
        <v>357</v>
      </c>
      <c r="J1605" s="1" t="s">
        <v>437</v>
      </c>
      <c r="K1605" s="1" t="s">
        <v>357</v>
      </c>
    </row>
    <row r="1606" spans="1:11" x14ac:dyDescent="0.3">
      <c r="A1606" s="1">
        <v>78</v>
      </c>
      <c r="B1606" s="1">
        <v>2024</v>
      </c>
      <c r="C1606" s="3">
        <v>45611</v>
      </c>
      <c r="E1606" s="1" t="s">
        <v>28</v>
      </c>
      <c r="F1606" s="1" t="s">
        <v>13</v>
      </c>
      <c r="G1606" s="1" t="s">
        <v>362</v>
      </c>
      <c r="H1606" s="1" t="s">
        <v>366</v>
      </c>
      <c r="I1606" s="1" t="s">
        <v>362</v>
      </c>
      <c r="J1606" s="1" t="s">
        <v>438</v>
      </c>
      <c r="K1606" s="1" t="s">
        <v>362</v>
      </c>
    </row>
    <row r="1607" spans="1:11" x14ac:dyDescent="0.3">
      <c r="A1607" s="1">
        <v>78</v>
      </c>
      <c r="B1607" s="1">
        <v>2024</v>
      </c>
      <c r="C1607" s="3">
        <v>45611</v>
      </c>
      <c r="E1607" s="1" t="s">
        <v>29</v>
      </c>
      <c r="F1607" s="1" t="s">
        <v>13</v>
      </c>
      <c r="G1607" s="1" t="s">
        <v>357</v>
      </c>
      <c r="H1607" s="1" t="s">
        <v>363</v>
      </c>
      <c r="I1607" s="1" t="s">
        <v>358</v>
      </c>
      <c r="J1607" s="1" t="s">
        <v>439</v>
      </c>
      <c r="K1607" s="1" t="s">
        <v>357</v>
      </c>
    </row>
    <row r="1608" spans="1:11" x14ac:dyDescent="0.3">
      <c r="A1608" s="1">
        <v>78</v>
      </c>
      <c r="B1608" s="1">
        <v>2024</v>
      </c>
      <c r="C1608" s="3">
        <v>45611</v>
      </c>
      <c r="E1608" s="1" t="s">
        <v>31</v>
      </c>
      <c r="F1608" s="1" t="s">
        <v>32</v>
      </c>
      <c r="G1608" s="1" t="s">
        <v>378</v>
      </c>
      <c r="H1608" s="1" t="s">
        <v>378</v>
      </c>
      <c r="I1608" s="1" t="s">
        <v>378</v>
      </c>
      <c r="J1608" s="1" t="s">
        <v>378</v>
      </c>
      <c r="K1608" s="1" t="s">
        <v>378</v>
      </c>
    </row>
    <row r="1609" spans="1:11" x14ac:dyDescent="0.3">
      <c r="A1609" s="1">
        <v>78</v>
      </c>
      <c r="B1609" s="1">
        <v>2024</v>
      </c>
      <c r="C1609" s="3">
        <v>45611</v>
      </c>
      <c r="E1609" s="1" t="s">
        <v>34</v>
      </c>
      <c r="F1609" s="1" t="s">
        <v>35</v>
      </c>
      <c r="G1609" s="1" t="s">
        <v>379</v>
      </c>
      <c r="H1609" s="1" t="s">
        <v>379</v>
      </c>
      <c r="I1609" s="1" t="s">
        <v>382</v>
      </c>
      <c r="J1609" s="1" t="s">
        <v>420</v>
      </c>
      <c r="K1609" s="1" t="s">
        <v>420</v>
      </c>
    </row>
    <row r="1610" spans="1:11" x14ac:dyDescent="0.3">
      <c r="A1610" s="1">
        <v>78</v>
      </c>
      <c r="B1610" s="1">
        <v>2024</v>
      </c>
      <c r="C1610" s="3">
        <v>45611</v>
      </c>
      <c r="E1610" s="1" t="s">
        <v>36</v>
      </c>
      <c r="F1610" s="1" t="s">
        <v>35</v>
      </c>
      <c r="G1610" s="1" t="s">
        <v>357</v>
      </c>
      <c r="H1610" s="1" t="s">
        <v>363</v>
      </c>
      <c r="I1610" s="1" t="s">
        <v>358</v>
      </c>
      <c r="J1610" s="1" t="s">
        <v>439</v>
      </c>
      <c r="K1610" s="1" t="s">
        <v>357</v>
      </c>
    </row>
    <row r="1611" spans="1:11" x14ac:dyDescent="0.3">
      <c r="A1611" s="1">
        <v>78</v>
      </c>
      <c r="B1611" s="1">
        <v>2024</v>
      </c>
      <c r="C1611" s="3">
        <v>45611</v>
      </c>
      <c r="E1611" s="1" t="s">
        <v>153</v>
      </c>
      <c r="F1611" s="1" t="s">
        <v>154</v>
      </c>
      <c r="G1611" s="1" t="s">
        <v>385</v>
      </c>
      <c r="H1611" s="1" t="s">
        <v>385</v>
      </c>
      <c r="I1611" s="1" t="s">
        <v>386</v>
      </c>
      <c r="J1611" s="1" t="s">
        <v>387</v>
      </c>
      <c r="K1611" s="1" t="s">
        <v>387</v>
      </c>
    </row>
    <row r="1612" spans="1:11" x14ac:dyDescent="0.3">
      <c r="A1612" s="1">
        <v>78</v>
      </c>
      <c r="B1612" s="1">
        <v>2024</v>
      </c>
      <c r="C1612" s="3">
        <v>45611</v>
      </c>
      <c r="E1612" s="1" t="s">
        <v>39</v>
      </c>
      <c r="F1612" s="1" t="s">
        <v>40</v>
      </c>
      <c r="G1612" s="1" t="s">
        <v>394</v>
      </c>
      <c r="H1612" s="1" t="s">
        <v>393</v>
      </c>
      <c r="I1612" s="1" t="s">
        <v>394</v>
      </c>
      <c r="J1612" s="1" t="s">
        <v>358</v>
      </c>
      <c r="K1612" s="1" t="s">
        <v>391</v>
      </c>
    </row>
    <row r="1613" spans="1:11" x14ac:dyDescent="0.3">
      <c r="A1613" s="1">
        <v>78</v>
      </c>
      <c r="B1613" s="1">
        <v>2024</v>
      </c>
      <c r="C1613" s="3">
        <v>45611</v>
      </c>
      <c r="E1613" s="1" t="s">
        <v>42</v>
      </c>
      <c r="F1613" s="1" t="s">
        <v>43</v>
      </c>
      <c r="G1613" s="1" t="s">
        <v>370</v>
      </c>
      <c r="H1613" s="1" t="s">
        <v>390</v>
      </c>
      <c r="I1613" s="1" t="s">
        <v>370</v>
      </c>
      <c r="J1613" s="1" t="s">
        <v>399</v>
      </c>
      <c r="K1613" s="1" t="s">
        <v>399</v>
      </c>
    </row>
    <row r="1614" spans="1:11" x14ac:dyDescent="0.3">
      <c r="A1614" s="1">
        <v>78</v>
      </c>
      <c r="B1614" s="1">
        <v>2024</v>
      </c>
      <c r="C1614" s="3">
        <v>45611</v>
      </c>
      <c r="E1614" s="1" t="s">
        <v>44</v>
      </c>
      <c r="F1614" s="1" t="s">
        <v>45</v>
      </c>
      <c r="G1614" s="1" t="s">
        <v>393</v>
      </c>
      <c r="H1614" s="1" t="s">
        <v>390</v>
      </c>
      <c r="I1614" s="1" t="s">
        <v>396</v>
      </c>
      <c r="J1614" s="1" t="s">
        <v>393</v>
      </c>
      <c r="K1614" s="1" t="s">
        <v>393</v>
      </c>
    </row>
    <row r="1615" spans="1:11" x14ac:dyDescent="0.3">
      <c r="A1615" s="1">
        <v>78</v>
      </c>
      <c r="B1615" s="1">
        <v>2024</v>
      </c>
      <c r="C1615" s="3">
        <v>45611</v>
      </c>
      <c r="E1615" s="1" t="s">
        <v>48</v>
      </c>
      <c r="F1615" s="1" t="s">
        <v>45</v>
      </c>
      <c r="G1615" s="1" t="s">
        <v>405</v>
      </c>
      <c r="H1615" s="1" t="s">
        <v>405</v>
      </c>
      <c r="I1615" s="1" t="s">
        <v>405</v>
      </c>
      <c r="J1615" s="1" t="s">
        <v>405</v>
      </c>
      <c r="K1615" s="1" t="s">
        <v>405</v>
      </c>
    </row>
    <row r="1616" spans="1:11" x14ac:dyDescent="0.3">
      <c r="A1616" s="1">
        <v>78</v>
      </c>
      <c r="B1616" s="1">
        <v>2024</v>
      </c>
      <c r="C1616" s="3">
        <v>45611</v>
      </c>
      <c r="E1616" s="1" t="s">
        <v>49</v>
      </c>
      <c r="F1616" s="1" t="s">
        <v>50</v>
      </c>
      <c r="G1616" s="1" t="s">
        <v>393</v>
      </c>
      <c r="H1616" s="1" t="s">
        <v>393</v>
      </c>
      <c r="I1616" s="1" t="s">
        <v>358</v>
      </c>
      <c r="J1616" s="1" t="s">
        <v>396</v>
      </c>
      <c r="K1616" s="1" t="s">
        <v>396</v>
      </c>
    </row>
    <row r="1617" spans="1:11" x14ac:dyDescent="0.3">
      <c r="A1617" s="1">
        <v>78</v>
      </c>
      <c r="B1617" s="1">
        <v>2024</v>
      </c>
      <c r="C1617" s="3">
        <v>45611</v>
      </c>
      <c r="E1617" s="1" t="s">
        <v>52</v>
      </c>
      <c r="F1617" s="1" t="s">
        <v>43</v>
      </c>
      <c r="G1617" s="1" t="s">
        <v>390</v>
      </c>
      <c r="H1617" s="1" t="s">
        <v>390</v>
      </c>
      <c r="I1617" s="1" t="s">
        <v>394</v>
      </c>
      <c r="J1617" s="1" t="s">
        <v>395</v>
      </c>
      <c r="K1617" s="1" t="s">
        <v>399</v>
      </c>
    </row>
    <row r="1618" spans="1:11" x14ac:dyDescent="0.3">
      <c r="A1618" s="1">
        <v>78</v>
      </c>
      <c r="B1618" s="1">
        <v>2024</v>
      </c>
      <c r="C1618" s="3">
        <v>45611</v>
      </c>
      <c r="E1618" s="1" t="s">
        <v>53</v>
      </c>
      <c r="F1618" s="1" t="s">
        <v>43</v>
      </c>
      <c r="G1618" s="1" t="s">
        <v>397</v>
      </c>
      <c r="H1618" s="1" t="s">
        <v>397</v>
      </c>
      <c r="I1618" s="1" t="s">
        <v>358</v>
      </c>
      <c r="J1618" s="1" t="s">
        <v>407</v>
      </c>
      <c r="K1618" s="1" t="s">
        <v>440</v>
      </c>
    </row>
    <row r="1619" spans="1:11" x14ac:dyDescent="0.3">
      <c r="A1619" s="1">
        <v>78</v>
      </c>
      <c r="B1619" s="1">
        <v>2024</v>
      </c>
      <c r="C1619" s="3">
        <v>45611</v>
      </c>
      <c r="E1619" s="1" t="s">
        <v>54</v>
      </c>
      <c r="F1619" s="1" t="s">
        <v>40</v>
      </c>
      <c r="G1619" s="1" t="s">
        <v>415</v>
      </c>
      <c r="H1619" s="1" t="s">
        <v>415</v>
      </c>
      <c r="I1619" s="1" t="s">
        <v>401</v>
      </c>
      <c r="J1619" s="1" t="s">
        <v>403</v>
      </c>
      <c r="K1619" s="1" t="s">
        <v>403</v>
      </c>
    </row>
    <row r="1620" spans="1:11" x14ac:dyDescent="0.3">
      <c r="A1620" s="1">
        <v>78</v>
      </c>
      <c r="B1620" s="1">
        <v>2024</v>
      </c>
      <c r="C1620" s="3">
        <v>45611</v>
      </c>
      <c r="E1620" s="1" t="s">
        <v>56</v>
      </c>
      <c r="F1620" s="1" t="s">
        <v>43</v>
      </c>
      <c r="G1620" s="1" t="s">
        <v>394</v>
      </c>
      <c r="H1620" s="1" t="s">
        <v>394</v>
      </c>
      <c r="I1620" s="1" t="s">
        <v>394</v>
      </c>
      <c r="J1620" s="1" t="s">
        <v>394</v>
      </c>
      <c r="K1620" s="1" t="s">
        <v>394</v>
      </c>
    </row>
    <row r="1621" spans="1:11" x14ac:dyDescent="0.3">
      <c r="A1621" s="1">
        <v>78</v>
      </c>
      <c r="B1621" s="1">
        <v>2024</v>
      </c>
      <c r="C1621" s="3">
        <v>45611</v>
      </c>
      <c r="E1621" s="1" t="s">
        <v>57</v>
      </c>
      <c r="F1621" s="1" t="s">
        <v>40</v>
      </c>
      <c r="G1621" s="1" t="s">
        <v>390</v>
      </c>
      <c r="H1621" s="1" t="s">
        <v>390</v>
      </c>
      <c r="I1621" s="1" t="s">
        <v>370</v>
      </c>
      <c r="J1621" s="1" t="s">
        <v>441</v>
      </c>
      <c r="K1621" s="1" t="s">
        <v>390</v>
      </c>
    </row>
    <row r="1622" spans="1:11" x14ac:dyDescent="0.3">
      <c r="A1622" s="1">
        <v>78</v>
      </c>
      <c r="B1622" s="1">
        <v>2024</v>
      </c>
      <c r="C1622" s="3">
        <v>45611</v>
      </c>
      <c r="E1622" s="1" t="s">
        <v>58</v>
      </c>
      <c r="F1622" s="1" t="s">
        <v>40</v>
      </c>
      <c r="G1622" s="1" t="s">
        <v>358</v>
      </c>
      <c r="H1622" s="1" t="s">
        <v>393</v>
      </c>
      <c r="I1622" s="1" t="s">
        <v>358</v>
      </c>
      <c r="J1622" s="1" t="s">
        <v>399</v>
      </c>
      <c r="K1622" s="1" t="s">
        <v>358</v>
      </c>
    </row>
    <row r="1623" spans="1:11" x14ac:dyDescent="0.3">
      <c r="A1623" s="1">
        <v>78</v>
      </c>
      <c r="B1623" s="1">
        <v>2024</v>
      </c>
      <c r="C1623" s="3">
        <v>45611</v>
      </c>
      <c r="E1623" s="1" t="s">
        <v>59</v>
      </c>
      <c r="F1623" s="1" t="s">
        <v>45</v>
      </c>
      <c r="G1623" s="1" t="s">
        <v>393</v>
      </c>
      <c r="H1623" s="1" t="s">
        <v>390</v>
      </c>
      <c r="I1623" s="1" t="s">
        <v>393</v>
      </c>
      <c r="J1623" s="1" t="s">
        <v>398</v>
      </c>
      <c r="K1623" s="1" t="s">
        <v>393</v>
      </c>
    </row>
    <row r="1624" spans="1:11" x14ac:dyDescent="0.3">
      <c r="A1624" s="1">
        <v>78</v>
      </c>
      <c r="B1624" s="1">
        <v>2024</v>
      </c>
      <c r="C1624" s="3">
        <v>45611</v>
      </c>
      <c r="E1624" s="1" t="s">
        <v>60</v>
      </c>
      <c r="F1624" s="1" t="s">
        <v>61</v>
      </c>
      <c r="G1624" s="1" t="s">
        <v>409</v>
      </c>
      <c r="H1624" s="1" t="s">
        <v>409</v>
      </c>
      <c r="I1624" s="1" t="s">
        <v>409</v>
      </c>
      <c r="J1624" s="1" t="s">
        <v>409</v>
      </c>
      <c r="K1624" s="1" t="s">
        <v>409</v>
      </c>
    </row>
    <row r="1625" spans="1:11" x14ac:dyDescent="0.3">
      <c r="A1625" s="1">
        <v>78</v>
      </c>
      <c r="B1625" s="1">
        <v>2024</v>
      </c>
      <c r="C1625" s="3">
        <v>45611</v>
      </c>
      <c r="E1625" s="1" t="s">
        <v>63</v>
      </c>
      <c r="F1625" s="1" t="s">
        <v>40</v>
      </c>
      <c r="G1625" s="1" t="s">
        <v>394</v>
      </c>
      <c r="H1625" s="1" t="s">
        <v>394</v>
      </c>
      <c r="I1625" s="1" t="s">
        <v>386</v>
      </c>
      <c r="J1625" s="1" t="s">
        <v>370</v>
      </c>
      <c r="K1625" s="1" t="s">
        <v>434</v>
      </c>
    </row>
    <row r="1626" spans="1:11" x14ac:dyDescent="0.3">
      <c r="A1626" s="1">
        <v>78</v>
      </c>
      <c r="B1626" s="1">
        <v>2024</v>
      </c>
      <c r="C1626" s="3">
        <v>45611</v>
      </c>
      <c r="E1626" s="1" t="s">
        <v>64</v>
      </c>
      <c r="F1626" s="1" t="s">
        <v>40</v>
      </c>
      <c r="G1626" s="1" t="s">
        <v>393</v>
      </c>
      <c r="H1626" s="1" t="s">
        <v>393</v>
      </c>
      <c r="I1626" s="1" t="s">
        <v>386</v>
      </c>
      <c r="J1626" s="1" t="s">
        <v>358</v>
      </c>
      <c r="K1626" s="1" t="s">
        <v>396</v>
      </c>
    </row>
    <row r="1627" spans="1:11" x14ac:dyDescent="0.3">
      <c r="A1627" s="1">
        <v>78</v>
      </c>
      <c r="B1627" s="1">
        <v>2024</v>
      </c>
      <c r="C1627" s="3">
        <v>45611</v>
      </c>
      <c r="E1627" s="1" t="s">
        <v>66</v>
      </c>
      <c r="F1627" s="1" t="s">
        <v>45</v>
      </c>
    </row>
    <row r="1628" spans="1:11" x14ac:dyDescent="0.3">
      <c r="A1628" s="1">
        <v>78</v>
      </c>
      <c r="B1628" s="1">
        <v>2024</v>
      </c>
      <c r="C1628" s="3">
        <v>45611</v>
      </c>
      <c r="E1628" s="1" t="s">
        <v>67</v>
      </c>
      <c r="F1628" s="1" t="s">
        <v>45</v>
      </c>
    </row>
    <row r="1629" spans="1:11" x14ac:dyDescent="0.3">
      <c r="A1629" s="1">
        <v>78</v>
      </c>
      <c r="B1629" s="1">
        <v>2024</v>
      </c>
      <c r="C1629" s="3">
        <v>45611</v>
      </c>
      <c r="E1629" s="1" t="s">
        <v>68</v>
      </c>
      <c r="F1629" s="1" t="s">
        <v>45</v>
      </c>
    </row>
    <row r="1630" spans="1:11" x14ac:dyDescent="0.3">
      <c r="A1630" s="1">
        <v>78</v>
      </c>
      <c r="B1630" s="1">
        <v>2024</v>
      </c>
      <c r="C1630" s="3">
        <v>45611</v>
      </c>
      <c r="E1630" s="1" t="s">
        <v>69</v>
      </c>
      <c r="F1630" s="1" t="s">
        <v>45</v>
      </c>
      <c r="G1630" s="1" t="s">
        <v>358</v>
      </c>
      <c r="H1630" s="1" t="s">
        <v>358</v>
      </c>
      <c r="I1630" s="1" t="s">
        <v>358</v>
      </c>
      <c r="J1630" s="1" t="s">
        <v>358</v>
      </c>
      <c r="K1630" s="1" t="s">
        <v>358</v>
      </c>
    </row>
    <row r="1631" spans="1:11" x14ac:dyDescent="0.3">
      <c r="A1631" s="1">
        <v>78</v>
      </c>
      <c r="B1631" s="1">
        <v>2024</v>
      </c>
      <c r="C1631" s="3">
        <v>45611</v>
      </c>
      <c r="E1631" s="1" t="s">
        <v>70</v>
      </c>
      <c r="F1631" s="16" t="s">
        <v>71</v>
      </c>
    </row>
    <row r="1632" spans="1:11" x14ac:dyDescent="0.3">
      <c r="A1632" s="1">
        <v>80</v>
      </c>
      <c r="B1632" s="1">
        <v>2024</v>
      </c>
      <c r="C1632" s="3">
        <v>45618</v>
      </c>
      <c r="E1632" s="1" t="s">
        <v>12</v>
      </c>
      <c r="F1632" s="1" t="s">
        <v>13</v>
      </c>
      <c r="G1632" s="1" t="s">
        <v>360</v>
      </c>
      <c r="H1632" s="1" t="s">
        <v>360</v>
      </c>
      <c r="I1632" s="1" t="s">
        <v>360</v>
      </c>
      <c r="J1632" s="1" t="s">
        <v>360</v>
      </c>
      <c r="K1632" s="1" t="s">
        <v>360</v>
      </c>
    </row>
    <row r="1633" spans="1:11" x14ac:dyDescent="0.3">
      <c r="A1633" s="1">
        <v>80</v>
      </c>
      <c r="B1633" s="1">
        <v>2024</v>
      </c>
      <c r="C1633" s="3">
        <v>45618</v>
      </c>
      <c r="E1633" s="1" t="s">
        <v>14</v>
      </c>
      <c r="F1633" s="1" t="s">
        <v>13</v>
      </c>
      <c r="G1633" s="1" t="s">
        <v>361</v>
      </c>
      <c r="H1633" s="1" t="s">
        <v>361</v>
      </c>
      <c r="I1633" s="1" t="s">
        <v>361</v>
      </c>
      <c r="J1633" s="1" t="s">
        <v>361</v>
      </c>
      <c r="K1633" s="1" t="s">
        <v>361</v>
      </c>
    </row>
    <row r="1634" spans="1:11" x14ac:dyDescent="0.3">
      <c r="A1634" s="1">
        <v>80</v>
      </c>
      <c r="B1634" s="1">
        <v>2024</v>
      </c>
      <c r="C1634" s="3">
        <v>45618</v>
      </c>
      <c r="E1634" s="1" t="s">
        <v>15</v>
      </c>
      <c r="F1634" s="1" t="s">
        <v>13</v>
      </c>
      <c r="H1634" s="1" t="s">
        <v>357</v>
      </c>
      <c r="I1634" s="1" t="s">
        <v>358</v>
      </c>
      <c r="J1634" s="1" t="s">
        <v>442</v>
      </c>
      <c r="K1634" s="1" t="s">
        <v>393</v>
      </c>
    </row>
    <row r="1635" spans="1:11" x14ac:dyDescent="0.3">
      <c r="A1635" s="1">
        <v>80</v>
      </c>
      <c r="B1635" s="1">
        <v>2024</v>
      </c>
      <c r="C1635" s="3">
        <v>45618</v>
      </c>
      <c r="E1635" s="1" t="s">
        <v>16</v>
      </c>
      <c r="F1635" s="1" t="s">
        <v>13</v>
      </c>
      <c r="H1635" s="1" t="s">
        <v>362</v>
      </c>
      <c r="I1635" s="1" t="s">
        <v>358</v>
      </c>
      <c r="J1635" s="1" t="s">
        <v>363</v>
      </c>
      <c r="K1635" s="1" t="s">
        <v>430</v>
      </c>
    </row>
    <row r="1636" spans="1:11" x14ac:dyDescent="0.3">
      <c r="A1636" s="1">
        <v>80</v>
      </c>
      <c r="B1636" s="1">
        <v>2024</v>
      </c>
      <c r="C1636" s="3">
        <v>45618</v>
      </c>
      <c r="E1636" s="1" t="s">
        <v>17</v>
      </c>
      <c r="F1636" s="1" t="s">
        <v>13</v>
      </c>
      <c r="H1636" s="1" t="s">
        <v>430</v>
      </c>
      <c r="I1636" s="1" t="s">
        <v>358</v>
      </c>
      <c r="J1636" s="1" t="s">
        <v>357</v>
      </c>
      <c r="K1636" s="1" t="s">
        <v>357</v>
      </c>
    </row>
    <row r="1637" spans="1:11" x14ac:dyDescent="0.3">
      <c r="A1637" s="1">
        <v>80</v>
      </c>
      <c r="B1637" s="1">
        <v>2024</v>
      </c>
      <c r="C1637" s="3">
        <v>45618</v>
      </c>
      <c r="E1637" s="1" t="s">
        <v>18</v>
      </c>
      <c r="F1637" s="1" t="s">
        <v>13</v>
      </c>
      <c r="H1637" s="1" t="s">
        <v>416</v>
      </c>
      <c r="I1637" s="1" t="s">
        <v>360</v>
      </c>
      <c r="J1637" s="1" t="s">
        <v>418</v>
      </c>
      <c r="K1637" s="1" t="s">
        <v>418</v>
      </c>
    </row>
    <row r="1638" spans="1:11" x14ac:dyDescent="0.3">
      <c r="A1638" s="1">
        <v>80</v>
      </c>
      <c r="B1638" s="1">
        <v>2024</v>
      </c>
      <c r="C1638" s="3">
        <v>45618</v>
      </c>
      <c r="E1638" s="1" t="s">
        <v>19</v>
      </c>
      <c r="F1638" s="1" t="s">
        <v>13</v>
      </c>
      <c r="G1638" s="1" t="s">
        <v>359</v>
      </c>
      <c r="H1638" s="1" t="s">
        <v>417</v>
      </c>
      <c r="I1638" s="1" t="s">
        <v>416</v>
      </c>
      <c r="J1638" s="1" t="s">
        <v>416</v>
      </c>
    </row>
    <row r="1639" spans="1:11" x14ac:dyDescent="0.3">
      <c r="A1639" s="1">
        <v>80</v>
      </c>
      <c r="B1639" s="1">
        <v>2024</v>
      </c>
      <c r="C1639" s="3">
        <v>45618</v>
      </c>
      <c r="E1639" s="1" t="s">
        <v>20</v>
      </c>
      <c r="F1639" s="1" t="s">
        <v>13</v>
      </c>
      <c r="G1639" s="1" t="s">
        <v>360</v>
      </c>
      <c r="H1639" s="1" t="s">
        <v>360</v>
      </c>
      <c r="I1639" s="1" t="s">
        <v>417</v>
      </c>
      <c r="J1639" s="1" t="s">
        <v>443</v>
      </c>
      <c r="K1639" s="1" t="s">
        <v>360</v>
      </c>
    </row>
    <row r="1640" spans="1:11" x14ac:dyDescent="0.3">
      <c r="A1640" s="1">
        <v>80</v>
      </c>
      <c r="B1640" s="1">
        <v>2024</v>
      </c>
      <c r="C1640" s="3">
        <v>45618</v>
      </c>
      <c r="E1640" s="1" t="s">
        <v>21</v>
      </c>
      <c r="F1640" s="1" t="s">
        <v>13</v>
      </c>
      <c r="G1640" s="1" t="s">
        <v>366</v>
      </c>
      <c r="H1640" s="1" t="s">
        <v>367</v>
      </c>
      <c r="I1640" s="1" t="s">
        <v>366</v>
      </c>
      <c r="J1640" s="1" t="s">
        <v>373</v>
      </c>
      <c r="K1640" s="1" t="s">
        <v>366</v>
      </c>
    </row>
    <row r="1641" spans="1:11" x14ac:dyDescent="0.3">
      <c r="A1641" s="1">
        <v>80</v>
      </c>
      <c r="B1641" s="1">
        <v>2024</v>
      </c>
      <c r="C1641" s="3">
        <v>45618</v>
      </c>
      <c r="E1641" s="1" t="s">
        <v>73</v>
      </c>
      <c r="F1641" s="1" t="s">
        <v>13</v>
      </c>
      <c r="H1641" s="1" t="s">
        <v>370</v>
      </c>
      <c r="I1641" s="1" t="s">
        <v>417</v>
      </c>
      <c r="J1641" s="1" t="s">
        <v>443</v>
      </c>
      <c r="K1641" s="1" t="s">
        <v>443</v>
      </c>
    </row>
    <row r="1642" spans="1:11" x14ac:dyDescent="0.3">
      <c r="A1642" s="1">
        <v>80</v>
      </c>
      <c r="B1642" s="1">
        <v>2024</v>
      </c>
      <c r="C1642" s="3">
        <v>45618</v>
      </c>
      <c r="E1642" s="1" t="s">
        <v>23</v>
      </c>
      <c r="F1642" s="1" t="s">
        <v>13</v>
      </c>
      <c r="H1642" s="1" t="s">
        <v>366</v>
      </c>
      <c r="I1642" s="1" t="s">
        <v>358</v>
      </c>
      <c r="J1642" s="1" t="s">
        <v>397</v>
      </c>
      <c r="K1642" s="1" t="s">
        <v>430</v>
      </c>
    </row>
    <row r="1643" spans="1:11" x14ac:dyDescent="0.3">
      <c r="A1643" s="1">
        <v>80</v>
      </c>
      <c r="B1643" s="1">
        <v>2024</v>
      </c>
      <c r="C1643" s="3">
        <v>45618</v>
      </c>
      <c r="E1643" s="1" t="s">
        <v>24</v>
      </c>
      <c r="F1643" s="1" t="s">
        <v>13</v>
      </c>
      <c r="H1643" s="1" t="s">
        <v>360</v>
      </c>
      <c r="I1643" s="1" t="s">
        <v>361</v>
      </c>
      <c r="J1643" s="1" t="s">
        <v>417</v>
      </c>
      <c r="K1643" s="1" t="s">
        <v>417</v>
      </c>
    </row>
    <row r="1644" spans="1:11" x14ac:dyDescent="0.3">
      <c r="A1644" s="1">
        <v>80</v>
      </c>
      <c r="B1644" s="1">
        <v>2024</v>
      </c>
      <c r="C1644" s="3">
        <v>45618</v>
      </c>
      <c r="E1644" s="1" t="s">
        <v>25</v>
      </c>
      <c r="F1644" s="1" t="s">
        <v>26</v>
      </c>
      <c r="H1644" s="1" t="s">
        <v>358</v>
      </c>
      <c r="I1644" s="1" t="s">
        <v>417</v>
      </c>
      <c r="J1644" s="1" t="s">
        <v>370</v>
      </c>
      <c r="K1644" s="1" t="s">
        <v>360</v>
      </c>
    </row>
    <row r="1645" spans="1:11" x14ac:dyDescent="0.3">
      <c r="A1645" s="1">
        <v>80</v>
      </c>
      <c r="B1645" s="1">
        <v>2024</v>
      </c>
      <c r="C1645" s="3">
        <v>45618</v>
      </c>
      <c r="E1645" s="1" t="s">
        <v>27</v>
      </c>
      <c r="F1645" s="1" t="s">
        <v>13</v>
      </c>
      <c r="H1645" s="1" t="s">
        <v>397</v>
      </c>
      <c r="I1645" s="1" t="s">
        <v>358</v>
      </c>
      <c r="J1645" s="1" t="s">
        <v>393</v>
      </c>
      <c r="K1645" s="1" t="s">
        <v>393</v>
      </c>
    </row>
    <row r="1646" spans="1:11" x14ac:dyDescent="0.3">
      <c r="A1646" s="1">
        <v>80</v>
      </c>
      <c r="B1646" s="1">
        <v>2024</v>
      </c>
      <c r="C1646" s="3">
        <v>45618</v>
      </c>
      <c r="E1646" s="1" t="s">
        <v>28</v>
      </c>
      <c r="F1646" s="1" t="s">
        <v>13</v>
      </c>
      <c r="H1646" s="1" t="s">
        <v>366</v>
      </c>
      <c r="I1646" s="1" t="s">
        <v>430</v>
      </c>
      <c r="J1646" s="1" t="s">
        <v>362</v>
      </c>
      <c r="K1646" s="1" t="s">
        <v>362</v>
      </c>
    </row>
    <row r="1647" spans="1:11" x14ac:dyDescent="0.3">
      <c r="A1647" s="1">
        <v>80</v>
      </c>
      <c r="B1647" s="1">
        <v>2024</v>
      </c>
      <c r="C1647" s="3">
        <v>45618</v>
      </c>
      <c r="E1647" s="1" t="s">
        <v>29</v>
      </c>
      <c r="F1647" s="1" t="s">
        <v>13</v>
      </c>
      <c r="H1647" s="1" t="s">
        <v>363</v>
      </c>
      <c r="I1647" s="1" t="s">
        <v>358</v>
      </c>
      <c r="J1647" s="1" t="s">
        <v>428</v>
      </c>
      <c r="K1647" s="1" t="s">
        <v>359</v>
      </c>
    </row>
    <row r="1648" spans="1:11" x14ac:dyDescent="0.3">
      <c r="A1648" s="1">
        <v>80</v>
      </c>
      <c r="B1648" s="1">
        <v>2024</v>
      </c>
      <c r="C1648" s="3">
        <v>45618</v>
      </c>
      <c r="E1648" s="1" t="s">
        <v>31</v>
      </c>
      <c r="F1648" s="1" t="s">
        <v>32</v>
      </c>
      <c r="G1648" s="1" t="s">
        <v>378</v>
      </c>
      <c r="H1648" s="1" t="s">
        <v>378</v>
      </c>
      <c r="I1648" s="1" t="s">
        <v>378</v>
      </c>
      <c r="J1648" s="1" t="s">
        <v>378</v>
      </c>
      <c r="K1648" s="1" t="s">
        <v>378</v>
      </c>
    </row>
    <row r="1649" spans="1:11" x14ac:dyDescent="0.3">
      <c r="A1649" s="1">
        <v>80</v>
      </c>
      <c r="B1649" s="1">
        <v>2024</v>
      </c>
      <c r="C1649" s="3">
        <v>45618</v>
      </c>
      <c r="E1649" s="1" t="s">
        <v>34</v>
      </c>
      <c r="F1649" s="1" t="s">
        <v>35</v>
      </c>
      <c r="G1649" s="1" t="s">
        <v>382</v>
      </c>
      <c r="H1649" s="1" t="s">
        <v>382</v>
      </c>
      <c r="I1649" s="1" t="s">
        <v>382</v>
      </c>
      <c r="J1649" s="1" t="s">
        <v>382</v>
      </c>
      <c r="K1649" s="1" t="s">
        <v>382</v>
      </c>
    </row>
    <row r="1650" spans="1:11" x14ac:dyDescent="0.3">
      <c r="A1650" s="1">
        <v>80</v>
      </c>
      <c r="B1650" s="1">
        <v>2024</v>
      </c>
      <c r="C1650" s="3">
        <v>45618</v>
      </c>
      <c r="E1650" s="1" t="s">
        <v>36</v>
      </c>
      <c r="F1650" s="1" t="s">
        <v>35</v>
      </c>
      <c r="H1650" s="1" t="s">
        <v>419</v>
      </c>
      <c r="I1650" s="1" t="s">
        <v>388</v>
      </c>
      <c r="J1650" s="1" t="s">
        <v>362</v>
      </c>
      <c r="K1650" s="1" t="s">
        <v>362</v>
      </c>
    </row>
    <row r="1651" spans="1:11" x14ac:dyDescent="0.3">
      <c r="A1651" s="1">
        <v>80</v>
      </c>
      <c r="B1651" s="1">
        <v>2024</v>
      </c>
      <c r="C1651" s="3">
        <v>45618</v>
      </c>
      <c r="E1651" s="1" t="s">
        <v>153</v>
      </c>
      <c r="F1651" s="1" t="s">
        <v>154</v>
      </c>
      <c r="G1651" s="1" t="s">
        <v>386</v>
      </c>
      <c r="H1651" s="1" t="s">
        <v>385</v>
      </c>
      <c r="I1651" s="1" t="s">
        <v>386</v>
      </c>
      <c r="J1651" s="1" t="s">
        <v>444</v>
      </c>
      <c r="K1651" s="1" t="s">
        <v>386</v>
      </c>
    </row>
    <row r="1652" spans="1:11" x14ac:dyDescent="0.3">
      <c r="A1652" s="1">
        <v>80</v>
      </c>
      <c r="B1652" s="1">
        <v>2024</v>
      </c>
      <c r="C1652" s="3">
        <v>45618</v>
      </c>
      <c r="E1652" s="1" t="s">
        <v>39</v>
      </c>
      <c r="F1652" s="1" t="s">
        <v>40</v>
      </c>
      <c r="G1652" s="1" t="s">
        <v>393</v>
      </c>
      <c r="H1652" s="1" t="s">
        <v>388</v>
      </c>
      <c r="I1652" s="1" t="s">
        <v>393</v>
      </c>
      <c r="J1652" s="1" t="s">
        <v>390</v>
      </c>
      <c r="K1652" s="1" t="s">
        <v>393</v>
      </c>
    </row>
    <row r="1653" spans="1:11" x14ac:dyDescent="0.3">
      <c r="A1653" s="1">
        <v>80</v>
      </c>
      <c r="B1653" s="1">
        <v>2024</v>
      </c>
      <c r="C1653" s="3">
        <v>45618</v>
      </c>
      <c r="E1653" s="1" t="s">
        <v>42</v>
      </c>
      <c r="F1653" s="1" t="s">
        <v>43</v>
      </c>
      <c r="G1653" s="1" t="s">
        <v>390</v>
      </c>
      <c r="H1653" s="1" t="s">
        <v>390</v>
      </c>
      <c r="I1653" s="1" t="s">
        <v>370</v>
      </c>
      <c r="J1653" s="1" t="s">
        <v>445</v>
      </c>
      <c r="K1653" s="1" t="s">
        <v>394</v>
      </c>
    </row>
    <row r="1654" spans="1:11" x14ac:dyDescent="0.3">
      <c r="A1654" s="1">
        <v>80</v>
      </c>
      <c r="B1654" s="1">
        <v>2024</v>
      </c>
      <c r="C1654" s="3">
        <v>45618</v>
      </c>
      <c r="E1654" s="1" t="s">
        <v>44</v>
      </c>
      <c r="F1654" s="1" t="s">
        <v>45</v>
      </c>
      <c r="G1654" s="1" t="s">
        <v>393</v>
      </c>
      <c r="H1654" s="1" t="s">
        <v>393</v>
      </c>
      <c r="I1654" s="1" t="s">
        <v>396</v>
      </c>
      <c r="J1654" s="1" t="s">
        <v>428</v>
      </c>
      <c r="K1654" s="1" t="s">
        <v>393</v>
      </c>
    </row>
    <row r="1655" spans="1:11" x14ac:dyDescent="0.3">
      <c r="A1655" s="1">
        <v>80</v>
      </c>
      <c r="B1655" s="1">
        <v>2024</v>
      </c>
      <c r="C1655" s="3">
        <v>45618</v>
      </c>
      <c r="E1655" s="1" t="s">
        <v>48</v>
      </c>
      <c r="F1655" s="1" t="s">
        <v>45</v>
      </c>
      <c r="H1655" s="1" t="s">
        <v>405</v>
      </c>
      <c r="I1655" s="1" t="s">
        <v>401</v>
      </c>
      <c r="J1655" s="1" t="s">
        <v>446</v>
      </c>
      <c r="K1655" s="1" t="s">
        <v>446</v>
      </c>
    </row>
    <row r="1656" spans="1:11" x14ac:dyDescent="0.3">
      <c r="A1656" s="1">
        <v>80</v>
      </c>
      <c r="B1656" s="1">
        <v>2024</v>
      </c>
      <c r="C1656" s="3">
        <v>45618</v>
      </c>
      <c r="E1656" s="1" t="s">
        <v>49</v>
      </c>
      <c r="F1656" s="1" t="s">
        <v>50</v>
      </c>
      <c r="G1656" s="1" t="s">
        <v>358</v>
      </c>
      <c r="H1656" s="1" t="s">
        <v>393</v>
      </c>
      <c r="I1656" s="1" t="s">
        <v>370</v>
      </c>
      <c r="J1656" s="1" t="s">
        <v>447</v>
      </c>
      <c r="K1656" s="1" t="s">
        <v>358</v>
      </c>
    </row>
    <row r="1657" spans="1:11" x14ac:dyDescent="0.3">
      <c r="A1657" s="1">
        <v>80</v>
      </c>
      <c r="B1657" s="1">
        <v>2024</v>
      </c>
      <c r="C1657" s="3">
        <v>45618</v>
      </c>
      <c r="E1657" s="1" t="s">
        <v>52</v>
      </c>
      <c r="F1657" s="1" t="s">
        <v>43</v>
      </c>
      <c r="G1657" s="1" t="s">
        <v>370</v>
      </c>
      <c r="H1657" s="1" t="s">
        <v>393</v>
      </c>
      <c r="I1657" s="1" t="s">
        <v>370</v>
      </c>
      <c r="J1657" s="1" t="s">
        <v>421</v>
      </c>
      <c r="K1657" s="1" t="s">
        <v>358</v>
      </c>
    </row>
    <row r="1658" spans="1:11" x14ac:dyDescent="0.3">
      <c r="A1658" s="1">
        <v>80</v>
      </c>
      <c r="B1658" s="1">
        <v>2024</v>
      </c>
      <c r="C1658" s="3">
        <v>45618</v>
      </c>
      <c r="E1658" s="1" t="s">
        <v>53</v>
      </c>
      <c r="F1658" s="1" t="s">
        <v>43</v>
      </c>
      <c r="G1658" s="1" t="s">
        <v>393</v>
      </c>
      <c r="H1658" s="1" t="s">
        <v>388</v>
      </c>
      <c r="I1658" s="1" t="s">
        <v>393</v>
      </c>
      <c r="J1658" s="1" t="s">
        <v>437</v>
      </c>
      <c r="K1658" s="1" t="s">
        <v>390</v>
      </c>
    </row>
    <row r="1659" spans="1:11" x14ac:dyDescent="0.3">
      <c r="A1659" s="1">
        <v>80</v>
      </c>
      <c r="B1659" s="1">
        <v>2024</v>
      </c>
      <c r="C1659" s="3">
        <v>45618</v>
      </c>
      <c r="E1659" s="1" t="s">
        <v>54</v>
      </c>
      <c r="F1659" s="1" t="s">
        <v>40</v>
      </c>
      <c r="G1659" s="1" t="s">
        <v>415</v>
      </c>
      <c r="H1659" s="1" t="s">
        <v>386</v>
      </c>
      <c r="I1659" s="1" t="s">
        <v>415</v>
      </c>
      <c r="J1659" s="1" t="s">
        <v>448</v>
      </c>
      <c r="K1659" s="1" t="s">
        <v>415</v>
      </c>
    </row>
    <row r="1660" spans="1:11" x14ac:dyDescent="0.3">
      <c r="A1660" s="1">
        <v>80</v>
      </c>
      <c r="B1660" s="1">
        <v>2024</v>
      </c>
      <c r="C1660" s="3">
        <v>45618</v>
      </c>
      <c r="E1660" s="1" t="s">
        <v>56</v>
      </c>
      <c r="F1660" s="1" t="s">
        <v>43</v>
      </c>
      <c r="H1660" s="1" t="s">
        <v>393</v>
      </c>
      <c r="I1660" s="1" t="s">
        <v>370</v>
      </c>
      <c r="J1660" s="1" t="s">
        <v>358</v>
      </c>
      <c r="K1660" s="1" t="s">
        <v>358</v>
      </c>
    </row>
    <row r="1661" spans="1:11" x14ac:dyDescent="0.3">
      <c r="A1661" s="1">
        <v>80</v>
      </c>
      <c r="B1661" s="1">
        <v>2024</v>
      </c>
      <c r="C1661" s="3">
        <v>45618</v>
      </c>
      <c r="E1661" s="1" t="s">
        <v>57</v>
      </c>
      <c r="F1661" s="1" t="s">
        <v>40</v>
      </c>
      <c r="G1661" s="1" t="s">
        <v>393</v>
      </c>
      <c r="H1661" s="1" t="s">
        <v>388</v>
      </c>
      <c r="I1661" s="1" t="s">
        <v>393</v>
      </c>
      <c r="J1661" s="1" t="s">
        <v>449</v>
      </c>
      <c r="K1661" s="1" t="s">
        <v>390</v>
      </c>
    </row>
    <row r="1662" spans="1:11" x14ac:dyDescent="0.3">
      <c r="A1662" s="1">
        <v>80</v>
      </c>
      <c r="B1662" s="1">
        <v>2024</v>
      </c>
      <c r="C1662" s="3">
        <v>45618</v>
      </c>
      <c r="E1662" s="1" t="s">
        <v>58</v>
      </c>
      <c r="F1662" s="1" t="s">
        <v>40</v>
      </c>
      <c r="G1662" s="1" t="s">
        <v>393</v>
      </c>
      <c r="H1662" s="1" t="s">
        <v>397</v>
      </c>
      <c r="I1662" s="1" t="s">
        <v>370</v>
      </c>
      <c r="J1662" s="1" t="s">
        <v>359</v>
      </c>
      <c r="K1662" s="1" t="s">
        <v>393</v>
      </c>
    </row>
    <row r="1663" spans="1:11" x14ac:dyDescent="0.3">
      <c r="A1663" s="1">
        <v>80</v>
      </c>
      <c r="B1663" s="1">
        <v>2024</v>
      </c>
      <c r="C1663" s="3">
        <v>45618</v>
      </c>
      <c r="E1663" s="1" t="s">
        <v>59</v>
      </c>
      <c r="F1663" s="1" t="s">
        <v>45</v>
      </c>
      <c r="G1663" s="1" t="s">
        <v>393</v>
      </c>
      <c r="H1663" s="1" t="s">
        <v>397</v>
      </c>
      <c r="I1663" s="1" t="s">
        <v>396</v>
      </c>
      <c r="J1663" s="1" t="s">
        <v>450</v>
      </c>
      <c r="K1663" s="1" t="s">
        <v>393</v>
      </c>
    </row>
    <row r="1664" spans="1:11" x14ac:dyDescent="0.3">
      <c r="A1664" s="1">
        <v>80</v>
      </c>
      <c r="B1664" s="1">
        <v>2024</v>
      </c>
      <c r="C1664" s="3">
        <v>45618</v>
      </c>
      <c r="E1664" s="1" t="s">
        <v>60</v>
      </c>
      <c r="F1664" s="1" t="s">
        <v>61</v>
      </c>
      <c r="G1664" s="1" t="s">
        <v>451</v>
      </c>
      <c r="H1664" s="1" t="s">
        <v>401</v>
      </c>
      <c r="I1664" s="1" t="s">
        <v>409</v>
      </c>
      <c r="J1664" s="1" t="s">
        <v>452</v>
      </c>
      <c r="K1664" s="1" t="s">
        <v>451</v>
      </c>
    </row>
    <row r="1665" spans="1:11" x14ac:dyDescent="0.3">
      <c r="A1665" s="1">
        <v>80</v>
      </c>
      <c r="B1665" s="1">
        <v>2024</v>
      </c>
      <c r="C1665" s="3">
        <v>45618</v>
      </c>
      <c r="E1665" s="1" t="s">
        <v>63</v>
      </c>
      <c r="F1665" s="1" t="s">
        <v>40</v>
      </c>
      <c r="G1665" s="1" t="s">
        <v>386</v>
      </c>
      <c r="H1665" s="1" t="s">
        <v>394</v>
      </c>
      <c r="I1665" s="1" t="s">
        <v>415</v>
      </c>
      <c r="J1665" s="1" t="s">
        <v>453</v>
      </c>
      <c r="K1665" s="1" t="s">
        <v>386</v>
      </c>
    </row>
    <row r="1666" spans="1:11" x14ac:dyDescent="0.3">
      <c r="A1666" s="1">
        <v>80</v>
      </c>
      <c r="B1666" s="1">
        <v>2024</v>
      </c>
      <c r="C1666" s="3">
        <v>45618</v>
      </c>
      <c r="E1666" s="1" t="s">
        <v>64</v>
      </c>
      <c r="F1666" s="1" t="s">
        <v>40</v>
      </c>
      <c r="G1666" s="1" t="s">
        <v>393</v>
      </c>
      <c r="H1666" s="1" t="s">
        <v>393</v>
      </c>
      <c r="I1666" s="1" t="s">
        <v>370</v>
      </c>
      <c r="J1666" s="1" t="s">
        <v>399</v>
      </c>
      <c r="K1666" s="1" t="s">
        <v>396</v>
      </c>
    </row>
    <row r="1667" spans="1:11" x14ac:dyDescent="0.3">
      <c r="A1667" s="1">
        <v>80</v>
      </c>
      <c r="B1667" s="1">
        <v>2024</v>
      </c>
      <c r="C1667" s="3">
        <v>45618</v>
      </c>
      <c r="E1667" s="1" t="s">
        <v>66</v>
      </c>
      <c r="F1667" s="1" t="s">
        <v>45</v>
      </c>
    </row>
    <row r="1668" spans="1:11" x14ac:dyDescent="0.3">
      <c r="A1668" s="1">
        <v>80</v>
      </c>
      <c r="B1668" s="1">
        <v>2024</v>
      </c>
      <c r="C1668" s="3">
        <v>45618</v>
      </c>
      <c r="E1668" s="1" t="s">
        <v>67</v>
      </c>
      <c r="F1668" s="1" t="s">
        <v>45</v>
      </c>
    </row>
    <row r="1669" spans="1:11" x14ac:dyDescent="0.3">
      <c r="A1669" s="1">
        <v>80</v>
      </c>
      <c r="B1669" s="1">
        <v>2024</v>
      </c>
      <c r="C1669" s="3">
        <v>45618</v>
      </c>
      <c r="E1669" s="1" t="s">
        <v>68</v>
      </c>
      <c r="F1669" s="1" t="s">
        <v>45</v>
      </c>
    </row>
    <row r="1670" spans="1:11" x14ac:dyDescent="0.3">
      <c r="A1670" s="1">
        <v>80</v>
      </c>
      <c r="B1670" s="1">
        <v>2024</v>
      </c>
      <c r="C1670" s="3">
        <v>45618</v>
      </c>
      <c r="E1670" s="1" t="s">
        <v>69</v>
      </c>
      <c r="F1670" s="1" t="s">
        <v>45</v>
      </c>
      <c r="H1670" s="1" t="s">
        <v>393</v>
      </c>
      <c r="I1670" s="1" t="s">
        <v>393</v>
      </c>
      <c r="J1670" s="1" t="s">
        <v>393</v>
      </c>
      <c r="K1670" s="1" t="s">
        <v>393</v>
      </c>
    </row>
    <row r="1671" spans="1:11" x14ac:dyDescent="0.3">
      <c r="A1671" s="1">
        <v>80</v>
      </c>
      <c r="B1671" s="1">
        <v>2024</v>
      </c>
      <c r="C1671" s="3">
        <v>45618</v>
      </c>
      <c r="E1671" s="1" t="s">
        <v>70</v>
      </c>
      <c r="F1671" s="16" t="s">
        <v>71</v>
      </c>
    </row>
    <row r="1672" spans="1:11" x14ac:dyDescent="0.3">
      <c r="A1672" s="1">
        <v>81</v>
      </c>
      <c r="B1672" s="1">
        <v>2024</v>
      </c>
      <c r="C1672" s="3">
        <v>45632</v>
      </c>
      <c r="E1672" s="1" t="s">
        <v>12</v>
      </c>
      <c r="F1672" s="1" t="s">
        <v>13</v>
      </c>
      <c r="G1672" s="1" t="s">
        <v>430</v>
      </c>
      <c r="H1672" s="1" t="s">
        <v>430</v>
      </c>
      <c r="I1672" s="1" t="s">
        <v>357</v>
      </c>
      <c r="J1672" s="1" t="s">
        <v>454</v>
      </c>
      <c r="K1672" s="1" t="s">
        <v>430</v>
      </c>
    </row>
    <row r="1673" spans="1:11" x14ac:dyDescent="0.3">
      <c r="A1673" s="1">
        <v>81</v>
      </c>
      <c r="B1673" s="1">
        <v>2024</v>
      </c>
      <c r="C1673" s="3">
        <v>45632</v>
      </c>
      <c r="E1673" s="1" t="s">
        <v>14</v>
      </c>
      <c r="F1673" s="1" t="s">
        <v>13</v>
      </c>
      <c r="G1673" s="1" t="s">
        <v>361</v>
      </c>
      <c r="H1673" s="1" t="s">
        <v>358</v>
      </c>
      <c r="I1673" s="1" t="s">
        <v>361</v>
      </c>
      <c r="J1673" s="1" t="s">
        <v>385</v>
      </c>
      <c r="K1673" s="1" t="s">
        <v>417</v>
      </c>
    </row>
    <row r="1674" spans="1:11" x14ac:dyDescent="0.3">
      <c r="A1674" s="1">
        <v>81</v>
      </c>
      <c r="B1674" s="1">
        <v>2024</v>
      </c>
      <c r="C1674" s="3">
        <v>45632</v>
      </c>
      <c r="E1674" s="1" t="s">
        <v>15</v>
      </c>
      <c r="F1674" s="1" t="s">
        <v>13</v>
      </c>
      <c r="H1674" s="1" t="s">
        <v>362</v>
      </c>
      <c r="I1674" s="1" t="s">
        <v>358</v>
      </c>
      <c r="J1674" s="1" t="s">
        <v>390</v>
      </c>
      <c r="K1674" s="1" t="s">
        <v>390</v>
      </c>
    </row>
    <row r="1675" spans="1:11" x14ac:dyDescent="0.3">
      <c r="A1675" s="1">
        <v>81</v>
      </c>
      <c r="B1675" s="1">
        <v>2024</v>
      </c>
      <c r="C1675" s="3">
        <v>45632</v>
      </c>
      <c r="E1675" s="1" t="s">
        <v>16</v>
      </c>
      <c r="F1675" s="1" t="s">
        <v>13</v>
      </c>
      <c r="G1675" s="1" t="s">
        <v>362</v>
      </c>
      <c r="H1675" s="1" t="s">
        <v>362</v>
      </c>
      <c r="I1675" s="1" t="s">
        <v>430</v>
      </c>
      <c r="J1675" s="1" t="s">
        <v>455</v>
      </c>
      <c r="K1675" s="1" t="s">
        <v>362</v>
      </c>
    </row>
    <row r="1676" spans="1:11" x14ac:dyDescent="0.3">
      <c r="A1676" s="1">
        <v>81</v>
      </c>
      <c r="B1676" s="1">
        <v>2024</v>
      </c>
      <c r="C1676" s="3">
        <v>45632</v>
      </c>
      <c r="E1676" s="1" t="s">
        <v>17</v>
      </c>
      <c r="F1676" s="1" t="s">
        <v>13</v>
      </c>
      <c r="G1676" s="1" t="s">
        <v>362</v>
      </c>
      <c r="H1676" s="1" t="s">
        <v>362</v>
      </c>
      <c r="I1676" s="1" t="s">
        <v>430</v>
      </c>
      <c r="J1676" s="1" t="s">
        <v>455</v>
      </c>
      <c r="K1676" s="1" t="s">
        <v>362</v>
      </c>
    </row>
    <row r="1677" spans="1:11" x14ac:dyDescent="0.3">
      <c r="A1677" s="1">
        <v>81</v>
      </c>
      <c r="B1677" s="1">
        <v>2024</v>
      </c>
      <c r="C1677" s="3">
        <v>45632</v>
      </c>
      <c r="E1677" s="1" t="s">
        <v>18</v>
      </c>
      <c r="F1677" s="1" t="s">
        <v>13</v>
      </c>
      <c r="G1677" s="1" t="s">
        <v>358</v>
      </c>
      <c r="H1677" s="1" t="s">
        <v>358</v>
      </c>
      <c r="I1677" s="1" t="s">
        <v>416</v>
      </c>
      <c r="J1677" s="1" t="s">
        <v>456</v>
      </c>
      <c r="K1677" s="1" t="s">
        <v>358</v>
      </c>
    </row>
    <row r="1678" spans="1:11" x14ac:dyDescent="0.3">
      <c r="A1678" s="1">
        <v>81</v>
      </c>
      <c r="B1678" s="1">
        <v>2024</v>
      </c>
      <c r="C1678" s="3">
        <v>45632</v>
      </c>
      <c r="E1678" s="1" t="s">
        <v>19</v>
      </c>
      <c r="F1678" s="1" t="s">
        <v>13</v>
      </c>
      <c r="G1678" s="1" t="s">
        <v>361</v>
      </c>
      <c r="H1678" s="1" t="s">
        <v>357</v>
      </c>
      <c r="I1678" s="1" t="s">
        <v>360</v>
      </c>
      <c r="J1678" s="1" t="s">
        <v>457</v>
      </c>
      <c r="K1678" s="1" t="s">
        <v>458</v>
      </c>
    </row>
    <row r="1679" spans="1:11" x14ac:dyDescent="0.3">
      <c r="A1679" s="1">
        <v>81</v>
      </c>
      <c r="B1679" s="1">
        <v>2024</v>
      </c>
      <c r="C1679" s="3">
        <v>45632</v>
      </c>
      <c r="E1679" s="1" t="s">
        <v>20</v>
      </c>
      <c r="F1679" s="1" t="s">
        <v>13</v>
      </c>
      <c r="H1679" s="1" t="s">
        <v>360</v>
      </c>
      <c r="I1679" s="1" t="s">
        <v>361</v>
      </c>
      <c r="J1679" s="1" t="s">
        <v>417</v>
      </c>
      <c r="K1679" s="1" t="s">
        <v>417</v>
      </c>
    </row>
    <row r="1680" spans="1:11" x14ac:dyDescent="0.3">
      <c r="A1680" s="1">
        <v>81</v>
      </c>
      <c r="B1680" s="1">
        <v>2024</v>
      </c>
      <c r="C1680" s="3">
        <v>45632</v>
      </c>
      <c r="E1680" s="1" t="s">
        <v>21</v>
      </c>
      <c r="F1680" s="1" t="s">
        <v>13</v>
      </c>
      <c r="G1680" s="1" t="s">
        <v>366</v>
      </c>
      <c r="H1680" s="1" t="s">
        <v>382</v>
      </c>
      <c r="I1680" s="1" t="s">
        <v>366</v>
      </c>
      <c r="J1680" s="1" t="s">
        <v>459</v>
      </c>
      <c r="K1680" s="1" t="s">
        <v>366</v>
      </c>
    </row>
    <row r="1681" spans="1:11" x14ac:dyDescent="0.3">
      <c r="A1681" s="1">
        <v>81</v>
      </c>
      <c r="B1681" s="1">
        <v>2024</v>
      </c>
      <c r="C1681" s="3">
        <v>45632</v>
      </c>
      <c r="E1681" s="1" t="s">
        <v>73</v>
      </c>
      <c r="F1681" s="1" t="s">
        <v>13</v>
      </c>
      <c r="G1681" s="1" t="s">
        <v>360</v>
      </c>
      <c r="H1681" s="1" t="s">
        <v>360</v>
      </c>
      <c r="I1681" s="1" t="s">
        <v>417</v>
      </c>
      <c r="J1681" s="1" t="s">
        <v>385</v>
      </c>
      <c r="K1681" s="1" t="s">
        <v>385</v>
      </c>
    </row>
    <row r="1682" spans="1:11" x14ac:dyDescent="0.3">
      <c r="A1682" s="1">
        <v>81</v>
      </c>
      <c r="B1682" s="1">
        <v>2024</v>
      </c>
      <c r="C1682" s="3">
        <v>45632</v>
      </c>
      <c r="E1682" s="1" t="s">
        <v>23</v>
      </c>
      <c r="F1682" s="1" t="s">
        <v>13</v>
      </c>
      <c r="G1682" s="1" t="s">
        <v>362</v>
      </c>
      <c r="H1682" s="1" t="s">
        <v>362</v>
      </c>
      <c r="I1682" s="1" t="s">
        <v>430</v>
      </c>
      <c r="J1682" s="1" t="s">
        <v>455</v>
      </c>
      <c r="K1682" s="1" t="s">
        <v>362</v>
      </c>
    </row>
    <row r="1683" spans="1:11" x14ac:dyDescent="0.3">
      <c r="A1683" s="1">
        <v>81</v>
      </c>
      <c r="B1683" s="1">
        <v>2024</v>
      </c>
      <c r="C1683" s="3">
        <v>45632</v>
      </c>
      <c r="E1683" s="1" t="s">
        <v>24</v>
      </c>
      <c r="F1683" s="1" t="s">
        <v>13</v>
      </c>
      <c r="G1683" s="1" t="s">
        <v>358</v>
      </c>
      <c r="H1683" s="1" t="s">
        <v>358</v>
      </c>
      <c r="I1683" s="1" t="s">
        <v>358</v>
      </c>
      <c r="J1683" s="1" t="s">
        <v>358</v>
      </c>
      <c r="K1683" s="1" t="s">
        <v>358</v>
      </c>
    </row>
    <row r="1684" spans="1:11" x14ac:dyDescent="0.3">
      <c r="A1684" s="1">
        <v>81</v>
      </c>
      <c r="B1684" s="1">
        <v>2024</v>
      </c>
      <c r="C1684" s="3">
        <v>45632</v>
      </c>
      <c r="E1684" s="1" t="s">
        <v>25</v>
      </c>
      <c r="F1684" s="1" t="s">
        <v>26</v>
      </c>
      <c r="G1684" s="1" t="s">
        <v>358</v>
      </c>
      <c r="H1684" s="1" t="s">
        <v>357</v>
      </c>
      <c r="I1684" s="1" t="s">
        <v>358</v>
      </c>
      <c r="J1684" s="1" t="s">
        <v>458</v>
      </c>
      <c r="K1684" s="1" t="s">
        <v>358</v>
      </c>
    </row>
    <row r="1685" spans="1:11" x14ac:dyDescent="0.3">
      <c r="A1685" s="1">
        <v>81</v>
      </c>
      <c r="B1685" s="1">
        <v>2024</v>
      </c>
      <c r="C1685" s="3">
        <v>45632</v>
      </c>
      <c r="E1685" s="1" t="s">
        <v>27</v>
      </c>
      <c r="F1685" s="1" t="s">
        <v>13</v>
      </c>
      <c r="G1685" s="1" t="s">
        <v>360</v>
      </c>
      <c r="H1685" s="1" t="s">
        <v>357</v>
      </c>
      <c r="I1685" s="1" t="s">
        <v>360</v>
      </c>
      <c r="J1685" s="1" t="s">
        <v>375</v>
      </c>
      <c r="K1685" s="1" t="s">
        <v>416</v>
      </c>
    </row>
    <row r="1686" spans="1:11" x14ac:dyDescent="0.3">
      <c r="A1686" s="1">
        <v>81</v>
      </c>
      <c r="B1686" s="1">
        <v>2024</v>
      </c>
      <c r="C1686" s="3">
        <v>45632</v>
      </c>
      <c r="E1686" s="1" t="s">
        <v>28</v>
      </c>
      <c r="F1686" s="1" t="s">
        <v>13</v>
      </c>
      <c r="G1686" s="1" t="s">
        <v>362</v>
      </c>
      <c r="H1686" s="1" t="s">
        <v>362</v>
      </c>
      <c r="I1686" s="1" t="s">
        <v>430</v>
      </c>
      <c r="J1686" s="1" t="s">
        <v>365</v>
      </c>
      <c r="K1686" s="1" t="s">
        <v>365</v>
      </c>
    </row>
    <row r="1687" spans="1:11" x14ac:dyDescent="0.3">
      <c r="A1687" s="1">
        <v>81</v>
      </c>
      <c r="B1687" s="1">
        <v>2024</v>
      </c>
      <c r="C1687" s="3">
        <v>45632</v>
      </c>
      <c r="E1687" s="1" t="s">
        <v>29</v>
      </c>
      <c r="F1687" s="1" t="s">
        <v>13</v>
      </c>
      <c r="G1687" s="1" t="s">
        <v>357</v>
      </c>
      <c r="H1687" s="1" t="s">
        <v>357</v>
      </c>
      <c r="I1687" s="1" t="s">
        <v>359</v>
      </c>
      <c r="J1687" s="1" t="s">
        <v>439</v>
      </c>
      <c r="K1687" s="1" t="s">
        <v>357</v>
      </c>
    </row>
    <row r="1688" spans="1:11" x14ac:dyDescent="0.3">
      <c r="A1688" s="1">
        <v>81</v>
      </c>
      <c r="B1688" s="1">
        <v>2024</v>
      </c>
      <c r="C1688" s="3">
        <v>45632</v>
      </c>
      <c r="E1688" s="1" t="s">
        <v>31</v>
      </c>
      <c r="F1688" s="1" t="s">
        <v>32</v>
      </c>
      <c r="G1688" s="1" t="s">
        <v>378</v>
      </c>
      <c r="H1688" s="1" t="s">
        <v>460</v>
      </c>
      <c r="I1688" s="1" t="s">
        <v>378</v>
      </c>
      <c r="J1688" s="1" t="s">
        <v>461</v>
      </c>
      <c r="K1688" s="1" t="s">
        <v>378</v>
      </c>
    </row>
    <row r="1689" spans="1:11" x14ac:dyDescent="0.3">
      <c r="A1689" s="1">
        <v>81</v>
      </c>
      <c r="B1689" s="1">
        <v>2024</v>
      </c>
      <c r="C1689" s="3">
        <v>45632</v>
      </c>
      <c r="E1689" s="1" t="s">
        <v>34</v>
      </c>
      <c r="F1689" s="1" t="s">
        <v>35</v>
      </c>
      <c r="G1689" s="1" t="s">
        <v>379</v>
      </c>
      <c r="H1689" s="1" t="s">
        <v>379</v>
      </c>
      <c r="I1689" s="1" t="s">
        <v>382</v>
      </c>
      <c r="J1689" s="1" t="s">
        <v>462</v>
      </c>
      <c r="K1689" s="1" t="s">
        <v>463</v>
      </c>
    </row>
    <row r="1690" spans="1:11" x14ac:dyDescent="0.3">
      <c r="A1690" s="1">
        <v>81</v>
      </c>
      <c r="B1690" s="1">
        <v>2024</v>
      </c>
      <c r="C1690" s="3">
        <v>45632</v>
      </c>
      <c r="E1690" s="1" t="s">
        <v>36</v>
      </c>
      <c r="F1690" s="1" t="s">
        <v>35</v>
      </c>
      <c r="G1690" s="1" t="s">
        <v>382</v>
      </c>
      <c r="H1690" s="1" t="s">
        <v>382</v>
      </c>
      <c r="I1690" s="1" t="s">
        <v>362</v>
      </c>
      <c r="J1690" s="1" t="s">
        <v>419</v>
      </c>
      <c r="K1690" s="1" t="s">
        <v>419</v>
      </c>
    </row>
    <row r="1691" spans="1:11" x14ac:dyDescent="0.3">
      <c r="A1691" s="1">
        <v>81</v>
      </c>
      <c r="B1691" s="1">
        <v>2024</v>
      </c>
      <c r="C1691" s="3">
        <v>45632</v>
      </c>
      <c r="E1691" s="1" t="s">
        <v>153</v>
      </c>
      <c r="F1691" s="1" t="s">
        <v>154</v>
      </c>
      <c r="H1691" s="1" t="s">
        <v>370</v>
      </c>
      <c r="I1691" s="1" t="s">
        <v>370</v>
      </c>
      <c r="J1691" s="1" t="s">
        <v>370</v>
      </c>
      <c r="K1691" s="1" t="s">
        <v>370</v>
      </c>
    </row>
    <row r="1692" spans="1:11" x14ac:dyDescent="0.3">
      <c r="A1692" s="1">
        <v>81</v>
      </c>
      <c r="B1692" s="1">
        <v>2024</v>
      </c>
      <c r="C1692" s="3">
        <v>45632</v>
      </c>
      <c r="E1692" s="1" t="s">
        <v>39</v>
      </c>
      <c r="F1692" s="1" t="s">
        <v>40</v>
      </c>
      <c r="G1692" s="1" t="s">
        <v>397</v>
      </c>
      <c r="H1692" s="1" t="s">
        <v>362</v>
      </c>
      <c r="I1692" s="1" t="s">
        <v>358</v>
      </c>
      <c r="J1692" s="1" t="s">
        <v>464</v>
      </c>
      <c r="K1692" s="1" t="s">
        <v>440</v>
      </c>
    </row>
    <row r="1693" spans="1:11" x14ac:dyDescent="0.3">
      <c r="A1693" s="1">
        <v>81</v>
      </c>
      <c r="B1693" s="1">
        <v>2024</v>
      </c>
      <c r="C1693" s="3">
        <v>45632</v>
      </c>
      <c r="E1693" s="1" t="s">
        <v>42</v>
      </c>
      <c r="F1693" s="1" t="s">
        <v>43</v>
      </c>
      <c r="G1693" s="1" t="s">
        <v>370</v>
      </c>
      <c r="H1693" s="1" t="s">
        <v>362</v>
      </c>
      <c r="I1693" s="1" t="s">
        <v>370</v>
      </c>
      <c r="J1693" s="1" t="s">
        <v>441</v>
      </c>
      <c r="K1693" s="1" t="s">
        <v>396</v>
      </c>
    </row>
    <row r="1694" spans="1:11" x14ac:dyDescent="0.3">
      <c r="A1694" s="1">
        <v>81</v>
      </c>
      <c r="B1694" s="1">
        <v>2024</v>
      </c>
      <c r="C1694" s="3">
        <v>45632</v>
      </c>
      <c r="E1694" s="1" t="s">
        <v>44</v>
      </c>
      <c r="F1694" s="1" t="s">
        <v>45</v>
      </c>
      <c r="G1694" s="1" t="s">
        <v>397</v>
      </c>
      <c r="H1694" s="1" t="s">
        <v>397</v>
      </c>
      <c r="I1694" s="1" t="s">
        <v>358</v>
      </c>
      <c r="J1694" s="1" t="s">
        <v>465</v>
      </c>
      <c r="K1694" s="1" t="s">
        <v>390</v>
      </c>
    </row>
    <row r="1695" spans="1:11" x14ac:dyDescent="0.3">
      <c r="A1695" s="1">
        <v>81</v>
      </c>
      <c r="B1695" s="1">
        <v>2024</v>
      </c>
      <c r="C1695" s="3">
        <v>45632</v>
      </c>
      <c r="E1695" s="1" t="s">
        <v>48</v>
      </c>
      <c r="F1695" s="1" t="s">
        <v>45</v>
      </c>
      <c r="H1695" s="1" t="s">
        <v>386</v>
      </c>
      <c r="I1695" s="1" t="s">
        <v>386</v>
      </c>
      <c r="J1695" s="1" t="s">
        <v>386</v>
      </c>
      <c r="K1695" s="1" t="s">
        <v>386</v>
      </c>
    </row>
    <row r="1696" spans="1:11" x14ac:dyDescent="0.3">
      <c r="A1696" s="1">
        <v>81</v>
      </c>
      <c r="B1696" s="1">
        <v>2024</v>
      </c>
      <c r="C1696" s="3">
        <v>45632</v>
      </c>
      <c r="E1696" s="1" t="s">
        <v>49</v>
      </c>
      <c r="F1696" s="1" t="s">
        <v>50</v>
      </c>
      <c r="G1696" s="1" t="s">
        <v>358</v>
      </c>
      <c r="H1696" s="1" t="s">
        <v>396</v>
      </c>
      <c r="I1696" s="1" t="s">
        <v>358</v>
      </c>
      <c r="J1696" s="1" t="s">
        <v>466</v>
      </c>
      <c r="K1696" s="1" t="s">
        <v>358</v>
      </c>
    </row>
    <row r="1697" spans="1:11" x14ac:dyDescent="0.3">
      <c r="A1697" s="1">
        <v>81</v>
      </c>
      <c r="B1697" s="1">
        <v>2024</v>
      </c>
      <c r="C1697" s="3">
        <v>45632</v>
      </c>
      <c r="E1697" s="1" t="s">
        <v>52</v>
      </c>
      <c r="F1697" s="1" t="s">
        <v>43</v>
      </c>
      <c r="G1697" s="1" t="s">
        <v>358</v>
      </c>
      <c r="H1697" s="1" t="s">
        <v>397</v>
      </c>
      <c r="I1697" s="1" t="s">
        <v>370</v>
      </c>
      <c r="J1697" s="1" t="s">
        <v>441</v>
      </c>
      <c r="K1697" s="1" t="s">
        <v>396</v>
      </c>
    </row>
    <row r="1698" spans="1:11" x14ac:dyDescent="0.3">
      <c r="A1698" s="1">
        <v>81</v>
      </c>
      <c r="B1698" s="1">
        <v>2024</v>
      </c>
      <c r="C1698" s="3">
        <v>45632</v>
      </c>
      <c r="E1698" s="1" t="s">
        <v>53</v>
      </c>
      <c r="F1698" s="1" t="s">
        <v>43</v>
      </c>
      <c r="G1698" s="1" t="s">
        <v>397</v>
      </c>
      <c r="H1698" s="1" t="s">
        <v>382</v>
      </c>
      <c r="I1698" s="1" t="s">
        <v>397</v>
      </c>
      <c r="J1698" s="1" t="s">
        <v>467</v>
      </c>
      <c r="K1698" s="1" t="s">
        <v>388</v>
      </c>
    </row>
    <row r="1699" spans="1:11" x14ac:dyDescent="0.3">
      <c r="A1699" s="1">
        <v>81</v>
      </c>
      <c r="B1699" s="1">
        <v>2024</v>
      </c>
      <c r="C1699" s="3">
        <v>45632</v>
      </c>
      <c r="E1699" s="1" t="s">
        <v>54</v>
      </c>
      <c r="F1699" s="1" t="s">
        <v>40</v>
      </c>
      <c r="G1699" s="1" t="s">
        <v>405</v>
      </c>
      <c r="H1699" s="1" t="s">
        <v>386</v>
      </c>
      <c r="I1699" s="1" t="s">
        <v>415</v>
      </c>
      <c r="J1699" s="1" t="s">
        <v>468</v>
      </c>
      <c r="K1699" s="1" t="s">
        <v>405</v>
      </c>
    </row>
    <row r="1700" spans="1:11" x14ac:dyDescent="0.3">
      <c r="A1700" s="1">
        <v>81</v>
      </c>
      <c r="B1700" s="1">
        <v>2024</v>
      </c>
      <c r="C1700" s="3">
        <v>45632</v>
      </c>
      <c r="E1700" s="1" t="s">
        <v>56</v>
      </c>
      <c r="F1700" s="1" t="s">
        <v>43</v>
      </c>
      <c r="H1700" s="1" t="s">
        <v>393</v>
      </c>
      <c r="I1700" s="1" t="s">
        <v>394</v>
      </c>
      <c r="J1700" s="1" t="s">
        <v>399</v>
      </c>
      <c r="K1700" s="1" t="s">
        <v>399</v>
      </c>
    </row>
    <row r="1701" spans="1:11" x14ac:dyDescent="0.3">
      <c r="A1701" s="1">
        <v>81</v>
      </c>
      <c r="B1701" s="1">
        <v>2024</v>
      </c>
      <c r="C1701" s="3">
        <v>45632</v>
      </c>
      <c r="E1701" s="1" t="s">
        <v>57</v>
      </c>
      <c r="F1701" s="1" t="s">
        <v>40</v>
      </c>
      <c r="G1701" s="1" t="s">
        <v>397</v>
      </c>
      <c r="H1701" s="1" t="s">
        <v>388</v>
      </c>
      <c r="I1701" s="1" t="s">
        <v>358</v>
      </c>
      <c r="J1701" s="1" t="s">
        <v>469</v>
      </c>
      <c r="K1701" s="1" t="s">
        <v>397</v>
      </c>
    </row>
    <row r="1702" spans="1:11" x14ac:dyDescent="0.3">
      <c r="A1702" s="1">
        <v>81</v>
      </c>
      <c r="B1702" s="1">
        <v>2024</v>
      </c>
      <c r="C1702" s="3">
        <v>45632</v>
      </c>
      <c r="E1702" s="1" t="s">
        <v>58</v>
      </c>
      <c r="F1702" s="1" t="s">
        <v>40</v>
      </c>
      <c r="G1702" s="1" t="s">
        <v>397</v>
      </c>
      <c r="H1702" s="1" t="s">
        <v>397</v>
      </c>
      <c r="I1702" s="1" t="s">
        <v>358</v>
      </c>
      <c r="J1702" s="1" t="s">
        <v>470</v>
      </c>
      <c r="K1702" s="1" t="s">
        <v>390</v>
      </c>
    </row>
    <row r="1703" spans="1:11" x14ac:dyDescent="0.3">
      <c r="A1703" s="1">
        <v>81</v>
      </c>
      <c r="B1703" s="1">
        <v>2024</v>
      </c>
      <c r="C1703" s="3">
        <v>45632</v>
      </c>
      <c r="E1703" s="1" t="s">
        <v>59</v>
      </c>
      <c r="F1703" s="1" t="s">
        <v>45</v>
      </c>
      <c r="G1703" s="1" t="s">
        <v>397</v>
      </c>
      <c r="H1703" s="1" t="s">
        <v>397</v>
      </c>
      <c r="I1703" s="1" t="s">
        <v>393</v>
      </c>
      <c r="J1703" s="1" t="s">
        <v>440</v>
      </c>
      <c r="K1703" s="1" t="s">
        <v>397</v>
      </c>
    </row>
    <row r="1704" spans="1:11" x14ac:dyDescent="0.3">
      <c r="A1704" s="1">
        <v>81</v>
      </c>
      <c r="B1704" s="1">
        <v>2024</v>
      </c>
      <c r="C1704" s="3">
        <v>45632</v>
      </c>
      <c r="E1704" s="1" t="s">
        <v>60</v>
      </c>
      <c r="F1704" s="1" t="s">
        <v>61</v>
      </c>
      <c r="H1704" s="1" t="s">
        <v>370</v>
      </c>
      <c r="I1704" s="1" t="s">
        <v>401</v>
      </c>
      <c r="J1704" s="1" t="s">
        <v>468</v>
      </c>
      <c r="K1704" s="1" t="s">
        <v>405</v>
      </c>
    </row>
    <row r="1705" spans="1:11" x14ac:dyDescent="0.3">
      <c r="A1705" s="1">
        <v>81</v>
      </c>
      <c r="B1705" s="1">
        <v>2024</v>
      </c>
      <c r="C1705" s="3">
        <v>45632</v>
      </c>
      <c r="E1705" s="1" t="s">
        <v>63</v>
      </c>
      <c r="F1705" s="1" t="s">
        <v>40</v>
      </c>
      <c r="G1705" s="1" t="s">
        <v>397</v>
      </c>
      <c r="H1705" s="1" t="s">
        <v>397</v>
      </c>
      <c r="I1705" s="1" t="s">
        <v>358</v>
      </c>
      <c r="J1705" s="1" t="s">
        <v>471</v>
      </c>
      <c r="K1705" s="1" t="s">
        <v>393</v>
      </c>
    </row>
    <row r="1706" spans="1:11" x14ac:dyDescent="0.3">
      <c r="A1706" s="1">
        <v>81</v>
      </c>
      <c r="B1706" s="1">
        <v>2024</v>
      </c>
      <c r="C1706" s="3">
        <v>45632</v>
      </c>
      <c r="E1706" s="1" t="s">
        <v>64</v>
      </c>
      <c r="F1706" s="1" t="s">
        <v>40</v>
      </c>
      <c r="G1706" s="1" t="s">
        <v>358</v>
      </c>
      <c r="H1706" s="1" t="s">
        <v>393</v>
      </c>
      <c r="I1706" s="1" t="s">
        <v>358</v>
      </c>
      <c r="J1706" s="1" t="s">
        <v>396</v>
      </c>
      <c r="K1706" s="1" t="s">
        <v>396</v>
      </c>
    </row>
    <row r="1707" spans="1:11" x14ac:dyDescent="0.3">
      <c r="A1707" s="1">
        <v>81</v>
      </c>
      <c r="B1707" s="1">
        <v>2024</v>
      </c>
      <c r="C1707" s="3">
        <v>45632</v>
      </c>
      <c r="E1707" s="1" t="s">
        <v>66</v>
      </c>
      <c r="F1707" s="1" t="s">
        <v>45</v>
      </c>
    </row>
    <row r="1708" spans="1:11" x14ac:dyDescent="0.3">
      <c r="A1708" s="1">
        <v>81</v>
      </c>
      <c r="B1708" s="1">
        <v>2024</v>
      </c>
      <c r="C1708" s="3">
        <v>45632</v>
      </c>
      <c r="E1708" s="1" t="s">
        <v>67</v>
      </c>
      <c r="F1708" s="1" t="s">
        <v>45</v>
      </c>
    </row>
    <row r="1709" spans="1:11" x14ac:dyDescent="0.3">
      <c r="A1709" s="1">
        <v>81</v>
      </c>
      <c r="B1709" s="1">
        <v>2024</v>
      </c>
      <c r="C1709" s="3">
        <v>45632</v>
      </c>
      <c r="E1709" s="1" t="s">
        <v>68</v>
      </c>
      <c r="F1709" s="1" t="s">
        <v>45</v>
      </c>
    </row>
    <row r="1710" spans="1:11" x14ac:dyDescent="0.3">
      <c r="A1710" s="1">
        <v>81</v>
      </c>
      <c r="B1710" s="1">
        <v>2024</v>
      </c>
      <c r="C1710" s="3">
        <v>45632</v>
      </c>
      <c r="E1710" s="1" t="s">
        <v>69</v>
      </c>
      <c r="F1710" s="1" t="s">
        <v>45</v>
      </c>
      <c r="H1710" s="1" t="s">
        <v>396</v>
      </c>
      <c r="I1710" s="1" t="s">
        <v>396</v>
      </c>
      <c r="J1710" s="1" t="s">
        <v>396</v>
      </c>
      <c r="K1710" s="1" t="s">
        <v>396</v>
      </c>
    </row>
    <row r="1711" spans="1:11" x14ac:dyDescent="0.3">
      <c r="A1711" s="1">
        <v>81</v>
      </c>
      <c r="B1711" s="1">
        <v>2024</v>
      </c>
      <c r="C1711" s="3">
        <v>45632</v>
      </c>
      <c r="E1711" s="1" t="s">
        <v>70</v>
      </c>
      <c r="F1711" s="16" t="s">
        <v>71</v>
      </c>
    </row>
    <row r="1712" spans="1:11" x14ac:dyDescent="0.3">
      <c r="A1712" s="1">
        <v>82</v>
      </c>
      <c r="B1712" s="1">
        <v>2024</v>
      </c>
      <c r="C1712" s="3">
        <v>45639</v>
      </c>
      <c r="E1712" s="1" t="s">
        <v>12</v>
      </c>
      <c r="F1712" s="1" t="s">
        <v>13</v>
      </c>
      <c r="G1712" s="1" t="s">
        <v>430</v>
      </c>
      <c r="H1712" s="1" t="s">
        <v>360</v>
      </c>
      <c r="I1712" s="1" t="s">
        <v>360</v>
      </c>
      <c r="J1712" s="1" t="s">
        <v>458</v>
      </c>
      <c r="K1712" s="1" t="s">
        <v>358</v>
      </c>
    </row>
    <row r="1713" spans="1:11" x14ac:dyDescent="0.3">
      <c r="A1713" s="1">
        <v>82</v>
      </c>
      <c r="B1713" s="1">
        <v>2024</v>
      </c>
      <c r="C1713" s="3">
        <v>45639</v>
      </c>
      <c r="E1713" s="1" t="s">
        <v>14</v>
      </c>
      <c r="F1713" s="1" t="s">
        <v>13</v>
      </c>
      <c r="H1713" s="1" t="s">
        <v>357</v>
      </c>
      <c r="I1713" s="1" t="s">
        <v>472</v>
      </c>
      <c r="J1713" s="1" t="s">
        <v>473</v>
      </c>
      <c r="K1713" s="1" t="s">
        <v>474</v>
      </c>
    </row>
    <row r="1714" spans="1:11" x14ac:dyDescent="0.3">
      <c r="A1714" s="1">
        <v>82</v>
      </c>
      <c r="B1714" s="1">
        <v>2024</v>
      </c>
      <c r="C1714" s="3">
        <v>45639</v>
      </c>
      <c r="E1714" s="1" t="s">
        <v>15</v>
      </c>
      <c r="F1714" s="1" t="s">
        <v>13</v>
      </c>
      <c r="H1714" s="1" t="s">
        <v>358</v>
      </c>
      <c r="I1714" s="1" t="s">
        <v>357</v>
      </c>
      <c r="J1714" s="1" t="s">
        <v>357</v>
      </c>
      <c r="K1714" s="1" t="s">
        <v>357</v>
      </c>
    </row>
    <row r="1715" spans="1:11" x14ac:dyDescent="0.3">
      <c r="A1715" s="1">
        <v>82</v>
      </c>
      <c r="B1715" s="1">
        <v>2024</v>
      </c>
      <c r="C1715" s="3">
        <v>45639</v>
      </c>
      <c r="E1715" s="1" t="s">
        <v>16</v>
      </c>
      <c r="F1715" s="1" t="s">
        <v>13</v>
      </c>
      <c r="G1715" s="1" t="s">
        <v>430</v>
      </c>
      <c r="H1715" s="1" t="s">
        <v>430</v>
      </c>
      <c r="I1715" s="1" t="s">
        <v>430</v>
      </c>
      <c r="J1715" s="1" t="s">
        <v>366</v>
      </c>
      <c r="K1715" s="1" t="s">
        <v>475</v>
      </c>
    </row>
    <row r="1716" spans="1:11" x14ac:dyDescent="0.3">
      <c r="A1716" s="1">
        <v>82</v>
      </c>
      <c r="B1716" s="1">
        <v>2024</v>
      </c>
      <c r="C1716" s="3">
        <v>45639</v>
      </c>
      <c r="E1716" s="1" t="s">
        <v>17</v>
      </c>
      <c r="F1716" s="1" t="s">
        <v>13</v>
      </c>
      <c r="G1716" s="1" t="s">
        <v>362</v>
      </c>
      <c r="H1716" s="1" t="s">
        <v>419</v>
      </c>
      <c r="I1716" s="1" t="s">
        <v>430</v>
      </c>
      <c r="J1716" s="1" t="s">
        <v>476</v>
      </c>
      <c r="K1716" s="1" t="s">
        <v>362</v>
      </c>
    </row>
    <row r="1717" spans="1:11" x14ac:dyDescent="0.3">
      <c r="A1717" s="1">
        <v>82</v>
      </c>
      <c r="B1717" s="1">
        <v>2024</v>
      </c>
      <c r="C1717" s="3">
        <v>45639</v>
      </c>
      <c r="E1717" s="1" t="s">
        <v>18</v>
      </c>
      <c r="F1717" s="1" t="s">
        <v>13</v>
      </c>
      <c r="G1717" s="1" t="s">
        <v>358</v>
      </c>
      <c r="H1717" s="1" t="s">
        <v>358</v>
      </c>
      <c r="I1717" s="1" t="s">
        <v>416</v>
      </c>
      <c r="J1717" s="1" t="s">
        <v>474</v>
      </c>
      <c r="K1717" s="1" t="s">
        <v>358</v>
      </c>
    </row>
    <row r="1718" spans="1:11" x14ac:dyDescent="0.3">
      <c r="A1718" s="1">
        <v>82</v>
      </c>
      <c r="B1718" s="1">
        <v>2024</v>
      </c>
      <c r="C1718" s="3">
        <v>45639</v>
      </c>
      <c r="E1718" s="1" t="s">
        <v>19</v>
      </c>
      <c r="F1718" s="1" t="s">
        <v>13</v>
      </c>
      <c r="G1718" s="1" t="s">
        <v>358</v>
      </c>
      <c r="H1718" s="1" t="s">
        <v>358</v>
      </c>
      <c r="I1718" s="1" t="s">
        <v>359</v>
      </c>
      <c r="J1718" s="1" t="s">
        <v>457</v>
      </c>
      <c r="K1718" s="1" t="s">
        <v>358</v>
      </c>
    </row>
    <row r="1719" spans="1:11" x14ac:dyDescent="0.3">
      <c r="A1719" s="1">
        <v>82</v>
      </c>
      <c r="B1719" s="1">
        <v>2024</v>
      </c>
      <c r="C1719" s="3">
        <v>45639</v>
      </c>
      <c r="E1719" s="1" t="s">
        <v>20</v>
      </c>
      <c r="F1719" s="1" t="s">
        <v>13</v>
      </c>
      <c r="G1719" s="1" t="s">
        <v>360</v>
      </c>
      <c r="H1719" s="1" t="s">
        <v>360</v>
      </c>
      <c r="I1719" s="1" t="s">
        <v>360</v>
      </c>
      <c r="J1719" s="1" t="s">
        <v>360</v>
      </c>
      <c r="K1719" s="1" t="s">
        <v>360</v>
      </c>
    </row>
    <row r="1720" spans="1:11" x14ac:dyDescent="0.3">
      <c r="A1720" s="1">
        <v>82</v>
      </c>
      <c r="B1720" s="1">
        <v>2024</v>
      </c>
      <c r="C1720" s="3">
        <v>45639</v>
      </c>
      <c r="E1720" s="1" t="s">
        <v>21</v>
      </c>
      <c r="F1720" s="1" t="s">
        <v>13</v>
      </c>
      <c r="G1720" s="1" t="s">
        <v>382</v>
      </c>
      <c r="H1720" s="1" t="s">
        <v>366</v>
      </c>
      <c r="I1720" s="1" t="s">
        <v>367</v>
      </c>
      <c r="J1720" s="1" t="s">
        <v>477</v>
      </c>
      <c r="K1720" s="1" t="s">
        <v>382</v>
      </c>
    </row>
    <row r="1721" spans="1:11" x14ac:dyDescent="0.3">
      <c r="A1721" s="1">
        <v>82</v>
      </c>
      <c r="B1721" s="1">
        <v>2024</v>
      </c>
      <c r="C1721" s="3">
        <v>45639</v>
      </c>
      <c r="E1721" s="1" t="s">
        <v>73</v>
      </c>
      <c r="F1721" s="1" t="s">
        <v>13</v>
      </c>
      <c r="G1721" s="1" t="s">
        <v>361</v>
      </c>
      <c r="H1721" s="1" t="s">
        <v>360</v>
      </c>
      <c r="I1721" s="1" t="s">
        <v>361</v>
      </c>
      <c r="J1721" s="1" t="s">
        <v>453</v>
      </c>
      <c r="K1721" s="1" t="s">
        <v>386</v>
      </c>
    </row>
    <row r="1722" spans="1:11" x14ac:dyDescent="0.3">
      <c r="A1722" s="1">
        <v>82</v>
      </c>
      <c r="B1722" s="1">
        <v>2024</v>
      </c>
      <c r="C1722" s="3">
        <v>45639</v>
      </c>
      <c r="E1722" s="1" t="s">
        <v>23</v>
      </c>
      <c r="F1722" s="1" t="s">
        <v>13</v>
      </c>
      <c r="G1722" s="1" t="s">
        <v>362</v>
      </c>
      <c r="H1722" s="1" t="s">
        <v>362</v>
      </c>
      <c r="I1722" s="1" t="s">
        <v>430</v>
      </c>
      <c r="J1722" s="1" t="s">
        <v>365</v>
      </c>
      <c r="K1722" s="1" t="s">
        <v>365</v>
      </c>
    </row>
    <row r="1723" spans="1:11" x14ac:dyDescent="0.3">
      <c r="A1723" s="1">
        <v>82</v>
      </c>
      <c r="B1723" s="1">
        <v>2024</v>
      </c>
      <c r="C1723" s="3">
        <v>45639</v>
      </c>
      <c r="E1723" s="1" t="s">
        <v>24</v>
      </c>
      <c r="F1723" s="1" t="s">
        <v>13</v>
      </c>
      <c r="G1723" s="1" t="s">
        <v>358</v>
      </c>
      <c r="H1723" s="1" t="s">
        <v>358</v>
      </c>
      <c r="I1723" s="1" t="s">
        <v>358</v>
      </c>
      <c r="J1723" s="1" t="s">
        <v>358</v>
      </c>
      <c r="K1723" s="1" t="s">
        <v>358</v>
      </c>
    </row>
    <row r="1724" spans="1:11" x14ac:dyDescent="0.3">
      <c r="A1724" s="1">
        <v>82</v>
      </c>
      <c r="B1724" s="1">
        <v>2024</v>
      </c>
      <c r="C1724" s="3">
        <v>45639</v>
      </c>
      <c r="E1724" s="1" t="s">
        <v>25</v>
      </c>
      <c r="F1724" s="1" t="s">
        <v>26</v>
      </c>
      <c r="G1724" s="1" t="s">
        <v>358</v>
      </c>
      <c r="H1724" s="1" t="s">
        <v>358</v>
      </c>
      <c r="I1724" s="1" t="s">
        <v>357</v>
      </c>
      <c r="J1724" s="1" t="s">
        <v>358</v>
      </c>
      <c r="K1724" s="1" t="s">
        <v>478</v>
      </c>
    </row>
    <row r="1725" spans="1:11" x14ac:dyDescent="0.3">
      <c r="A1725" s="1">
        <v>82</v>
      </c>
      <c r="B1725" s="1">
        <v>2024</v>
      </c>
      <c r="C1725" s="3">
        <v>45639</v>
      </c>
      <c r="E1725" s="1" t="s">
        <v>27</v>
      </c>
      <c r="F1725" s="1" t="s">
        <v>13</v>
      </c>
      <c r="G1725" s="1" t="s">
        <v>405</v>
      </c>
      <c r="H1725" s="1" t="s">
        <v>357</v>
      </c>
      <c r="I1725" s="1" t="s">
        <v>357</v>
      </c>
      <c r="J1725" s="1" t="s">
        <v>418</v>
      </c>
      <c r="K1725" s="1" t="s">
        <v>418</v>
      </c>
    </row>
    <row r="1726" spans="1:11" x14ac:dyDescent="0.3">
      <c r="A1726" s="1">
        <v>82</v>
      </c>
      <c r="B1726" s="1">
        <v>2024</v>
      </c>
      <c r="C1726" s="3">
        <v>45639</v>
      </c>
      <c r="E1726" s="1" t="s">
        <v>28</v>
      </c>
      <c r="F1726" s="1" t="s">
        <v>13</v>
      </c>
      <c r="H1726" s="1" t="s">
        <v>362</v>
      </c>
      <c r="I1726" s="1" t="s">
        <v>430</v>
      </c>
      <c r="J1726" s="1" t="s">
        <v>479</v>
      </c>
      <c r="K1726" s="1" t="s">
        <v>430</v>
      </c>
    </row>
    <row r="1727" spans="1:11" x14ac:dyDescent="0.3">
      <c r="A1727" s="1">
        <v>82</v>
      </c>
      <c r="B1727" s="1">
        <v>2024</v>
      </c>
      <c r="C1727" s="3">
        <v>45639</v>
      </c>
      <c r="E1727" s="1" t="s">
        <v>29</v>
      </c>
      <c r="F1727" s="1" t="s">
        <v>13</v>
      </c>
      <c r="G1727" s="1" t="s">
        <v>358</v>
      </c>
      <c r="H1727" s="1" t="s">
        <v>357</v>
      </c>
      <c r="I1727" s="1" t="s">
        <v>357</v>
      </c>
      <c r="J1727" s="1" t="s">
        <v>480</v>
      </c>
      <c r="K1727" s="1" t="s">
        <v>357</v>
      </c>
    </row>
    <row r="1728" spans="1:11" x14ac:dyDescent="0.3">
      <c r="A1728" s="1">
        <v>82</v>
      </c>
      <c r="B1728" s="1">
        <v>2024</v>
      </c>
      <c r="C1728" s="3">
        <v>45639</v>
      </c>
      <c r="E1728" s="1" t="s">
        <v>31</v>
      </c>
      <c r="F1728" s="1" t="s">
        <v>32</v>
      </c>
      <c r="G1728" s="1" t="s">
        <v>460</v>
      </c>
      <c r="H1728" s="1" t="s">
        <v>378</v>
      </c>
      <c r="I1728" s="1" t="s">
        <v>378</v>
      </c>
      <c r="J1728" s="1" t="s">
        <v>481</v>
      </c>
      <c r="K1728" s="1" t="s">
        <v>378</v>
      </c>
    </row>
    <row r="1729" spans="1:11" x14ac:dyDescent="0.3">
      <c r="A1729" s="1">
        <v>82</v>
      </c>
      <c r="B1729" s="1">
        <v>2024</v>
      </c>
      <c r="C1729" s="3">
        <v>45639</v>
      </c>
      <c r="E1729" s="1" t="s">
        <v>34</v>
      </c>
      <c r="F1729" s="1" t="s">
        <v>35</v>
      </c>
      <c r="G1729" s="1" t="s">
        <v>382</v>
      </c>
      <c r="H1729" s="1" t="s">
        <v>379</v>
      </c>
      <c r="I1729" s="1" t="s">
        <v>379</v>
      </c>
      <c r="J1729" s="1" t="s">
        <v>482</v>
      </c>
      <c r="K1729" s="1" t="s">
        <v>379</v>
      </c>
    </row>
    <row r="1730" spans="1:11" x14ac:dyDescent="0.3">
      <c r="A1730" s="1">
        <v>82</v>
      </c>
      <c r="B1730" s="1">
        <v>2024</v>
      </c>
      <c r="C1730" s="3">
        <v>45639</v>
      </c>
      <c r="E1730" s="1" t="s">
        <v>36</v>
      </c>
      <c r="F1730" s="1" t="s">
        <v>35</v>
      </c>
      <c r="G1730" s="1" t="s">
        <v>362</v>
      </c>
      <c r="H1730" s="1" t="s">
        <v>382</v>
      </c>
      <c r="I1730" s="1" t="s">
        <v>382</v>
      </c>
      <c r="J1730" s="1" t="s">
        <v>459</v>
      </c>
      <c r="K1730" s="1" t="s">
        <v>382</v>
      </c>
    </row>
    <row r="1731" spans="1:11" x14ac:dyDescent="0.3">
      <c r="A1731" s="1">
        <v>82</v>
      </c>
      <c r="B1731" s="1">
        <v>2024</v>
      </c>
      <c r="C1731" s="3">
        <v>45639</v>
      </c>
      <c r="E1731" s="1" t="s">
        <v>153</v>
      </c>
      <c r="F1731" s="1" t="s">
        <v>154</v>
      </c>
      <c r="G1731" s="1" t="s">
        <v>385</v>
      </c>
      <c r="H1731" s="1" t="s">
        <v>385</v>
      </c>
      <c r="I1731" s="1" t="s">
        <v>394</v>
      </c>
      <c r="J1731" s="1" t="s">
        <v>483</v>
      </c>
      <c r="K1731" s="1" t="s">
        <v>385</v>
      </c>
    </row>
    <row r="1732" spans="1:11" x14ac:dyDescent="0.3">
      <c r="A1732" s="1">
        <v>82</v>
      </c>
      <c r="B1732" s="1">
        <v>2024</v>
      </c>
      <c r="C1732" s="3">
        <v>45639</v>
      </c>
      <c r="E1732" s="1" t="s">
        <v>39</v>
      </c>
      <c r="F1732" s="1" t="s">
        <v>40</v>
      </c>
      <c r="G1732" s="1" t="s">
        <v>358</v>
      </c>
      <c r="H1732" s="1" t="s">
        <v>358</v>
      </c>
      <c r="I1732" s="1" t="s">
        <v>386</v>
      </c>
      <c r="J1732" s="1" t="s">
        <v>418</v>
      </c>
      <c r="K1732" s="1" t="s">
        <v>370</v>
      </c>
    </row>
    <row r="1733" spans="1:11" x14ac:dyDescent="0.3">
      <c r="A1733" s="1">
        <v>82</v>
      </c>
      <c r="B1733" s="1">
        <v>2024</v>
      </c>
      <c r="C1733" s="3">
        <v>45639</v>
      </c>
      <c r="E1733" s="1" t="s">
        <v>42</v>
      </c>
      <c r="F1733" s="1" t="s">
        <v>43</v>
      </c>
      <c r="G1733" s="1" t="s">
        <v>370</v>
      </c>
      <c r="H1733" s="1" t="s">
        <v>390</v>
      </c>
      <c r="I1733" s="1" t="s">
        <v>370</v>
      </c>
      <c r="J1733" s="1" t="s">
        <v>358</v>
      </c>
      <c r="K1733" s="1" t="s">
        <v>394</v>
      </c>
    </row>
    <row r="1734" spans="1:11" x14ac:dyDescent="0.3">
      <c r="A1734" s="1">
        <v>82</v>
      </c>
      <c r="B1734" s="1">
        <v>2024</v>
      </c>
      <c r="C1734" s="3">
        <v>45639</v>
      </c>
      <c r="E1734" s="1" t="s">
        <v>44</v>
      </c>
      <c r="F1734" s="1" t="s">
        <v>45</v>
      </c>
      <c r="G1734" s="1" t="s">
        <v>393</v>
      </c>
      <c r="H1734" s="1" t="s">
        <v>393</v>
      </c>
      <c r="I1734" s="1" t="s">
        <v>393</v>
      </c>
      <c r="J1734" s="1" t="s">
        <v>393</v>
      </c>
      <c r="K1734" s="1" t="s">
        <v>393</v>
      </c>
    </row>
    <row r="1735" spans="1:11" x14ac:dyDescent="0.3">
      <c r="A1735" s="1">
        <v>82</v>
      </c>
      <c r="B1735" s="1">
        <v>2024</v>
      </c>
      <c r="C1735" s="3">
        <v>45639</v>
      </c>
      <c r="E1735" s="1" t="s">
        <v>48</v>
      </c>
      <c r="F1735" s="1" t="s">
        <v>45</v>
      </c>
      <c r="H1735" s="1" t="s">
        <v>385</v>
      </c>
      <c r="I1735" s="1" t="s">
        <v>385</v>
      </c>
      <c r="J1735" s="1" t="s">
        <v>385</v>
      </c>
      <c r="K1735" s="1" t="s">
        <v>385</v>
      </c>
    </row>
    <row r="1736" spans="1:11" x14ac:dyDescent="0.3">
      <c r="A1736" s="1">
        <v>82</v>
      </c>
      <c r="B1736" s="1">
        <v>2024</v>
      </c>
      <c r="C1736" s="3">
        <v>45639</v>
      </c>
      <c r="E1736" s="1" t="s">
        <v>49</v>
      </c>
      <c r="F1736" s="1" t="s">
        <v>50</v>
      </c>
      <c r="G1736" s="1" t="s">
        <v>370</v>
      </c>
      <c r="H1736" s="1" t="s">
        <v>393</v>
      </c>
      <c r="I1736" s="1" t="s">
        <v>393</v>
      </c>
      <c r="J1736" s="1" t="s">
        <v>458</v>
      </c>
      <c r="K1736" s="1" t="s">
        <v>396</v>
      </c>
    </row>
    <row r="1737" spans="1:11" x14ac:dyDescent="0.3">
      <c r="A1737" s="1">
        <v>82</v>
      </c>
      <c r="B1737" s="1">
        <v>2024</v>
      </c>
      <c r="C1737" s="3">
        <v>45639</v>
      </c>
      <c r="E1737" s="1" t="s">
        <v>52</v>
      </c>
      <c r="F1737" s="1" t="s">
        <v>43</v>
      </c>
      <c r="G1737" s="1" t="s">
        <v>370</v>
      </c>
      <c r="H1737" s="1" t="s">
        <v>397</v>
      </c>
      <c r="I1737" s="1" t="s">
        <v>393</v>
      </c>
      <c r="J1737" s="1" t="s">
        <v>359</v>
      </c>
      <c r="K1737" s="1" t="s">
        <v>393</v>
      </c>
    </row>
    <row r="1738" spans="1:11" x14ac:dyDescent="0.3">
      <c r="A1738" s="1">
        <v>82</v>
      </c>
      <c r="B1738" s="1">
        <v>2024</v>
      </c>
      <c r="C1738" s="3">
        <v>45639</v>
      </c>
      <c r="E1738" s="1" t="s">
        <v>53</v>
      </c>
      <c r="F1738" s="1" t="s">
        <v>43</v>
      </c>
      <c r="G1738" s="1" t="s">
        <v>393</v>
      </c>
      <c r="H1738" s="1" t="s">
        <v>397</v>
      </c>
      <c r="I1738" s="1" t="s">
        <v>358</v>
      </c>
      <c r="J1738" s="1" t="s">
        <v>393</v>
      </c>
      <c r="K1738" s="1" t="s">
        <v>393</v>
      </c>
    </row>
    <row r="1739" spans="1:11" x14ac:dyDescent="0.3">
      <c r="A1739" s="1">
        <v>82</v>
      </c>
      <c r="B1739" s="1">
        <v>2024</v>
      </c>
      <c r="C1739" s="3">
        <v>45639</v>
      </c>
      <c r="E1739" s="1" t="s">
        <v>54</v>
      </c>
      <c r="F1739" s="1" t="s">
        <v>40</v>
      </c>
      <c r="G1739" s="1" t="s">
        <v>405</v>
      </c>
      <c r="H1739" s="1" t="s">
        <v>386</v>
      </c>
      <c r="I1739" s="1" t="s">
        <v>386</v>
      </c>
      <c r="J1739" s="1" t="s">
        <v>484</v>
      </c>
      <c r="K1739" s="1" t="s">
        <v>484</v>
      </c>
    </row>
    <row r="1740" spans="1:11" x14ac:dyDescent="0.3">
      <c r="A1740" s="1">
        <v>82</v>
      </c>
      <c r="B1740" s="1">
        <v>2024</v>
      </c>
      <c r="C1740" s="3">
        <v>45639</v>
      </c>
      <c r="E1740" s="1" t="s">
        <v>56</v>
      </c>
      <c r="F1740" s="1" t="s">
        <v>43</v>
      </c>
      <c r="H1740" s="1" t="s">
        <v>386</v>
      </c>
      <c r="I1740" s="1" t="s">
        <v>370</v>
      </c>
      <c r="J1740" s="1" t="s">
        <v>385</v>
      </c>
      <c r="K1740" s="1" t="s">
        <v>385</v>
      </c>
    </row>
    <row r="1741" spans="1:11" x14ac:dyDescent="0.3">
      <c r="A1741" s="1">
        <v>82</v>
      </c>
      <c r="B1741" s="1">
        <v>2024</v>
      </c>
      <c r="C1741" s="3">
        <v>45639</v>
      </c>
      <c r="E1741" s="1" t="s">
        <v>57</v>
      </c>
      <c r="F1741" s="1" t="s">
        <v>40</v>
      </c>
      <c r="H1741" s="1" t="s">
        <v>358</v>
      </c>
      <c r="I1741" s="1" t="s">
        <v>397</v>
      </c>
      <c r="J1741" s="1" t="s">
        <v>393</v>
      </c>
      <c r="K1741" s="1" t="s">
        <v>393</v>
      </c>
    </row>
    <row r="1742" spans="1:11" x14ac:dyDescent="0.3">
      <c r="A1742" s="1">
        <v>82</v>
      </c>
      <c r="B1742" s="1">
        <v>2024</v>
      </c>
      <c r="C1742" s="3">
        <v>45639</v>
      </c>
      <c r="E1742" s="1" t="s">
        <v>58</v>
      </c>
      <c r="F1742" s="1" t="s">
        <v>40</v>
      </c>
      <c r="G1742" s="1" t="s">
        <v>386</v>
      </c>
      <c r="H1742" s="1" t="s">
        <v>370</v>
      </c>
      <c r="I1742" s="1" t="s">
        <v>390</v>
      </c>
      <c r="J1742" s="1" t="s">
        <v>474</v>
      </c>
      <c r="K1742" s="1" t="s">
        <v>370</v>
      </c>
    </row>
    <row r="1743" spans="1:11" x14ac:dyDescent="0.3">
      <c r="A1743" s="1">
        <v>82</v>
      </c>
      <c r="B1743" s="1">
        <v>2024</v>
      </c>
      <c r="C1743" s="3">
        <v>45639</v>
      </c>
      <c r="E1743" s="1" t="s">
        <v>59</v>
      </c>
      <c r="F1743" s="1" t="s">
        <v>45</v>
      </c>
      <c r="G1743" s="1" t="s">
        <v>393</v>
      </c>
      <c r="H1743" s="1" t="s">
        <v>393</v>
      </c>
      <c r="I1743" s="1" t="s">
        <v>397</v>
      </c>
      <c r="J1743" s="1" t="s">
        <v>485</v>
      </c>
      <c r="K1743" s="1" t="s">
        <v>390</v>
      </c>
    </row>
    <row r="1744" spans="1:11" x14ac:dyDescent="0.3">
      <c r="A1744" s="1">
        <v>82</v>
      </c>
      <c r="B1744" s="1">
        <v>2024</v>
      </c>
      <c r="C1744" s="3">
        <v>45639</v>
      </c>
      <c r="E1744" s="1" t="s">
        <v>60</v>
      </c>
      <c r="F1744" s="1" t="s">
        <v>61</v>
      </c>
      <c r="G1744" s="1" t="s">
        <v>415</v>
      </c>
      <c r="H1744" s="1" t="s">
        <v>484</v>
      </c>
      <c r="I1744" s="1" t="s">
        <v>415</v>
      </c>
      <c r="J1744" s="1" t="s">
        <v>412</v>
      </c>
      <c r="K1744" s="1" t="s">
        <v>415</v>
      </c>
    </row>
    <row r="1745" spans="1:11" x14ac:dyDescent="0.3">
      <c r="A1745" s="1">
        <v>82</v>
      </c>
      <c r="B1745" s="1">
        <v>2024</v>
      </c>
      <c r="C1745" s="3">
        <v>45639</v>
      </c>
      <c r="E1745" s="1" t="s">
        <v>63</v>
      </c>
      <c r="F1745" s="1" t="s">
        <v>40</v>
      </c>
      <c r="G1745" s="1" t="s">
        <v>393</v>
      </c>
      <c r="H1745" s="1" t="s">
        <v>393</v>
      </c>
      <c r="I1745" s="1" t="s">
        <v>370</v>
      </c>
      <c r="J1745" s="1" t="s">
        <v>458</v>
      </c>
      <c r="K1745" s="1" t="s">
        <v>396</v>
      </c>
    </row>
    <row r="1746" spans="1:11" x14ac:dyDescent="0.3">
      <c r="A1746" s="1">
        <v>82</v>
      </c>
      <c r="B1746" s="1">
        <v>2024</v>
      </c>
      <c r="C1746" s="3">
        <v>45639</v>
      </c>
      <c r="E1746" s="1" t="s">
        <v>64</v>
      </c>
      <c r="F1746" s="1" t="s">
        <v>40</v>
      </c>
      <c r="G1746" s="1" t="s">
        <v>370</v>
      </c>
      <c r="H1746" s="1" t="s">
        <v>370</v>
      </c>
      <c r="I1746" s="1" t="s">
        <v>358</v>
      </c>
      <c r="J1746" s="1" t="s">
        <v>416</v>
      </c>
      <c r="K1746" s="1" t="s">
        <v>370</v>
      </c>
    </row>
    <row r="1747" spans="1:11" x14ac:dyDescent="0.3">
      <c r="A1747" s="1">
        <v>82</v>
      </c>
      <c r="B1747" s="1">
        <v>2024</v>
      </c>
      <c r="C1747" s="3">
        <v>45639</v>
      </c>
      <c r="E1747" s="1" t="s">
        <v>66</v>
      </c>
      <c r="F1747" s="1" t="s">
        <v>45</v>
      </c>
    </row>
    <row r="1748" spans="1:11" x14ac:dyDescent="0.3">
      <c r="A1748" s="1">
        <v>82</v>
      </c>
      <c r="B1748" s="1">
        <v>2024</v>
      </c>
      <c r="C1748" s="3">
        <v>45639</v>
      </c>
      <c r="E1748" s="1" t="s">
        <v>67</v>
      </c>
      <c r="F1748" s="1" t="s">
        <v>45</v>
      </c>
    </row>
    <row r="1749" spans="1:11" x14ac:dyDescent="0.3">
      <c r="A1749" s="1">
        <v>82</v>
      </c>
      <c r="B1749" s="1">
        <v>2024</v>
      </c>
      <c r="C1749" s="3">
        <v>45639</v>
      </c>
      <c r="D1749" s="18"/>
      <c r="E1749" s="1" t="s">
        <v>68</v>
      </c>
      <c r="F1749" s="1" t="s">
        <v>45</v>
      </c>
    </row>
    <row r="1750" spans="1:11" x14ac:dyDescent="0.3">
      <c r="A1750" s="1">
        <v>82</v>
      </c>
      <c r="B1750" s="1">
        <v>2024</v>
      </c>
      <c r="C1750" s="3">
        <v>45639</v>
      </c>
      <c r="E1750" s="1" t="s">
        <v>69</v>
      </c>
      <c r="F1750" s="1" t="s">
        <v>45</v>
      </c>
      <c r="H1750" s="1" t="s">
        <v>358</v>
      </c>
      <c r="I1750" s="1" t="s">
        <v>358</v>
      </c>
      <c r="J1750" s="1" t="s">
        <v>358</v>
      </c>
      <c r="K1750" s="1" t="s">
        <v>358</v>
      </c>
    </row>
    <row r="1751" spans="1:11" x14ac:dyDescent="0.3">
      <c r="A1751" s="1">
        <v>82</v>
      </c>
      <c r="B1751" s="1">
        <v>2024</v>
      </c>
      <c r="C1751" s="3">
        <v>45639</v>
      </c>
      <c r="E1751" s="1" t="s">
        <v>70</v>
      </c>
      <c r="F1751" s="16" t="s">
        <v>71</v>
      </c>
    </row>
    <row r="1752" spans="1:11" x14ac:dyDescent="0.3">
      <c r="A1752" s="1">
        <v>83</v>
      </c>
      <c r="B1752" s="1">
        <v>2024</v>
      </c>
      <c r="C1752" s="3">
        <v>45646</v>
      </c>
      <c r="E1752" s="1" t="s">
        <v>12</v>
      </c>
      <c r="F1752" s="1" t="s">
        <v>13</v>
      </c>
      <c r="G1752" s="1" t="s">
        <v>358</v>
      </c>
      <c r="H1752" s="1" t="s">
        <v>360</v>
      </c>
      <c r="I1752" s="1" t="s">
        <v>360</v>
      </c>
      <c r="J1752" s="1" t="s">
        <v>429</v>
      </c>
      <c r="K1752" s="1" t="s">
        <v>360</v>
      </c>
    </row>
    <row r="1753" spans="1:11" x14ac:dyDescent="0.3">
      <c r="A1753" s="1">
        <v>83</v>
      </c>
      <c r="B1753" s="1">
        <v>2024</v>
      </c>
      <c r="C1753" s="3">
        <v>45646</v>
      </c>
      <c r="E1753" s="1" t="s">
        <v>14</v>
      </c>
      <c r="F1753" s="1" t="s">
        <v>13</v>
      </c>
      <c r="G1753" s="1" t="s">
        <v>360</v>
      </c>
      <c r="H1753" s="1" t="s">
        <v>361</v>
      </c>
      <c r="I1753" s="1" t="s">
        <v>361</v>
      </c>
      <c r="J1753" s="1" t="s">
        <v>386</v>
      </c>
      <c r="K1753" s="1" t="s">
        <v>361</v>
      </c>
    </row>
    <row r="1754" spans="1:11" x14ac:dyDescent="0.3">
      <c r="A1754" s="1">
        <v>83</v>
      </c>
      <c r="B1754" s="1">
        <v>2024</v>
      </c>
      <c r="C1754" s="3">
        <v>45646</v>
      </c>
      <c r="E1754" s="1" t="s">
        <v>15</v>
      </c>
      <c r="F1754" s="1" t="s">
        <v>13</v>
      </c>
      <c r="G1754" s="1" t="s">
        <v>430</v>
      </c>
      <c r="H1754" s="1" t="s">
        <v>390</v>
      </c>
      <c r="I1754" s="1" t="s">
        <v>358</v>
      </c>
      <c r="J1754" s="1" t="s">
        <v>486</v>
      </c>
      <c r="K1754" s="1" t="s">
        <v>390</v>
      </c>
    </row>
    <row r="1755" spans="1:11" x14ac:dyDescent="0.3">
      <c r="A1755" s="1">
        <v>83</v>
      </c>
      <c r="B1755" s="1">
        <v>2024</v>
      </c>
      <c r="C1755" s="3">
        <v>45646</v>
      </c>
      <c r="E1755" s="1" t="s">
        <v>16</v>
      </c>
      <c r="F1755" s="1" t="s">
        <v>13</v>
      </c>
      <c r="G1755" s="1" t="s">
        <v>366</v>
      </c>
      <c r="H1755" s="1" t="s">
        <v>362</v>
      </c>
      <c r="I1755" s="1" t="s">
        <v>362</v>
      </c>
      <c r="J1755" s="1" t="s">
        <v>431</v>
      </c>
      <c r="K1755" s="1" t="s">
        <v>384</v>
      </c>
    </row>
    <row r="1756" spans="1:11" x14ac:dyDescent="0.3">
      <c r="A1756" s="1">
        <v>83</v>
      </c>
      <c r="B1756" s="1">
        <v>2024</v>
      </c>
      <c r="C1756" s="3">
        <v>45646</v>
      </c>
      <c r="E1756" s="1" t="s">
        <v>17</v>
      </c>
      <c r="F1756" s="1" t="s">
        <v>13</v>
      </c>
      <c r="G1756" s="1" t="s">
        <v>419</v>
      </c>
      <c r="H1756" s="1" t="s">
        <v>362</v>
      </c>
      <c r="I1756" s="1" t="s">
        <v>362</v>
      </c>
      <c r="J1756" s="1" t="s">
        <v>487</v>
      </c>
      <c r="K1756" s="1" t="s">
        <v>362</v>
      </c>
    </row>
    <row r="1757" spans="1:11" x14ac:dyDescent="0.3">
      <c r="A1757" s="1">
        <v>83</v>
      </c>
      <c r="B1757" s="1">
        <v>2024</v>
      </c>
      <c r="C1757" s="3">
        <v>45646</v>
      </c>
      <c r="E1757" s="1" t="s">
        <v>18</v>
      </c>
      <c r="F1757" s="1" t="s">
        <v>13</v>
      </c>
      <c r="G1757" s="1" t="s">
        <v>358</v>
      </c>
      <c r="H1757" s="1" t="s">
        <v>358</v>
      </c>
      <c r="I1757" s="1" t="s">
        <v>416</v>
      </c>
      <c r="J1757" s="1" t="s">
        <v>474</v>
      </c>
      <c r="K1757" s="1" t="s">
        <v>358</v>
      </c>
    </row>
    <row r="1758" spans="1:11" x14ac:dyDescent="0.3">
      <c r="A1758" s="1">
        <v>83</v>
      </c>
      <c r="B1758" s="1">
        <v>2024</v>
      </c>
      <c r="C1758" s="3">
        <v>45646</v>
      </c>
      <c r="E1758" s="1" t="s">
        <v>19</v>
      </c>
      <c r="F1758" s="1" t="s">
        <v>13</v>
      </c>
      <c r="G1758" s="1" t="s">
        <v>370</v>
      </c>
      <c r="H1758" s="1" t="s">
        <v>360</v>
      </c>
      <c r="I1758" s="1" t="s">
        <v>360</v>
      </c>
      <c r="J1758" s="1" t="s">
        <v>488</v>
      </c>
      <c r="K1758" s="1" t="s">
        <v>360</v>
      </c>
    </row>
    <row r="1759" spans="1:11" x14ac:dyDescent="0.3">
      <c r="A1759" s="1">
        <v>83</v>
      </c>
      <c r="B1759" s="1">
        <v>2024</v>
      </c>
      <c r="C1759" s="3">
        <v>45646</v>
      </c>
      <c r="E1759" s="1" t="s">
        <v>20</v>
      </c>
      <c r="F1759" s="1" t="s">
        <v>13</v>
      </c>
      <c r="G1759" s="1" t="s">
        <v>358</v>
      </c>
      <c r="H1759" s="1" t="s">
        <v>360</v>
      </c>
      <c r="I1759" s="1" t="s">
        <v>360</v>
      </c>
      <c r="J1759" s="1" t="s">
        <v>418</v>
      </c>
      <c r="K1759" s="1" t="s">
        <v>360</v>
      </c>
    </row>
    <row r="1760" spans="1:11" x14ac:dyDescent="0.3">
      <c r="A1760" s="1">
        <v>83</v>
      </c>
      <c r="B1760" s="1">
        <v>2024</v>
      </c>
      <c r="C1760" s="3">
        <v>45646</v>
      </c>
      <c r="E1760" s="1" t="s">
        <v>21</v>
      </c>
      <c r="F1760" s="1" t="s">
        <v>13</v>
      </c>
      <c r="G1760" s="1" t="s">
        <v>367</v>
      </c>
      <c r="H1760" s="1" t="s">
        <v>382</v>
      </c>
      <c r="I1760" s="1" t="s">
        <v>366</v>
      </c>
      <c r="J1760" s="1" t="s">
        <v>489</v>
      </c>
      <c r="K1760" s="1" t="s">
        <v>382</v>
      </c>
    </row>
    <row r="1761" spans="1:11" x14ac:dyDescent="0.3">
      <c r="A1761" s="1">
        <v>83</v>
      </c>
      <c r="B1761" s="1">
        <v>2024</v>
      </c>
      <c r="C1761" s="3">
        <v>45646</v>
      </c>
      <c r="E1761" s="1" t="s">
        <v>73</v>
      </c>
      <c r="F1761" s="1" t="s">
        <v>13</v>
      </c>
      <c r="G1761" s="1" t="s">
        <v>358</v>
      </c>
      <c r="H1761" s="1" t="s">
        <v>361</v>
      </c>
      <c r="I1761" s="1" t="s">
        <v>361</v>
      </c>
      <c r="J1761" s="1" t="s">
        <v>490</v>
      </c>
      <c r="K1761" s="1" t="s">
        <v>361</v>
      </c>
    </row>
    <row r="1762" spans="1:11" x14ac:dyDescent="0.3">
      <c r="A1762" s="1">
        <v>83</v>
      </c>
      <c r="B1762" s="1">
        <v>2024</v>
      </c>
      <c r="C1762" s="3">
        <v>45646</v>
      </c>
      <c r="E1762" s="1" t="s">
        <v>23</v>
      </c>
      <c r="F1762" s="1" t="s">
        <v>13</v>
      </c>
      <c r="G1762" s="1" t="s">
        <v>366</v>
      </c>
      <c r="H1762" s="1" t="s">
        <v>362</v>
      </c>
      <c r="I1762" s="1" t="s">
        <v>362</v>
      </c>
      <c r="J1762" s="1" t="s">
        <v>431</v>
      </c>
      <c r="K1762" s="1" t="s">
        <v>384</v>
      </c>
    </row>
    <row r="1763" spans="1:11" x14ac:dyDescent="0.3">
      <c r="A1763" s="1">
        <v>83</v>
      </c>
      <c r="B1763" s="1">
        <v>2024</v>
      </c>
      <c r="C1763" s="3">
        <v>45646</v>
      </c>
      <c r="E1763" s="1" t="s">
        <v>24</v>
      </c>
      <c r="F1763" s="1" t="s">
        <v>13</v>
      </c>
      <c r="G1763" s="1" t="s">
        <v>358</v>
      </c>
      <c r="H1763" s="1" t="s">
        <v>358</v>
      </c>
      <c r="I1763" s="1" t="s">
        <v>358</v>
      </c>
      <c r="J1763" s="1" t="s">
        <v>358</v>
      </c>
      <c r="K1763" s="1" t="s">
        <v>358</v>
      </c>
    </row>
    <row r="1764" spans="1:11" x14ac:dyDescent="0.3">
      <c r="A1764" s="1">
        <v>83</v>
      </c>
      <c r="B1764" s="1">
        <v>2024</v>
      </c>
      <c r="C1764" s="3">
        <v>45646</v>
      </c>
      <c r="E1764" s="1" t="s">
        <v>25</v>
      </c>
      <c r="F1764" s="1" t="s">
        <v>26</v>
      </c>
      <c r="G1764" s="1" t="s">
        <v>358</v>
      </c>
      <c r="H1764" s="1" t="s">
        <v>358</v>
      </c>
      <c r="I1764" s="1" t="s">
        <v>358</v>
      </c>
      <c r="J1764" s="1" t="s">
        <v>358</v>
      </c>
      <c r="K1764" s="1" t="s">
        <v>358</v>
      </c>
    </row>
    <row r="1765" spans="1:11" x14ac:dyDescent="0.3">
      <c r="A1765" s="1">
        <v>83</v>
      </c>
      <c r="B1765" s="1">
        <v>2024</v>
      </c>
      <c r="C1765" s="3">
        <v>45646</v>
      </c>
      <c r="E1765" s="1" t="s">
        <v>27</v>
      </c>
      <c r="F1765" s="1" t="s">
        <v>13</v>
      </c>
      <c r="G1765" s="1" t="s">
        <v>393</v>
      </c>
      <c r="H1765" s="1" t="s">
        <v>491</v>
      </c>
      <c r="I1765" s="1" t="s">
        <v>360</v>
      </c>
      <c r="J1765" s="1" t="s">
        <v>359</v>
      </c>
      <c r="K1765" s="1" t="s">
        <v>358</v>
      </c>
    </row>
    <row r="1766" spans="1:11" x14ac:dyDescent="0.3">
      <c r="A1766" s="1">
        <v>83</v>
      </c>
      <c r="B1766" s="1">
        <v>2024</v>
      </c>
      <c r="C1766" s="3">
        <v>45646</v>
      </c>
      <c r="E1766" s="1" t="s">
        <v>28</v>
      </c>
      <c r="F1766" s="1" t="s">
        <v>13</v>
      </c>
      <c r="G1766" s="1" t="s">
        <v>430</v>
      </c>
      <c r="H1766" s="1" t="s">
        <v>454</v>
      </c>
      <c r="I1766" s="1" t="s">
        <v>357</v>
      </c>
      <c r="J1766" s="1" t="s">
        <v>430</v>
      </c>
      <c r="K1766" s="1" t="s">
        <v>430</v>
      </c>
    </row>
    <row r="1767" spans="1:11" x14ac:dyDescent="0.3">
      <c r="A1767" s="1">
        <v>83</v>
      </c>
      <c r="B1767" s="1">
        <v>2024</v>
      </c>
      <c r="C1767" s="3">
        <v>45646</v>
      </c>
      <c r="E1767" s="1" t="s">
        <v>29</v>
      </c>
      <c r="F1767" s="1" t="s">
        <v>13</v>
      </c>
      <c r="G1767" s="1" t="s">
        <v>363</v>
      </c>
      <c r="H1767" s="1" t="s">
        <v>357</v>
      </c>
      <c r="I1767" s="1" t="s">
        <v>357</v>
      </c>
      <c r="J1767" s="1" t="s">
        <v>485</v>
      </c>
      <c r="K1767" s="1" t="s">
        <v>357</v>
      </c>
    </row>
    <row r="1768" spans="1:11" x14ac:dyDescent="0.3">
      <c r="A1768" s="1">
        <v>83</v>
      </c>
      <c r="B1768" s="1">
        <v>2024</v>
      </c>
      <c r="C1768" s="3">
        <v>45646</v>
      </c>
      <c r="E1768" s="1" t="s">
        <v>31</v>
      </c>
      <c r="F1768" s="1" t="s">
        <v>32</v>
      </c>
      <c r="G1768" s="1" t="s">
        <v>378</v>
      </c>
      <c r="H1768" s="1" t="s">
        <v>378</v>
      </c>
      <c r="I1768" s="1" t="s">
        <v>378</v>
      </c>
      <c r="J1768" s="1" t="s">
        <v>378</v>
      </c>
      <c r="K1768" s="1" t="s">
        <v>378</v>
      </c>
    </row>
    <row r="1769" spans="1:11" x14ac:dyDescent="0.3">
      <c r="A1769" s="1">
        <v>83</v>
      </c>
      <c r="B1769" s="1">
        <v>2024</v>
      </c>
      <c r="C1769" s="3">
        <v>45646</v>
      </c>
      <c r="E1769" s="1" t="s">
        <v>34</v>
      </c>
      <c r="F1769" s="1" t="s">
        <v>35</v>
      </c>
      <c r="G1769" s="1" t="s">
        <v>379</v>
      </c>
      <c r="H1769" s="1" t="s">
        <v>379</v>
      </c>
      <c r="I1769" s="1" t="s">
        <v>367</v>
      </c>
      <c r="J1769" s="1" t="s">
        <v>492</v>
      </c>
      <c r="K1769" s="1" t="s">
        <v>379</v>
      </c>
    </row>
    <row r="1770" spans="1:11" x14ac:dyDescent="0.3">
      <c r="A1770" s="1">
        <v>83</v>
      </c>
      <c r="B1770" s="1">
        <v>2024</v>
      </c>
      <c r="C1770" s="3">
        <v>45646</v>
      </c>
      <c r="E1770" s="1" t="s">
        <v>36</v>
      </c>
      <c r="F1770" s="1" t="s">
        <v>35</v>
      </c>
      <c r="G1770" s="1" t="s">
        <v>382</v>
      </c>
      <c r="H1770" s="1" t="s">
        <v>419</v>
      </c>
      <c r="I1770" s="1" t="s">
        <v>362</v>
      </c>
      <c r="J1770" s="1" t="s">
        <v>419</v>
      </c>
      <c r="K1770" s="1" t="s">
        <v>419</v>
      </c>
    </row>
    <row r="1771" spans="1:11" x14ac:dyDescent="0.3">
      <c r="A1771" s="1">
        <v>83</v>
      </c>
      <c r="B1771" s="1">
        <v>2024</v>
      </c>
      <c r="C1771" s="3">
        <v>45646</v>
      </c>
      <c r="E1771" s="1" t="s">
        <v>153</v>
      </c>
      <c r="F1771" s="1" t="s">
        <v>154</v>
      </c>
      <c r="G1771" s="1" t="s">
        <v>394</v>
      </c>
      <c r="H1771" s="1" t="s">
        <v>385</v>
      </c>
      <c r="I1771" s="1" t="s">
        <v>386</v>
      </c>
      <c r="J1771" s="1" t="s">
        <v>406</v>
      </c>
      <c r="K1771" s="1" t="s">
        <v>385</v>
      </c>
    </row>
    <row r="1772" spans="1:11" x14ac:dyDescent="0.3">
      <c r="A1772" s="1">
        <v>83</v>
      </c>
      <c r="B1772" s="1">
        <v>2024</v>
      </c>
      <c r="C1772" s="3">
        <v>45646</v>
      </c>
      <c r="E1772" s="1" t="s">
        <v>39</v>
      </c>
      <c r="F1772" s="1" t="s">
        <v>40</v>
      </c>
      <c r="G1772" s="1" t="s">
        <v>388</v>
      </c>
      <c r="H1772" s="1" t="s">
        <v>393</v>
      </c>
      <c r="I1772" s="1" t="s">
        <v>358</v>
      </c>
      <c r="J1772" s="1" t="s">
        <v>393</v>
      </c>
      <c r="K1772" s="1" t="s">
        <v>393</v>
      </c>
    </row>
    <row r="1773" spans="1:11" x14ac:dyDescent="0.3">
      <c r="A1773" s="1">
        <v>83</v>
      </c>
      <c r="B1773" s="1">
        <v>2024</v>
      </c>
      <c r="C1773" s="3">
        <v>45646</v>
      </c>
      <c r="E1773" s="1" t="s">
        <v>42</v>
      </c>
      <c r="F1773" s="1" t="s">
        <v>43</v>
      </c>
      <c r="G1773" s="1" t="s">
        <v>390</v>
      </c>
      <c r="H1773" s="1" t="s">
        <v>370</v>
      </c>
      <c r="I1773" s="1" t="s">
        <v>370</v>
      </c>
      <c r="J1773" s="1" t="s">
        <v>493</v>
      </c>
      <c r="K1773" s="1" t="s">
        <v>434</v>
      </c>
    </row>
    <row r="1774" spans="1:11" x14ac:dyDescent="0.3">
      <c r="A1774" s="1">
        <v>83</v>
      </c>
      <c r="B1774" s="1">
        <v>2024</v>
      </c>
      <c r="C1774" s="3">
        <v>45646</v>
      </c>
      <c r="E1774" s="1" t="s">
        <v>44</v>
      </c>
      <c r="F1774" s="1" t="s">
        <v>45</v>
      </c>
      <c r="G1774" s="1" t="s">
        <v>390</v>
      </c>
      <c r="H1774" s="1" t="s">
        <v>393</v>
      </c>
      <c r="I1774" s="1" t="s">
        <v>393</v>
      </c>
      <c r="J1774" s="1" t="s">
        <v>494</v>
      </c>
      <c r="K1774" s="1" t="s">
        <v>393</v>
      </c>
    </row>
    <row r="1775" spans="1:11" x14ac:dyDescent="0.3">
      <c r="A1775" s="1">
        <v>83</v>
      </c>
      <c r="B1775" s="1">
        <v>2024</v>
      </c>
      <c r="C1775" s="3">
        <v>45646</v>
      </c>
      <c r="E1775" s="1" t="s">
        <v>48</v>
      </c>
      <c r="F1775" s="1" t="s">
        <v>45</v>
      </c>
      <c r="G1775" s="1" t="s">
        <v>358</v>
      </c>
      <c r="H1775" s="1" t="s">
        <v>370</v>
      </c>
      <c r="I1775" s="1" t="s">
        <v>386</v>
      </c>
      <c r="J1775" s="1" t="s">
        <v>370</v>
      </c>
      <c r="K1775" s="1" t="s">
        <v>370</v>
      </c>
    </row>
    <row r="1776" spans="1:11" x14ac:dyDescent="0.3">
      <c r="A1776" s="1">
        <v>83</v>
      </c>
      <c r="B1776" s="1">
        <v>2024</v>
      </c>
      <c r="C1776" s="3">
        <v>45646</v>
      </c>
      <c r="E1776" s="1" t="s">
        <v>49</v>
      </c>
      <c r="F1776" s="1" t="s">
        <v>50</v>
      </c>
      <c r="G1776" s="1" t="s">
        <v>388</v>
      </c>
      <c r="H1776" s="1" t="s">
        <v>393</v>
      </c>
      <c r="I1776" s="1" t="s">
        <v>358</v>
      </c>
      <c r="J1776" s="1" t="s">
        <v>495</v>
      </c>
      <c r="K1776" s="1" t="s">
        <v>400</v>
      </c>
    </row>
    <row r="1777" spans="1:11" x14ac:dyDescent="0.3">
      <c r="A1777" s="1">
        <v>83</v>
      </c>
      <c r="B1777" s="1">
        <v>2024</v>
      </c>
      <c r="C1777" s="3">
        <v>45646</v>
      </c>
      <c r="E1777" s="1" t="s">
        <v>52</v>
      </c>
      <c r="F1777" s="1" t="s">
        <v>43</v>
      </c>
      <c r="G1777" s="1" t="s">
        <v>390</v>
      </c>
      <c r="H1777" s="1" t="s">
        <v>393</v>
      </c>
      <c r="I1777" s="1" t="s">
        <v>386</v>
      </c>
      <c r="J1777" s="1" t="s">
        <v>358</v>
      </c>
      <c r="K1777" s="1" t="s">
        <v>396</v>
      </c>
    </row>
    <row r="1778" spans="1:11" x14ac:dyDescent="0.3">
      <c r="A1778" s="1">
        <v>83</v>
      </c>
      <c r="B1778" s="1">
        <v>2024</v>
      </c>
      <c r="C1778" s="3">
        <v>45646</v>
      </c>
      <c r="E1778" s="1" t="s">
        <v>53</v>
      </c>
      <c r="F1778" s="1" t="s">
        <v>43</v>
      </c>
      <c r="G1778" s="1" t="s">
        <v>388</v>
      </c>
      <c r="H1778" s="1" t="s">
        <v>397</v>
      </c>
      <c r="I1778" s="1" t="s">
        <v>358</v>
      </c>
      <c r="J1778" s="1" t="s">
        <v>496</v>
      </c>
      <c r="K1778" s="1" t="s">
        <v>397</v>
      </c>
    </row>
    <row r="1779" spans="1:11" x14ac:dyDescent="0.3">
      <c r="A1779" s="1">
        <v>83</v>
      </c>
      <c r="B1779" s="1">
        <v>2024</v>
      </c>
      <c r="C1779" s="3">
        <v>45646</v>
      </c>
      <c r="E1779" s="1" t="s">
        <v>54</v>
      </c>
      <c r="F1779" s="1" t="s">
        <v>40</v>
      </c>
      <c r="G1779" s="1" t="s">
        <v>370</v>
      </c>
      <c r="H1779" s="1" t="s">
        <v>386</v>
      </c>
      <c r="I1779" s="1" t="s">
        <v>403</v>
      </c>
      <c r="J1779" s="1" t="s">
        <v>497</v>
      </c>
      <c r="K1779" s="1" t="s">
        <v>386</v>
      </c>
    </row>
    <row r="1780" spans="1:11" x14ac:dyDescent="0.3">
      <c r="A1780" s="1">
        <v>83</v>
      </c>
      <c r="B1780" s="1">
        <v>2024</v>
      </c>
      <c r="C1780" s="3">
        <v>45646</v>
      </c>
      <c r="E1780" s="1" t="s">
        <v>56</v>
      </c>
      <c r="F1780" s="1" t="s">
        <v>43</v>
      </c>
      <c r="G1780" s="1" t="s">
        <v>385</v>
      </c>
      <c r="H1780" s="1" t="s">
        <v>385</v>
      </c>
      <c r="I1780" s="1" t="s">
        <v>385</v>
      </c>
      <c r="J1780" s="1" t="s">
        <v>385</v>
      </c>
      <c r="K1780" s="1" t="s">
        <v>385</v>
      </c>
    </row>
    <row r="1781" spans="1:11" x14ac:dyDescent="0.3">
      <c r="A1781" s="1">
        <v>83</v>
      </c>
      <c r="B1781" s="1">
        <v>2024</v>
      </c>
      <c r="C1781" s="3">
        <v>45646</v>
      </c>
      <c r="E1781" s="1" t="s">
        <v>57</v>
      </c>
      <c r="F1781" s="1" t="s">
        <v>40</v>
      </c>
      <c r="G1781" s="1" t="s">
        <v>390</v>
      </c>
      <c r="H1781" s="1" t="s">
        <v>393</v>
      </c>
      <c r="I1781" s="1" t="s">
        <v>358</v>
      </c>
      <c r="J1781" s="1" t="s">
        <v>498</v>
      </c>
      <c r="K1781" s="1" t="s">
        <v>393</v>
      </c>
    </row>
    <row r="1782" spans="1:11" x14ac:dyDescent="0.3">
      <c r="A1782" s="1">
        <v>83</v>
      </c>
      <c r="B1782" s="1">
        <v>2024</v>
      </c>
      <c r="C1782" s="3">
        <v>45646</v>
      </c>
      <c r="E1782" s="1" t="s">
        <v>58</v>
      </c>
      <c r="F1782" s="1" t="s">
        <v>40</v>
      </c>
      <c r="G1782" s="1" t="s">
        <v>386</v>
      </c>
      <c r="H1782" s="1" t="s">
        <v>386</v>
      </c>
      <c r="I1782" s="1" t="s">
        <v>405</v>
      </c>
      <c r="J1782" s="1" t="s">
        <v>484</v>
      </c>
      <c r="K1782" s="1" t="s">
        <v>484</v>
      </c>
    </row>
    <row r="1783" spans="1:11" x14ac:dyDescent="0.3">
      <c r="A1783" s="1">
        <v>83</v>
      </c>
      <c r="B1783" s="1">
        <v>2024</v>
      </c>
      <c r="C1783" s="3">
        <v>45646</v>
      </c>
      <c r="E1783" s="1" t="s">
        <v>59</v>
      </c>
      <c r="F1783" s="1" t="s">
        <v>45</v>
      </c>
      <c r="G1783" s="1" t="s">
        <v>362</v>
      </c>
      <c r="H1783" s="1" t="s">
        <v>397</v>
      </c>
      <c r="I1783" s="1" t="s">
        <v>393</v>
      </c>
      <c r="J1783" s="1" t="s">
        <v>440</v>
      </c>
      <c r="K1783" s="1" t="s">
        <v>440</v>
      </c>
    </row>
    <row r="1784" spans="1:11" x14ac:dyDescent="0.3">
      <c r="A1784" s="1">
        <v>83</v>
      </c>
      <c r="B1784" s="1">
        <v>2024</v>
      </c>
      <c r="C1784" s="3">
        <v>45646</v>
      </c>
      <c r="E1784" s="1" t="s">
        <v>60</v>
      </c>
      <c r="F1784" s="1" t="s">
        <v>61</v>
      </c>
      <c r="G1784" s="1" t="s">
        <v>405</v>
      </c>
      <c r="H1784" s="1" t="s">
        <v>401</v>
      </c>
      <c r="I1784" s="1" t="s">
        <v>499</v>
      </c>
      <c r="J1784" s="1" t="s">
        <v>500</v>
      </c>
      <c r="K1784" s="1" t="s">
        <v>401</v>
      </c>
    </row>
    <row r="1785" spans="1:11" x14ac:dyDescent="0.3">
      <c r="A1785" s="1">
        <v>83</v>
      </c>
      <c r="B1785" s="1">
        <v>2024</v>
      </c>
      <c r="C1785" s="3">
        <v>45646</v>
      </c>
      <c r="E1785" s="1" t="s">
        <v>63</v>
      </c>
      <c r="F1785" s="1" t="s">
        <v>40</v>
      </c>
      <c r="G1785" s="1" t="s">
        <v>358</v>
      </c>
      <c r="H1785" s="1" t="s">
        <v>358</v>
      </c>
      <c r="I1785" s="1" t="s">
        <v>386</v>
      </c>
      <c r="J1785" s="1" t="s">
        <v>434</v>
      </c>
      <c r="K1785" s="1" t="s">
        <v>434</v>
      </c>
    </row>
    <row r="1786" spans="1:11" x14ac:dyDescent="0.3">
      <c r="A1786" s="1">
        <v>83</v>
      </c>
      <c r="B1786" s="1">
        <v>2024</v>
      </c>
      <c r="C1786" s="3">
        <v>45646</v>
      </c>
      <c r="E1786" s="1" t="s">
        <v>64</v>
      </c>
      <c r="F1786" s="1" t="s">
        <v>40</v>
      </c>
      <c r="G1786" s="1" t="s">
        <v>403</v>
      </c>
      <c r="H1786" s="1" t="s">
        <v>499</v>
      </c>
      <c r="I1786" s="1" t="s">
        <v>411</v>
      </c>
      <c r="J1786" s="1" t="s">
        <v>501</v>
      </c>
      <c r="K1786" s="1" t="s">
        <v>499</v>
      </c>
    </row>
    <row r="1787" spans="1:11" x14ac:dyDescent="0.3">
      <c r="A1787" s="1">
        <v>83</v>
      </c>
      <c r="B1787" s="1">
        <v>2024</v>
      </c>
      <c r="C1787" s="3">
        <v>45646</v>
      </c>
      <c r="E1787" s="1" t="s">
        <v>66</v>
      </c>
      <c r="F1787" s="1" t="s">
        <v>45</v>
      </c>
    </row>
    <row r="1788" spans="1:11" x14ac:dyDescent="0.3">
      <c r="A1788" s="1">
        <v>83</v>
      </c>
      <c r="B1788" s="1">
        <v>2024</v>
      </c>
      <c r="C1788" s="3">
        <v>45646</v>
      </c>
      <c r="E1788" s="1" t="s">
        <v>67</v>
      </c>
      <c r="F1788" s="1" t="s">
        <v>45</v>
      </c>
    </row>
    <row r="1789" spans="1:11" x14ac:dyDescent="0.3">
      <c r="A1789" s="1">
        <v>83</v>
      </c>
      <c r="B1789" s="1">
        <v>2024</v>
      </c>
      <c r="C1789" s="3">
        <v>45646</v>
      </c>
      <c r="E1789" s="1" t="s">
        <v>68</v>
      </c>
      <c r="F1789" s="1" t="s">
        <v>45</v>
      </c>
    </row>
    <row r="1790" spans="1:11" x14ac:dyDescent="0.3">
      <c r="A1790" s="1">
        <v>83</v>
      </c>
      <c r="B1790" s="1">
        <v>2024</v>
      </c>
      <c r="C1790" s="3">
        <v>45646</v>
      </c>
      <c r="E1790" s="1" t="s">
        <v>69</v>
      </c>
      <c r="F1790" s="1" t="s">
        <v>45</v>
      </c>
      <c r="G1790" s="1" t="s">
        <v>358</v>
      </c>
      <c r="H1790" s="1" t="s">
        <v>358</v>
      </c>
      <c r="I1790" s="1" t="s">
        <v>358</v>
      </c>
      <c r="J1790" s="1" t="s">
        <v>358</v>
      </c>
      <c r="K1790" s="1" t="s">
        <v>358</v>
      </c>
    </row>
    <row r="1791" spans="1:11" x14ac:dyDescent="0.3">
      <c r="A1791" s="1">
        <v>83</v>
      </c>
      <c r="B1791" s="1">
        <v>2024</v>
      </c>
      <c r="C1791" s="3">
        <v>45646</v>
      </c>
      <c r="E1791" s="1" t="s">
        <v>70</v>
      </c>
      <c r="F1791" s="16" t="s">
        <v>71</v>
      </c>
    </row>
    <row r="1792" spans="1:11" x14ac:dyDescent="0.3">
      <c r="A1792" s="1">
        <v>84</v>
      </c>
      <c r="B1792" s="1">
        <v>2024</v>
      </c>
      <c r="C1792" s="3">
        <v>45653</v>
      </c>
      <c r="E1792" s="1" t="s">
        <v>12</v>
      </c>
      <c r="F1792" s="1" t="s">
        <v>13</v>
      </c>
      <c r="G1792" s="1" t="s">
        <v>357</v>
      </c>
      <c r="H1792" s="1" t="s">
        <v>357</v>
      </c>
      <c r="I1792" s="1" t="s">
        <v>360</v>
      </c>
      <c r="J1792" s="1" t="s">
        <v>358</v>
      </c>
      <c r="K1792" s="1" t="s">
        <v>358</v>
      </c>
    </row>
    <row r="1793" spans="1:11" x14ac:dyDescent="0.3">
      <c r="A1793" s="1">
        <v>84</v>
      </c>
      <c r="B1793" s="1">
        <v>2024</v>
      </c>
      <c r="C1793" s="3">
        <v>45653</v>
      </c>
      <c r="E1793" s="1" t="s">
        <v>14</v>
      </c>
      <c r="F1793" s="1" t="s">
        <v>13</v>
      </c>
      <c r="G1793" s="1" t="s">
        <v>360</v>
      </c>
      <c r="H1793" s="1" t="s">
        <v>360</v>
      </c>
      <c r="I1793" s="1" t="s">
        <v>472</v>
      </c>
      <c r="J1793" s="1" t="s">
        <v>502</v>
      </c>
      <c r="K1793" s="1" t="s">
        <v>417</v>
      </c>
    </row>
    <row r="1794" spans="1:11" x14ac:dyDescent="0.3">
      <c r="A1794" s="1">
        <v>84</v>
      </c>
      <c r="B1794" s="1">
        <v>2024</v>
      </c>
      <c r="C1794" s="3">
        <v>45653</v>
      </c>
      <c r="E1794" s="1" t="s">
        <v>15</v>
      </c>
      <c r="F1794" s="1" t="s">
        <v>13</v>
      </c>
      <c r="G1794" s="1" t="s">
        <v>430</v>
      </c>
      <c r="H1794" s="1" t="s">
        <v>357</v>
      </c>
      <c r="I1794" s="1" t="s">
        <v>358</v>
      </c>
      <c r="J1794" s="1" t="s">
        <v>503</v>
      </c>
      <c r="K1794" s="1" t="s">
        <v>357</v>
      </c>
    </row>
    <row r="1795" spans="1:11" x14ac:dyDescent="0.3">
      <c r="A1795" s="1">
        <v>84</v>
      </c>
      <c r="B1795" s="1">
        <v>2024</v>
      </c>
      <c r="C1795" s="3">
        <v>45653</v>
      </c>
      <c r="E1795" s="1" t="s">
        <v>16</v>
      </c>
      <c r="F1795" s="1" t="s">
        <v>13</v>
      </c>
      <c r="G1795" s="1" t="s">
        <v>366</v>
      </c>
      <c r="H1795" s="1" t="s">
        <v>362</v>
      </c>
      <c r="I1795" s="1" t="s">
        <v>430</v>
      </c>
      <c r="J1795" s="1" t="s">
        <v>362</v>
      </c>
      <c r="K1795" s="1" t="s">
        <v>362</v>
      </c>
    </row>
    <row r="1796" spans="1:11" x14ac:dyDescent="0.3">
      <c r="A1796" s="1">
        <v>84</v>
      </c>
      <c r="B1796" s="1">
        <v>2024</v>
      </c>
      <c r="C1796" s="3">
        <v>45653</v>
      </c>
      <c r="E1796" s="1" t="s">
        <v>17</v>
      </c>
      <c r="F1796" s="1" t="s">
        <v>13</v>
      </c>
      <c r="G1796" s="1" t="s">
        <v>419</v>
      </c>
      <c r="H1796" s="1" t="s">
        <v>362</v>
      </c>
      <c r="I1796" s="1" t="s">
        <v>430</v>
      </c>
      <c r="J1796" s="1" t="s">
        <v>476</v>
      </c>
      <c r="K1796" s="1" t="s">
        <v>362</v>
      </c>
    </row>
    <row r="1797" spans="1:11" x14ac:dyDescent="0.3">
      <c r="A1797" s="1">
        <v>84</v>
      </c>
      <c r="B1797" s="1">
        <v>2024</v>
      </c>
      <c r="C1797" s="3">
        <v>45653</v>
      </c>
      <c r="E1797" s="1" t="s">
        <v>18</v>
      </c>
      <c r="F1797" s="1" t="s">
        <v>13</v>
      </c>
      <c r="G1797" s="1" t="s">
        <v>358</v>
      </c>
      <c r="H1797" s="1" t="s">
        <v>358</v>
      </c>
      <c r="I1797" s="1" t="s">
        <v>358</v>
      </c>
      <c r="J1797" s="1" t="s">
        <v>358</v>
      </c>
      <c r="K1797" s="1" t="s">
        <v>358</v>
      </c>
    </row>
    <row r="1798" spans="1:11" x14ac:dyDescent="0.3">
      <c r="A1798" s="1">
        <v>84</v>
      </c>
      <c r="B1798" s="1">
        <v>2024</v>
      </c>
      <c r="C1798" s="3">
        <v>45653</v>
      </c>
      <c r="E1798" s="1" t="s">
        <v>19</v>
      </c>
      <c r="F1798" s="1" t="s">
        <v>13</v>
      </c>
      <c r="G1798" s="1" t="s">
        <v>360</v>
      </c>
      <c r="H1798" s="1" t="s">
        <v>360</v>
      </c>
      <c r="I1798" s="1" t="s">
        <v>360</v>
      </c>
      <c r="J1798" s="1" t="s">
        <v>360</v>
      </c>
      <c r="K1798" s="1" t="s">
        <v>360</v>
      </c>
    </row>
    <row r="1799" spans="1:11" x14ac:dyDescent="0.3">
      <c r="A1799" s="1">
        <v>84</v>
      </c>
      <c r="B1799" s="1">
        <v>2024</v>
      </c>
      <c r="C1799" s="3">
        <v>45653</v>
      </c>
      <c r="E1799" s="1" t="s">
        <v>20</v>
      </c>
      <c r="F1799" s="1" t="s">
        <v>13</v>
      </c>
      <c r="G1799" s="1" t="s">
        <v>358</v>
      </c>
      <c r="H1799" s="1" t="s">
        <v>360</v>
      </c>
      <c r="I1799" s="1" t="s">
        <v>360</v>
      </c>
      <c r="J1799" s="1" t="s">
        <v>504</v>
      </c>
      <c r="K1799" s="1" t="s">
        <v>360</v>
      </c>
    </row>
    <row r="1800" spans="1:11" x14ac:dyDescent="0.3">
      <c r="A1800" s="1">
        <v>84</v>
      </c>
      <c r="B1800" s="1">
        <v>2024</v>
      </c>
      <c r="C1800" s="3">
        <v>45653</v>
      </c>
      <c r="E1800" s="1" t="s">
        <v>21</v>
      </c>
      <c r="F1800" s="1" t="s">
        <v>13</v>
      </c>
      <c r="G1800" s="1" t="s">
        <v>367</v>
      </c>
      <c r="H1800" s="1" t="s">
        <v>382</v>
      </c>
      <c r="I1800" s="1" t="s">
        <v>366</v>
      </c>
      <c r="J1800" s="1" t="s">
        <v>477</v>
      </c>
      <c r="K1800" s="1" t="s">
        <v>382</v>
      </c>
    </row>
    <row r="1801" spans="1:11" x14ac:dyDescent="0.3">
      <c r="A1801" s="1">
        <v>84</v>
      </c>
      <c r="B1801" s="1">
        <v>2024</v>
      </c>
      <c r="C1801" s="3">
        <v>45653</v>
      </c>
      <c r="E1801" s="1" t="s">
        <v>73</v>
      </c>
      <c r="F1801" s="1" t="s">
        <v>13</v>
      </c>
      <c r="G1801" s="1" t="s">
        <v>358</v>
      </c>
      <c r="H1801" s="1" t="s">
        <v>386</v>
      </c>
      <c r="I1801" s="1" t="s">
        <v>472</v>
      </c>
      <c r="J1801" s="1" t="s">
        <v>386</v>
      </c>
      <c r="K1801" s="1" t="s">
        <v>505</v>
      </c>
    </row>
    <row r="1802" spans="1:11" x14ac:dyDescent="0.3">
      <c r="A1802" s="1">
        <v>84</v>
      </c>
      <c r="B1802" s="1">
        <v>2024</v>
      </c>
      <c r="C1802" s="3">
        <v>45653</v>
      </c>
      <c r="E1802" s="1" t="s">
        <v>23</v>
      </c>
      <c r="F1802" s="1" t="s">
        <v>13</v>
      </c>
      <c r="G1802" s="1" t="s">
        <v>362</v>
      </c>
      <c r="H1802" s="1" t="s">
        <v>366</v>
      </c>
      <c r="I1802" s="1" t="s">
        <v>430</v>
      </c>
      <c r="J1802" s="1" t="s">
        <v>506</v>
      </c>
      <c r="K1802" s="1" t="s">
        <v>362</v>
      </c>
    </row>
    <row r="1803" spans="1:11" x14ac:dyDescent="0.3">
      <c r="A1803" s="1">
        <v>84</v>
      </c>
      <c r="B1803" s="1">
        <v>2024</v>
      </c>
      <c r="C1803" s="3">
        <v>45653</v>
      </c>
      <c r="E1803" s="1" t="s">
        <v>24</v>
      </c>
      <c r="F1803" s="1" t="s">
        <v>13</v>
      </c>
      <c r="G1803" s="1" t="s">
        <v>358</v>
      </c>
      <c r="H1803" s="1" t="s">
        <v>358</v>
      </c>
      <c r="I1803" s="1" t="s">
        <v>360</v>
      </c>
      <c r="J1803" s="1" t="s">
        <v>375</v>
      </c>
      <c r="K1803" s="1" t="s">
        <v>358</v>
      </c>
    </row>
    <row r="1804" spans="1:11" x14ac:dyDescent="0.3">
      <c r="A1804" s="1">
        <v>84</v>
      </c>
      <c r="B1804" s="1">
        <v>2024</v>
      </c>
      <c r="C1804" s="3">
        <v>45653</v>
      </c>
      <c r="E1804" s="1" t="s">
        <v>25</v>
      </c>
      <c r="F1804" s="1" t="s">
        <v>26</v>
      </c>
      <c r="G1804" s="1" t="s">
        <v>358</v>
      </c>
      <c r="H1804" s="1" t="s">
        <v>357</v>
      </c>
      <c r="I1804" s="1" t="s">
        <v>358</v>
      </c>
      <c r="J1804" s="1" t="s">
        <v>478</v>
      </c>
      <c r="K1804" s="1" t="s">
        <v>358</v>
      </c>
    </row>
    <row r="1805" spans="1:11" x14ac:dyDescent="0.3">
      <c r="A1805" s="1">
        <v>84</v>
      </c>
      <c r="B1805" s="1">
        <v>2024</v>
      </c>
      <c r="C1805" s="3">
        <v>45653</v>
      </c>
      <c r="E1805" s="1" t="s">
        <v>27</v>
      </c>
      <c r="F1805" s="1" t="s">
        <v>13</v>
      </c>
      <c r="G1805" s="1" t="s">
        <v>358</v>
      </c>
      <c r="H1805" s="1" t="s">
        <v>360</v>
      </c>
      <c r="I1805" s="1" t="s">
        <v>360</v>
      </c>
      <c r="J1805" s="1" t="s">
        <v>507</v>
      </c>
      <c r="K1805" s="1" t="s">
        <v>508</v>
      </c>
    </row>
    <row r="1806" spans="1:11" x14ac:dyDescent="0.3">
      <c r="A1806" s="1">
        <v>84</v>
      </c>
      <c r="B1806" s="1">
        <v>2024</v>
      </c>
      <c r="C1806" s="3">
        <v>45653</v>
      </c>
      <c r="E1806" s="1" t="s">
        <v>28</v>
      </c>
      <c r="F1806" s="1" t="s">
        <v>13</v>
      </c>
      <c r="G1806" s="1" t="s">
        <v>388</v>
      </c>
      <c r="H1806" s="1" t="s">
        <v>430</v>
      </c>
      <c r="I1806" s="1" t="s">
        <v>358</v>
      </c>
      <c r="J1806" s="1" t="s">
        <v>509</v>
      </c>
      <c r="K1806" s="1" t="s">
        <v>430</v>
      </c>
    </row>
    <row r="1807" spans="1:11" x14ac:dyDescent="0.3">
      <c r="A1807" s="1">
        <v>84</v>
      </c>
      <c r="B1807" s="1">
        <v>2024</v>
      </c>
      <c r="C1807" s="3">
        <v>45653</v>
      </c>
      <c r="E1807" s="1" t="s">
        <v>29</v>
      </c>
      <c r="F1807" s="1" t="s">
        <v>13</v>
      </c>
      <c r="G1807" s="1" t="s">
        <v>363</v>
      </c>
      <c r="H1807" s="1" t="s">
        <v>358</v>
      </c>
      <c r="I1807" s="1" t="s">
        <v>358</v>
      </c>
      <c r="J1807" s="1" t="s">
        <v>510</v>
      </c>
      <c r="K1807" s="1" t="s">
        <v>358</v>
      </c>
    </row>
    <row r="1808" spans="1:11" x14ac:dyDescent="0.3">
      <c r="A1808" s="1">
        <v>84</v>
      </c>
      <c r="B1808" s="1">
        <v>2024</v>
      </c>
      <c r="C1808" s="3">
        <v>45653</v>
      </c>
      <c r="E1808" s="1" t="s">
        <v>31</v>
      </c>
      <c r="F1808" s="1" t="s">
        <v>32</v>
      </c>
      <c r="G1808" s="1" t="s">
        <v>378</v>
      </c>
      <c r="H1808" s="1" t="s">
        <v>378</v>
      </c>
      <c r="I1808" s="1" t="s">
        <v>378</v>
      </c>
      <c r="J1808" s="1" t="s">
        <v>378</v>
      </c>
      <c r="K1808" s="1" t="s">
        <v>378</v>
      </c>
    </row>
    <row r="1809" spans="1:11" x14ac:dyDescent="0.3">
      <c r="A1809" s="1">
        <v>84</v>
      </c>
      <c r="B1809" s="1">
        <v>2024</v>
      </c>
      <c r="C1809" s="3">
        <v>45653</v>
      </c>
      <c r="E1809" s="1" t="s">
        <v>34</v>
      </c>
      <c r="F1809" s="1" t="s">
        <v>35</v>
      </c>
      <c r="G1809" s="1" t="s">
        <v>382</v>
      </c>
      <c r="H1809" s="1" t="s">
        <v>367</v>
      </c>
      <c r="I1809" s="1" t="s">
        <v>382</v>
      </c>
      <c r="J1809" s="1" t="s">
        <v>511</v>
      </c>
      <c r="K1809" s="1" t="s">
        <v>382</v>
      </c>
    </row>
    <row r="1810" spans="1:11" x14ac:dyDescent="0.3">
      <c r="A1810" s="1">
        <v>84</v>
      </c>
      <c r="B1810" s="1">
        <v>2024</v>
      </c>
      <c r="C1810" s="3">
        <v>45653</v>
      </c>
      <c r="E1810" s="1" t="s">
        <v>36</v>
      </c>
      <c r="F1810" s="1" t="s">
        <v>35</v>
      </c>
      <c r="G1810" s="1" t="s">
        <v>419</v>
      </c>
      <c r="H1810" s="1" t="s">
        <v>382</v>
      </c>
      <c r="I1810" s="1" t="s">
        <v>362</v>
      </c>
      <c r="J1810" s="1" t="s">
        <v>419</v>
      </c>
      <c r="K1810" s="1" t="s">
        <v>419</v>
      </c>
    </row>
    <row r="1811" spans="1:11" x14ac:dyDescent="0.3">
      <c r="A1811" s="1">
        <v>84</v>
      </c>
      <c r="B1811" s="1">
        <v>2024</v>
      </c>
      <c r="C1811" s="3">
        <v>45653</v>
      </c>
      <c r="E1811" s="1" t="s">
        <v>153</v>
      </c>
      <c r="F1811" s="1" t="s">
        <v>154</v>
      </c>
      <c r="G1811" s="1" t="s">
        <v>386</v>
      </c>
      <c r="H1811" s="1" t="s">
        <v>386</v>
      </c>
      <c r="I1811" s="1" t="s">
        <v>386</v>
      </c>
      <c r="J1811" s="1" t="s">
        <v>386</v>
      </c>
      <c r="K1811" s="1" t="s">
        <v>386</v>
      </c>
    </row>
    <row r="1812" spans="1:11" x14ac:dyDescent="0.3">
      <c r="A1812" s="1">
        <v>84</v>
      </c>
      <c r="B1812" s="1">
        <v>2024</v>
      </c>
      <c r="C1812" s="3">
        <v>45653</v>
      </c>
      <c r="E1812" s="1" t="s">
        <v>39</v>
      </c>
      <c r="F1812" s="1" t="s">
        <v>40</v>
      </c>
      <c r="G1812" s="1" t="s">
        <v>390</v>
      </c>
      <c r="H1812" s="1" t="s">
        <v>393</v>
      </c>
      <c r="I1812" s="1" t="s">
        <v>393</v>
      </c>
      <c r="J1812" s="1" t="s">
        <v>398</v>
      </c>
      <c r="K1812" s="1" t="s">
        <v>393</v>
      </c>
    </row>
    <row r="1813" spans="1:11" x14ac:dyDescent="0.3">
      <c r="A1813" s="1">
        <v>84</v>
      </c>
      <c r="B1813" s="1">
        <v>2024</v>
      </c>
      <c r="C1813" s="3">
        <v>45653</v>
      </c>
      <c r="E1813" s="1" t="s">
        <v>42</v>
      </c>
      <c r="F1813" s="1" t="s">
        <v>43</v>
      </c>
      <c r="G1813" s="1" t="s">
        <v>390</v>
      </c>
      <c r="H1813" s="1" t="s">
        <v>399</v>
      </c>
      <c r="I1813" s="1" t="s">
        <v>370</v>
      </c>
      <c r="J1813" s="1" t="s">
        <v>399</v>
      </c>
      <c r="K1813" s="1" t="s">
        <v>399</v>
      </c>
    </row>
    <row r="1814" spans="1:11" x14ac:dyDescent="0.3">
      <c r="A1814" s="1">
        <v>84</v>
      </c>
      <c r="B1814" s="1">
        <v>2024</v>
      </c>
      <c r="C1814" s="3">
        <v>45653</v>
      </c>
      <c r="E1814" s="1" t="s">
        <v>44</v>
      </c>
      <c r="F1814" s="1" t="s">
        <v>45</v>
      </c>
      <c r="G1814" s="1" t="s">
        <v>393</v>
      </c>
      <c r="H1814" s="1" t="s">
        <v>393</v>
      </c>
      <c r="I1814" s="1" t="s">
        <v>396</v>
      </c>
      <c r="J1814" s="1" t="s">
        <v>498</v>
      </c>
      <c r="K1814" s="1" t="s">
        <v>393</v>
      </c>
    </row>
    <row r="1815" spans="1:11" x14ac:dyDescent="0.3">
      <c r="A1815" s="1">
        <v>84</v>
      </c>
      <c r="B1815" s="1">
        <v>2024</v>
      </c>
      <c r="C1815" s="3">
        <v>45653</v>
      </c>
      <c r="E1815" s="1" t="s">
        <v>48</v>
      </c>
      <c r="F1815" s="1" t="s">
        <v>45</v>
      </c>
      <c r="G1815" s="1" t="s">
        <v>386</v>
      </c>
      <c r="H1815" s="1" t="s">
        <v>386</v>
      </c>
      <c r="I1815" s="1" t="s">
        <v>386</v>
      </c>
      <c r="J1815" s="1" t="s">
        <v>386</v>
      </c>
      <c r="K1815" s="1" t="s">
        <v>386</v>
      </c>
    </row>
    <row r="1816" spans="1:11" x14ac:dyDescent="0.3">
      <c r="A1816" s="1">
        <v>84</v>
      </c>
      <c r="B1816" s="1">
        <v>2024</v>
      </c>
      <c r="C1816" s="3">
        <v>45653</v>
      </c>
      <c r="E1816" s="1" t="s">
        <v>49</v>
      </c>
      <c r="F1816" s="1" t="s">
        <v>50</v>
      </c>
      <c r="G1816" s="1" t="s">
        <v>396</v>
      </c>
      <c r="H1816" s="1" t="s">
        <v>358</v>
      </c>
      <c r="I1816" s="1" t="s">
        <v>394</v>
      </c>
      <c r="J1816" s="1" t="s">
        <v>358</v>
      </c>
      <c r="K1816" s="1" t="s">
        <v>358</v>
      </c>
    </row>
    <row r="1817" spans="1:11" x14ac:dyDescent="0.3">
      <c r="A1817" s="1">
        <v>84</v>
      </c>
      <c r="B1817" s="1">
        <v>2024</v>
      </c>
      <c r="C1817" s="3">
        <v>45653</v>
      </c>
      <c r="E1817" s="1" t="s">
        <v>52</v>
      </c>
      <c r="F1817" s="1" t="s">
        <v>43</v>
      </c>
      <c r="G1817" s="1" t="s">
        <v>393</v>
      </c>
      <c r="H1817" s="1" t="s">
        <v>484</v>
      </c>
      <c r="I1817" s="1" t="s">
        <v>394</v>
      </c>
      <c r="J1817" s="1" t="s">
        <v>394</v>
      </c>
      <c r="K1817" s="1" t="s">
        <v>391</v>
      </c>
    </row>
    <row r="1818" spans="1:11" x14ac:dyDescent="0.3">
      <c r="A1818" s="1">
        <v>84</v>
      </c>
      <c r="B1818" s="1">
        <v>2024</v>
      </c>
      <c r="C1818" s="3">
        <v>45653</v>
      </c>
      <c r="E1818" s="1" t="s">
        <v>53</v>
      </c>
      <c r="F1818" s="1" t="s">
        <v>43</v>
      </c>
      <c r="G1818" s="1" t="s">
        <v>358</v>
      </c>
      <c r="H1818" s="1" t="s">
        <v>362</v>
      </c>
      <c r="I1818" s="1" t="s">
        <v>358</v>
      </c>
      <c r="J1818" s="1" t="s">
        <v>398</v>
      </c>
      <c r="K1818" s="1" t="s">
        <v>400</v>
      </c>
    </row>
    <row r="1819" spans="1:11" x14ac:dyDescent="0.3">
      <c r="A1819" s="1">
        <v>84</v>
      </c>
      <c r="B1819" s="1">
        <v>2024</v>
      </c>
      <c r="C1819" s="3">
        <v>45653</v>
      </c>
      <c r="E1819" s="1" t="s">
        <v>54</v>
      </c>
      <c r="F1819" s="1" t="s">
        <v>40</v>
      </c>
      <c r="G1819" s="1" t="s">
        <v>370</v>
      </c>
      <c r="H1819" s="1" t="s">
        <v>370</v>
      </c>
      <c r="I1819" s="1" t="s">
        <v>403</v>
      </c>
      <c r="J1819" s="1" t="s">
        <v>484</v>
      </c>
      <c r="K1819" s="1" t="s">
        <v>386</v>
      </c>
    </row>
    <row r="1820" spans="1:11" x14ac:dyDescent="0.3">
      <c r="A1820" s="1">
        <v>84</v>
      </c>
      <c r="B1820" s="1">
        <v>2024</v>
      </c>
      <c r="C1820" s="3">
        <v>45653</v>
      </c>
      <c r="E1820" s="1" t="s">
        <v>56</v>
      </c>
      <c r="F1820" s="1" t="s">
        <v>43</v>
      </c>
      <c r="G1820" s="1" t="s">
        <v>394</v>
      </c>
      <c r="H1820" s="1" t="s">
        <v>394</v>
      </c>
      <c r="I1820" s="1" t="s">
        <v>394</v>
      </c>
      <c r="J1820" s="1" t="s">
        <v>394</v>
      </c>
      <c r="K1820" s="1" t="s">
        <v>394</v>
      </c>
    </row>
    <row r="1821" spans="1:11" x14ac:dyDescent="0.3">
      <c r="A1821" s="1">
        <v>84</v>
      </c>
      <c r="B1821" s="1">
        <v>2024</v>
      </c>
      <c r="C1821" s="3">
        <v>45653</v>
      </c>
      <c r="E1821" s="1" t="s">
        <v>57</v>
      </c>
      <c r="F1821" s="1" t="s">
        <v>40</v>
      </c>
      <c r="G1821" s="1" t="s">
        <v>390</v>
      </c>
      <c r="H1821" s="1" t="s">
        <v>370</v>
      </c>
      <c r="I1821" s="1" t="s">
        <v>370</v>
      </c>
      <c r="J1821" s="1" t="s">
        <v>512</v>
      </c>
      <c r="K1821" s="1" t="s">
        <v>370</v>
      </c>
    </row>
    <row r="1822" spans="1:11" x14ac:dyDescent="0.3">
      <c r="A1822" s="1">
        <v>84</v>
      </c>
      <c r="B1822" s="1">
        <v>2024</v>
      </c>
      <c r="C1822" s="3">
        <v>45653</v>
      </c>
      <c r="E1822" s="1" t="s">
        <v>58</v>
      </c>
      <c r="F1822" s="1" t="s">
        <v>40</v>
      </c>
      <c r="G1822" s="1" t="s">
        <v>386</v>
      </c>
      <c r="H1822" s="1" t="s">
        <v>386</v>
      </c>
      <c r="I1822" s="1" t="s">
        <v>412</v>
      </c>
      <c r="J1822" s="1" t="s">
        <v>513</v>
      </c>
      <c r="K1822" s="1" t="s">
        <v>386</v>
      </c>
    </row>
    <row r="1823" spans="1:11" x14ac:dyDescent="0.3">
      <c r="A1823" s="1">
        <v>84</v>
      </c>
      <c r="B1823" s="1">
        <v>2024</v>
      </c>
      <c r="C1823" s="3">
        <v>45653</v>
      </c>
      <c r="E1823" s="1" t="s">
        <v>59</v>
      </c>
      <c r="F1823" s="1" t="s">
        <v>45</v>
      </c>
      <c r="G1823" s="1" t="s">
        <v>388</v>
      </c>
      <c r="H1823" s="1" t="s">
        <v>396</v>
      </c>
      <c r="I1823" s="1" t="s">
        <v>407</v>
      </c>
      <c r="J1823" s="1" t="s">
        <v>404</v>
      </c>
      <c r="K1823" s="1" t="s">
        <v>404</v>
      </c>
    </row>
    <row r="1824" spans="1:11" x14ac:dyDescent="0.3">
      <c r="A1824" s="1">
        <v>84</v>
      </c>
      <c r="B1824" s="1">
        <v>2024</v>
      </c>
      <c r="C1824" s="3">
        <v>45653</v>
      </c>
      <c r="E1824" s="1" t="s">
        <v>60</v>
      </c>
      <c r="F1824" s="1" t="s">
        <v>61</v>
      </c>
      <c r="G1824" s="1" t="s">
        <v>405</v>
      </c>
      <c r="H1824" s="1" t="s">
        <v>405</v>
      </c>
      <c r="I1824" s="1" t="s">
        <v>415</v>
      </c>
      <c r="J1824" s="1" t="s">
        <v>412</v>
      </c>
      <c r="K1824" s="1" t="s">
        <v>412</v>
      </c>
    </row>
    <row r="1825" spans="1:11" x14ac:dyDescent="0.3">
      <c r="A1825" s="1">
        <v>84</v>
      </c>
      <c r="B1825" s="1">
        <v>2024</v>
      </c>
      <c r="C1825" s="3">
        <v>45653</v>
      </c>
      <c r="E1825" s="1" t="s">
        <v>63</v>
      </c>
      <c r="F1825" s="1" t="s">
        <v>40</v>
      </c>
      <c r="G1825" s="1" t="s">
        <v>484</v>
      </c>
      <c r="H1825" s="1" t="s">
        <v>401</v>
      </c>
      <c r="I1825" s="1" t="s">
        <v>401</v>
      </c>
      <c r="J1825" s="1" t="s">
        <v>514</v>
      </c>
      <c r="K1825" s="1" t="s">
        <v>403</v>
      </c>
    </row>
    <row r="1826" spans="1:11" x14ac:dyDescent="0.3">
      <c r="A1826" s="1">
        <v>84</v>
      </c>
      <c r="B1826" s="1">
        <v>2024</v>
      </c>
      <c r="C1826" s="3">
        <v>45653</v>
      </c>
      <c r="E1826" s="1" t="s">
        <v>64</v>
      </c>
      <c r="F1826" s="1" t="s">
        <v>40</v>
      </c>
      <c r="G1826" s="1" t="s">
        <v>401</v>
      </c>
      <c r="H1826" s="1" t="s">
        <v>425</v>
      </c>
      <c r="I1826" s="1" t="s">
        <v>515</v>
      </c>
      <c r="J1826" s="1" t="s">
        <v>409</v>
      </c>
      <c r="K1826" s="1" t="s">
        <v>409</v>
      </c>
    </row>
    <row r="1827" spans="1:11" x14ac:dyDescent="0.3">
      <c r="A1827" s="1">
        <v>84</v>
      </c>
      <c r="B1827" s="1">
        <v>2024</v>
      </c>
      <c r="C1827" s="3">
        <v>45653</v>
      </c>
      <c r="E1827" s="1" t="s">
        <v>66</v>
      </c>
      <c r="F1827" s="1" t="s">
        <v>45</v>
      </c>
    </row>
    <row r="1828" spans="1:11" x14ac:dyDescent="0.3">
      <c r="A1828" s="1">
        <v>84</v>
      </c>
      <c r="B1828" s="1">
        <v>2024</v>
      </c>
      <c r="C1828" s="3">
        <v>45653</v>
      </c>
      <c r="E1828" s="1" t="s">
        <v>67</v>
      </c>
      <c r="F1828" s="1" t="s">
        <v>45</v>
      </c>
    </row>
    <row r="1829" spans="1:11" x14ac:dyDescent="0.3">
      <c r="A1829" s="1">
        <v>84</v>
      </c>
      <c r="B1829" s="1">
        <v>2024</v>
      </c>
      <c r="C1829" s="3">
        <v>45653</v>
      </c>
      <c r="E1829" s="1" t="s">
        <v>68</v>
      </c>
      <c r="F1829" s="1" t="s">
        <v>45</v>
      </c>
    </row>
    <row r="1830" spans="1:11" x14ac:dyDescent="0.3">
      <c r="A1830" s="1">
        <v>84</v>
      </c>
      <c r="B1830" s="1">
        <v>2024</v>
      </c>
      <c r="C1830" s="3">
        <v>45653</v>
      </c>
      <c r="E1830" s="1" t="s">
        <v>69</v>
      </c>
      <c r="F1830" s="1" t="s">
        <v>45</v>
      </c>
      <c r="G1830" s="1" t="s">
        <v>358</v>
      </c>
      <c r="H1830" s="1" t="s">
        <v>358</v>
      </c>
      <c r="I1830" s="1" t="s">
        <v>358</v>
      </c>
      <c r="J1830" s="1" t="s">
        <v>358</v>
      </c>
      <c r="K1830" s="1" t="s">
        <v>358</v>
      </c>
    </row>
    <row r="1831" spans="1:11" x14ac:dyDescent="0.3">
      <c r="A1831" s="1">
        <v>84</v>
      </c>
      <c r="B1831" s="1">
        <v>2024</v>
      </c>
      <c r="C1831" s="3">
        <v>45653</v>
      </c>
      <c r="E1831" s="1" t="s">
        <v>70</v>
      </c>
      <c r="F1831" s="16" t="s">
        <v>71</v>
      </c>
    </row>
    <row r="1832" spans="1:11" x14ac:dyDescent="0.3">
      <c r="A1832" s="1">
        <v>85</v>
      </c>
      <c r="B1832" s="1">
        <v>2024</v>
      </c>
      <c r="C1832" s="3">
        <v>45681</v>
      </c>
      <c r="E1832" s="12" t="s">
        <v>12</v>
      </c>
      <c r="F1832" s="13" t="s">
        <v>13</v>
      </c>
      <c r="G1832" s="13"/>
      <c r="H1832" s="14">
        <v>36</v>
      </c>
      <c r="I1832" s="14">
        <v>72</v>
      </c>
      <c r="J1832" s="14">
        <v>54</v>
      </c>
      <c r="K1832" s="14">
        <v>54</v>
      </c>
    </row>
    <row r="1833" spans="1:11" x14ac:dyDescent="0.3">
      <c r="A1833" s="1">
        <v>86</v>
      </c>
      <c r="B1833" s="1">
        <v>2025</v>
      </c>
      <c r="C1833" s="3">
        <v>45682</v>
      </c>
      <c r="E1833" s="12" t="s">
        <v>14</v>
      </c>
      <c r="F1833" s="13" t="s">
        <v>13</v>
      </c>
      <c r="G1833" s="14">
        <v>96</v>
      </c>
      <c r="H1833" s="14">
        <v>54</v>
      </c>
      <c r="I1833" s="14">
        <v>96</v>
      </c>
      <c r="J1833" s="14">
        <v>82.5</v>
      </c>
      <c r="K1833" s="14">
        <v>90</v>
      </c>
    </row>
    <row r="1834" spans="1:11" x14ac:dyDescent="0.3">
      <c r="A1834" s="1">
        <v>87</v>
      </c>
      <c r="B1834" s="1">
        <v>2026</v>
      </c>
      <c r="C1834" s="3">
        <v>45683</v>
      </c>
      <c r="E1834" s="12" t="s">
        <v>15</v>
      </c>
      <c r="F1834" s="13" t="s">
        <v>13</v>
      </c>
      <c r="G1834" s="13"/>
      <c r="H1834" s="14">
        <v>40</v>
      </c>
      <c r="I1834" s="14">
        <v>60</v>
      </c>
      <c r="J1834" s="14">
        <v>48.25</v>
      </c>
      <c r="K1834" s="14">
        <v>46.5</v>
      </c>
    </row>
    <row r="1835" spans="1:11" x14ac:dyDescent="0.3">
      <c r="A1835" s="1">
        <v>88</v>
      </c>
      <c r="B1835" s="1">
        <v>2027</v>
      </c>
      <c r="C1835" s="3">
        <v>45684</v>
      </c>
      <c r="E1835" s="12" t="s">
        <v>16</v>
      </c>
      <c r="F1835" s="13" t="s">
        <v>13</v>
      </c>
      <c r="G1835" s="14">
        <v>30</v>
      </c>
      <c r="H1835" s="14">
        <v>25</v>
      </c>
      <c r="I1835" s="14">
        <v>50</v>
      </c>
      <c r="J1835" s="14">
        <v>33.75</v>
      </c>
      <c r="K1835" s="14">
        <v>30</v>
      </c>
    </row>
    <row r="1836" spans="1:11" x14ac:dyDescent="0.3">
      <c r="A1836" s="1">
        <v>89</v>
      </c>
      <c r="B1836" s="1">
        <v>2028</v>
      </c>
      <c r="C1836" s="3">
        <v>45685</v>
      </c>
      <c r="E1836" s="12" t="s">
        <v>17</v>
      </c>
      <c r="F1836" s="13" t="s">
        <v>13</v>
      </c>
      <c r="G1836" s="14">
        <v>30</v>
      </c>
      <c r="H1836" s="14">
        <v>25</v>
      </c>
      <c r="I1836" s="14">
        <v>50</v>
      </c>
      <c r="J1836" s="14">
        <v>33.75</v>
      </c>
      <c r="K1836" s="14">
        <v>30</v>
      </c>
    </row>
    <row r="1837" spans="1:11" x14ac:dyDescent="0.3">
      <c r="A1837" s="1">
        <v>90</v>
      </c>
      <c r="B1837" s="1">
        <v>2029</v>
      </c>
      <c r="C1837" s="3">
        <v>45686</v>
      </c>
      <c r="E1837" s="12" t="s">
        <v>18</v>
      </c>
      <c r="F1837" s="13" t="s">
        <v>13</v>
      </c>
      <c r="G1837" s="14">
        <v>60</v>
      </c>
      <c r="H1837" s="14">
        <v>60</v>
      </c>
      <c r="I1837" s="14">
        <v>120</v>
      </c>
      <c r="J1837" s="14">
        <v>76.5</v>
      </c>
      <c r="K1837" s="14">
        <v>63</v>
      </c>
    </row>
    <row r="1838" spans="1:11" ht="28.8" x14ac:dyDescent="0.3">
      <c r="A1838" s="1">
        <v>91</v>
      </c>
      <c r="B1838" s="1">
        <v>2030</v>
      </c>
      <c r="C1838" s="3">
        <v>45687</v>
      </c>
      <c r="E1838" s="12" t="s">
        <v>19</v>
      </c>
      <c r="F1838" s="13" t="s">
        <v>13</v>
      </c>
      <c r="G1838" s="14">
        <v>84</v>
      </c>
      <c r="H1838" s="14">
        <v>78</v>
      </c>
      <c r="I1838" s="14">
        <v>84</v>
      </c>
      <c r="J1838" s="14">
        <v>81</v>
      </c>
      <c r="K1838" s="14">
        <v>81</v>
      </c>
    </row>
    <row r="1839" spans="1:11" x14ac:dyDescent="0.3">
      <c r="A1839" s="1">
        <v>92</v>
      </c>
      <c r="B1839" s="1">
        <v>2031</v>
      </c>
      <c r="C1839" s="3">
        <v>45688</v>
      </c>
      <c r="E1839" s="12" t="s">
        <v>20</v>
      </c>
      <c r="F1839" s="13" t="s">
        <v>13</v>
      </c>
      <c r="G1839" s="14">
        <v>84</v>
      </c>
      <c r="H1839" s="14">
        <v>72</v>
      </c>
      <c r="I1839" s="14">
        <v>96</v>
      </c>
      <c r="J1839" s="14">
        <v>84</v>
      </c>
      <c r="K1839" s="14">
        <v>84</v>
      </c>
    </row>
    <row r="1840" spans="1:11" x14ac:dyDescent="0.3">
      <c r="A1840" s="1">
        <v>93</v>
      </c>
      <c r="B1840" s="1">
        <v>2032</v>
      </c>
      <c r="C1840" s="3">
        <v>45689</v>
      </c>
      <c r="E1840" s="12" t="s">
        <v>21</v>
      </c>
      <c r="F1840" s="13" t="s">
        <v>13</v>
      </c>
      <c r="G1840" s="14">
        <v>24</v>
      </c>
      <c r="H1840" s="14">
        <v>24</v>
      </c>
      <c r="I1840" s="14">
        <v>30</v>
      </c>
      <c r="J1840" s="14">
        <v>25.5</v>
      </c>
      <c r="K1840" s="14">
        <v>24</v>
      </c>
    </row>
    <row r="1841" spans="1:11" x14ac:dyDescent="0.3">
      <c r="A1841" s="1">
        <v>94</v>
      </c>
      <c r="B1841" s="1">
        <v>2033</v>
      </c>
      <c r="C1841" s="3">
        <v>45690</v>
      </c>
      <c r="E1841" s="12" t="s">
        <v>73</v>
      </c>
      <c r="F1841" s="13" t="s">
        <v>13</v>
      </c>
      <c r="G1841" s="14">
        <v>96</v>
      </c>
      <c r="H1841" s="14">
        <v>72</v>
      </c>
      <c r="I1841" s="14">
        <v>96</v>
      </c>
      <c r="J1841" s="14">
        <v>87</v>
      </c>
      <c r="K1841" s="14">
        <v>90</v>
      </c>
    </row>
    <row r="1842" spans="1:11" x14ac:dyDescent="0.3">
      <c r="A1842" s="1">
        <v>95</v>
      </c>
      <c r="B1842" s="1">
        <v>2034</v>
      </c>
      <c r="C1842" s="3">
        <v>45691</v>
      </c>
      <c r="E1842" s="12" t="s">
        <v>23</v>
      </c>
      <c r="F1842" s="13" t="s">
        <v>13</v>
      </c>
      <c r="G1842" s="14">
        <v>30</v>
      </c>
      <c r="H1842" s="14">
        <v>25</v>
      </c>
      <c r="I1842" s="14">
        <v>36</v>
      </c>
      <c r="J1842" s="14">
        <v>30.25</v>
      </c>
      <c r="K1842" s="14">
        <v>30</v>
      </c>
    </row>
    <row r="1843" spans="1:11" x14ac:dyDescent="0.3">
      <c r="A1843" s="1">
        <v>96</v>
      </c>
      <c r="B1843" s="1">
        <v>2035</v>
      </c>
      <c r="C1843" s="3">
        <v>45692</v>
      </c>
      <c r="E1843" s="12" t="s">
        <v>24</v>
      </c>
      <c r="F1843" s="13" t="s">
        <v>13</v>
      </c>
      <c r="G1843" s="14">
        <v>72</v>
      </c>
      <c r="H1843" s="14">
        <v>60</v>
      </c>
      <c r="I1843" s="14">
        <v>84</v>
      </c>
      <c r="J1843" s="14">
        <v>72</v>
      </c>
      <c r="K1843" s="14">
        <v>72</v>
      </c>
    </row>
    <row r="1844" spans="1:11" x14ac:dyDescent="0.3">
      <c r="A1844" s="1">
        <v>97</v>
      </c>
      <c r="B1844" s="1">
        <v>2036</v>
      </c>
      <c r="C1844" s="3">
        <v>45693</v>
      </c>
      <c r="E1844" s="12" t="s">
        <v>25</v>
      </c>
      <c r="F1844" s="13" t="s">
        <v>26</v>
      </c>
      <c r="G1844" s="14">
        <v>72</v>
      </c>
      <c r="H1844" s="14">
        <v>60</v>
      </c>
      <c r="I1844" s="14">
        <v>96</v>
      </c>
      <c r="J1844" s="14">
        <v>75</v>
      </c>
      <c r="K1844" s="14">
        <v>72</v>
      </c>
    </row>
    <row r="1845" spans="1:11" x14ac:dyDescent="0.3">
      <c r="A1845" s="1">
        <v>98</v>
      </c>
      <c r="B1845" s="1">
        <v>2037</v>
      </c>
      <c r="C1845" s="3">
        <v>45694</v>
      </c>
      <c r="E1845" s="12" t="s">
        <v>27</v>
      </c>
      <c r="F1845" s="13" t="s">
        <v>13</v>
      </c>
      <c r="G1845" s="14">
        <v>60</v>
      </c>
      <c r="H1845" s="14">
        <v>54</v>
      </c>
      <c r="I1845" s="14">
        <v>72</v>
      </c>
      <c r="J1845" s="14">
        <v>61.5</v>
      </c>
      <c r="K1845" s="14">
        <v>60</v>
      </c>
    </row>
    <row r="1846" spans="1:11" x14ac:dyDescent="0.3">
      <c r="A1846" s="1">
        <v>99</v>
      </c>
      <c r="B1846" s="1">
        <v>2038</v>
      </c>
      <c r="C1846" s="3">
        <v>45695</v>
      </c>
      <c r="E1846" s="12" t="s">
        <v>28</v>
      </c>
      <c r="F1846" s="13" t="s">
        <v>13</v>
      </c>
      <c r="G1846" s="14">
        <v>48</v>
      </c>
      <c r="H1846" s="14">
        <v>36</v>
      </c>
      <c r="I1846" s="14">
        <v>48</v>
      </c>
      <c r="J1846" s="14">
        <v>42</v>
      </c>
      <c r="K1846" s="14">
        <v>42</v>
      </c>
    </row>
    <row r="1847" spans="1:11" x14ac:dyDescent="0.3">
      <c r="A1847" s="1">
        <v>100</v>
      </c>
      <c r="B1847" s="1">
        <v>2039</v>
      </c>
      <c r="C1847" s="3">
        <v>45696</v>
      </c>
      <c r="E1847" s="12" t="s">
        <v>29</v>
      </c>
      <c r="F1847" s="13" t="s">
        <v>13</v>
      </c>
      <c r="G1847" s="14">
        <v>54</v>
      </c>
      <c r="H1847" s="14">
        <v>48</v>
      </c>
      <c r="I1847" s="14">
        <v>60</v>
      </c>
      <c r="J1847" s="14">
        <v>54</v>
      </c>
      <c r="K1847" s="14">
        <v>54</v>
      </c>
    </row>
    <row r="1848" spans="1:11" x14ac:dyDescent="0.3">
      <c r="A1848" s="1">
        <v>101</v>
      </c>
      <c r="B1848" s="1">
        <v>2040</v>
      </c>
      <c r="C1848" s="3">
        <v>45697</v>
      </c>
      <c r="E1848" s="12" t="s">
        <v>31</v>
      </c>
      <c r="F1848" s="13" t="s">
        <v>32</v>
      </c>
      <c r="G1848" s="14">
        <v>5</v>
      </c>
      <c r="H1848" s="14">
        <v>5</v>
      </c>
      <c r="I1848" s="14">
        <v>5</v>
      </c>
      <c r="J1848" s="14">
        <v>5</v>
      </c>
      <c r="K1848" s="14">
        <v>5</v>
      </c>
    </row>
    <row r="1849" spans="1:11" x14ac:dyDescent="0.3">
      <c r="A1849" s="1">
        <v>102</v>
      </c>
      <c r="B1849" s="1">
        <v>2041</v>
      </c>
      <c r="C1849" s="3">
        <v>45698</v>
      </c>
      <c r="E1849" s="12" t="s">
        <v>34</v>
      </c>
      <c r="F1849" s="13" t="s">
        <v>35</v>
      </c>
      <c r="G1849" s="14">
        <v>20</v>
      </c>
      <c r="H1849" s="14">
        <v>20</v>
      </c>
      <c r="I1849" s="14">
        <v>25</v>
      </c>
      <c r="J1849" s="14">
        <v>22.5</v>
      </c>
      <c r="K1849" s="14">
        <v>22.5</v>
      </c>
    </row>
    <row r="1850" spans="1:11" x14ac:dyDescent="0.3">
      <c r="A1850" s="1">
        <v>103</v>
      </c>
      <c r="B1850" s="1">
        <v>2042</v>
      </c>
      <c r="C1850" s="3">
        <v>45699</v>
      </c>
      <c r="E1850" s="12" t="s">
        <v>36</v>
      </c>
      <c r="F1850" s="13" t="s">
        <v>35</v>
      </c>
      <c r="G1850" s="14">
        <v>25</v>
      </c>
      <c r="H1850" s="14">
        <v>25</v>
      </c>
      <c r="I1850" s="14">
        <v>30</v>
      </c>
      <c r="J1850" s="14">
        <v>27.5</v>
      </c>
      <c r="K1850" s="14">
        <v>27.5</v>
      </c>
    </row>
    <row r="1851" spans="1:11" x14ac:dyDescent="0.3">
      <c r="A1851" s="1">
        <v>104</v>
      </c>
      <c r="B1851" s="1">
        <v>2043</v>
      </c>
      <c r="C1851" s="3">
        <v>45700</v>
      </c>
      <c r="E1851" s="12" t="s">
        <v>516</v>
      </c>
      <c r="F1851" s="13" t="s">
        <v>154</v>
      </c>
      <c r="G1851" s="14">
        <v>70</v>
      </c>
      <c r="H1851" s="14">
        <v>70</v>
      </c>
      <c r="I1851" s="14">
        <v>75</v>
      </c>
      <c r="J1851" s="14">
        <v>71.67</v>
      </c>
      <c r="K1851" s="14">
        <v>70</v>
      </c>
    </row>
    <row r="1852" spans="1:11" x14ac:dyDescent="0.3">
      <c r="A1852" s="1">
        <v>105</v>
      </c>
      <c r="B1852" s="1">
        <v>2044</v>
      </c>
      <c r="C1852" s="3">
        <v>45701</v>
      </c>
      <c r="E1852" s="12" t="s">
        <v>39</v>
      </c>
      <c r="F1852" s="13" t="s">
        <v>40</v>
      </c>
      <c r="G1852" s="14">
        <v>50</v>
      </c>
      <c r="H1852" s="14">
        <v>50</v>
      </c>
      <c r="I1852" s="14">
        <v>60</v>
      </c>
      <c r="J1852" s="14">
        <v>53.33</v>
      </c>
      <c r="K1852" s="14">
        <v>50</v>
      </c>
    </row>
    <row r="1853" spans="1:11" x14ac:dyDescent="0.3">
      <c r="A1853" s="1">
        <v>106</v>
      </c>
      <c r="B1853" s="1">
        <v>2045</v>
      </c>
      <c r="C1853" s="3">
        <v>45702</v>
      </c>
      <c r="E1853" s="12" t="s">
        <v>42</v>
      </c>
      <c r="F1853" s="13" t="s">
        <v>43</v>
      </c>
      <c r="G1853" s="14">
        <v>70</v>
      </c>
      <c r="H1853" s="14">
        <v>45</v>
      </c>
      <c r="I1853" s="14">
        <v>70</v>
      </c>
      <c r="J1853" s="14">
        <v>62.5</v>
      </c>
      <c r="K1853" s="14">
        <v>67.5</v>
      </c>
    </row>
    <row r="1854" spans="1:11" x14ac:dyDescent="0.3">
      <c r="A1854" s="1">
        <v>107</v>
      </c>
      <c r="B1854" s="1">
        <v>2046</v>
      </c>
      <c r="C1854" s="3">
        <v>45703</v>
      </c>
      <c r="E1854" s="12" t="s">
        <v>44</v>
      </c>
      <c r="F1854" s="13" t="s">
        <v>45</v>
      </c>
      <c r="G1854" s="13"/>
      <c r="H1854" s="14">
        <v>40</v>
      </c>
      <c r="I1854" s="14">
        <v>65</v>
      </c>
      <c r="J1854" s="14">
        <v>53.75</v>
      </c>
      <c r="K1854" s="14">
        <v>55</v>
      </c>
    </row>
    <row r="1855" spans="1:11" x14ac:dyDescent="0.3">
      <c r="A1855" s="1">
        <v>108</v>
      </c>
      <c r="B1855" s="1">
        <v>2047</v>
      </c>
      <c r="C1855" s="3">
        <v>45704</v>
      </c>
      <c r="E1855" s="12" t="s">
        <v>48</v>
      </c>
      <c r="F1855" s="13" t="s">
        <v>45</v>
      </c>
      <c r="G1855" s="13"/>
      <c r="H1855" s="14">
        <v>65</v>
      </c>
      <c r="I1855" s="14">
        <v>75</v>
      </c>
      <c r="J1855" s="14">
        <v>70</v>
      </c>
      <c r="K1855" s="14">
        <v>70</v>
      </c>
    </row>
    <row r="1856" spans="1:11" x14ac:dyDescent="0.3">
      <c r="A1856" s="1">
        <v>109</v>
      </c>
      <c r="B1856" s="1">
        <v>2048</v>
      </c>
      <c r="C1856" s="3">
        <v>45705</v>
      </c>
      <c r="E1856" s="12" t="s">
        <v>49</v>
      </c>
      <c r="F1856" s="13" t="s">
        <v>50</v>
      </c>
      <c r="G1856" s="14">
        <v>60</v>
      </c>
      <c r="H1856" s="14">
        <v>50</v>
      </c>
      <c r="I1856" s="14">
        <v>60</v>
      </c>
      <c r="J1856" s="14">
        <v>55</v>
      </c>
      <c r="K1856" s="14">
        <v>55</v>
      </c>
    </row>
    <row r="1857" spans="1:11" x14ac:dyDescent="0.3">
      <c r="A1857" s="1">
        <v>110</v>
      </c>
      <c r="B1857" s="1">
        <v>2049</v>
      </c>
      <c r="C1857" s="3">
        <v>45706</v>
      </c>
      <c r="E1857" s="12" t="s">
        <v>52</v>
      </c>
      <c r="F1857" s="13" t="s">
        <v>43</v>
      </c>
      <c r="G1857" s="13"/>
      <c r="H1857" s="14">
        <v>60</v>
      </c>
      <c r="I1857" s="14">
        <v>100</v>
      </c>
      <c r="J1857" s="14">
        <v>80</v>
      </c>
      <c r="K1857" s="14">
        <v>80</v>
      </c>
    </row>
    <row r="1858" spans="1:11" x14ac:dyDescent="0.3">
      <c r="A1858" s="1">
        <v>111</v>
      </c>
      <c r="B1858" s="1">
        <v>2050</v>
      </c>
      <c r="C1858" s="3">
        <v>45707</v>
      </c>
      <c r="E1858" s="12" t="s">
        <v>53</v>
      </c>
      <c r="F1858" s="13" t="s">
        <v>43</v>
      </c>
      <c r="G1858" s="13"/>
      <c r="H1858" s="14">
        <v>45</v>
      </c>
      <c r="I1858" s="14">
        <v>90</v>
      </c>
      <c r="J1858" s="14">
        <v>63.75</v>
      </c>
      <c r="K1858" s="14">
        <v>60</v>
      </c>
    </row>
    <row r="1859" spans="1:11" x14ac:dyDescent="0.3">
      <c r="A1859" s="1">
        <v>112</v>
      </c>
      <c r="B1859" s="1">
        <v>2051</v>
      </c>
      <c r="C1859" s="3">
        <v>45708</v>
      </c>
      <c r="E1859" s="12" t="s">
        <v>54</v>
      </c>
      <c r="F1859" s="13" t="s">
        <v>40</v>
      </c>
      <c r="G1859" s="13"/>
      <c r="H1859" s="14">
        <v>70</v>
      </c>
      <c r="I1859" s="14">
        <v>100</v>
      </c>
      <c r="J1859" s="14">
        <v>85</v>
      </c>
      <c r="K1859" s="14">
        <v>85</v>
      </c>
    </row>
    <row r="1860" spans="1:11" x14ac:dyDescent="0.3">
      <c r="A1860" s="1">
        <v>113</v>
      </c>
      <c r="B1860" s="1">
        <v>2052</v>
      </c>
      <c r="C1860" s="3">
        <v>45709</v>
      </c>
      <c r="E1860" s="12" t="s">
        <v>56</v>
      </c>
      <c r="F1860" s="13" t="s">
        <v>43</v>
      </c>
      <c r="G1860" s="13"/>
      <c r="H1860" s="14">
        <v>50</v>
      </c>
      <c r="I1860" s="14">
        <v>75</v>
      </c>
      <c r="J1860" s="14">
        <v>62.5</v>
      </c>
      <c r="K1860" s="14">
        <v>62.5</v>
      </c>
    </row>
    <row r="1861" spans="1:11" x14ac:dyDescent="0.3">
      <c r="A1861" s="1">
        <v>114</v>
      </c>
      <c r="B1861" s="1">
        <v>2053</v>
      </c>
      <c r="C1861" s="3">
        <v>45710</v>
      </c>
      <c r="E1861" s="12" t="s">
        <v>57</v>
      </c>
      <c r="F1861" s="13" t="s">
        <v>40</v>
      </c>
      <c r="G1861" s="14">
        <v>80</v>
      </c>
      <c r="H1861" s="14">
        <v>45</v>
      </c>
      <c r="I1861" s="14">
        <v>80</v>
      </c>
      <c r="J1861" s="14">
        <v>68.33</v>
      </c>
      <c r="K1861" s="14">
        <v>80</v>
      </c>
    </row>
    <row r="1862" spans="1:11" x14ac:dyDescent="0.3">
      <c r="A1862" s="1">
        <v>115</v>
      </c>
      <c r="B1862" s="1">
        <v>2054</v>
      </c>
      <c r="C1862" s="3">
        <v>45711</v>
      </c>
      <c r="E1862" s="12" t="s">
        <v>58</v>
      </c>
      <c r="F1862" s="13" t="s">
        <v>40</v>
      </c>
      <c r="G1862" s="14">
        <v>90</v>
      </c>
      <c r="H1862" s="14">
        <v>80</v>
      </c>
      <c r="I1862" s="14">
        <v>120</v>
      </c>
      <c r="J1862" s="14">
        <v>95</v>
      </c>
      <c r="K1862" s="14">
        <v>90</v>
      </c>
    </row>
    <row r="1863" spans="1:11" x14ac:dyDescent="0.3">
      <c r="A1863" s="1">
        <v>116</v>
      </c>
      <c r="B1863" s="1">
        <v>2055</v>
      </c>
      <c r="C1863" s="3">
        <v>45712</v>
      </c>
      <c r="E1863" s="12" t="s">
        <v>59</v>
      </c>
      <c r="F1863" s="13" t="s">
        <v>45</v>
      </c>
      <c r="G1863" s="14">
        <v>30</v>
      </c>
      <c r="H1863" s="14">
        <v>20</v>
      </c>
      <c r="I1863" s="14">
        <v>40</v>
      </c>
      <c r="J1863" s="14">
        <v>30</v>
      </c>
      <c r="K1863" s="14">
        <v>30</v>
      </c>
    </row>
    <row r="1864" spans="1:11" x14ac:dyDescent="0.3">
      <c r="A1864" s="1">
        <v>117</v>
      </c>
      <c r="B1864" s="1">
        <v>2056</v>
      </c>
      <c r="C1864" s="3">
        <v>45713</v>
      </c>
      <c r="E1864" s="12" t="s">
        <v>60</v>
      </c>
      <c r="F1864" s="13" t="s">
        <v>61</v>
      </c>
      <c r="G1864" s="14">
        <v>90</v>
      </c>
      <c r="H1864" s="14">
        <v>50</v>
      </c>
      <c r="I1864" s="14">
        <v>90</v>
      </c>
      <c r="J1864" s="14">
        <v>78.75</v>
      </c>
      <c r="K1864" s="14">
        <v>87.5</v>
      </c>
    </row>
    <row r="1865" spans="1:11" x14ac:dyDescent="0.3">
      <c r="A1865" s="1">
        <v>118</v>
      </c>
      <c r="B1865" s="1">
        <v>2057</v>
      </c>
      <c r="C1865" s="3">
        <v>45714</v>
      </c>
      <c r="E1865" s="12" t="s">
        <v>63</v>
      </c>
      <c r="F1865" s="13" t="s">
        <v>40</v>
      </c>
      <c r="G1865" s="13"/>
      <c r="H1865" s="14">
        <v>60</v>
      </c>
      <c r="I1865" s="14">
        <v>120</v>
      </c>
      <c r="J1865" s="14">
        <v>92.5</v>
      </c>
      <c r="K1865" s="14">
        <v>95</v>
      </c>
    </row>
    <row r="1866" spans="1:11" x14ac:dyDescent="0.3">
      <c r="A1866" s="1">
        <v>119</v>
      </c>
      <c r="B1866" s="1">
        <v>2058</v>
      </c>
      <c r="C1866" s="3">
        <v>45715</v>
      </c>
      <c r="E1866" s="12" t="s">
        <v>64</v>
      </c>
      <c r="F1866" s="13" t="s">
        <v>40</v>
      </c>
      <c r="G1866" s="14">
        <v>50</v>
      </c>
      <c r="H1866" s="14">
        <v>50</v>
      </c>
      <c r="I1866" s="14">
        <v>70</v>
      </c>
      <c r="J1866" s="14">
        <v>56.67</v>
      </c>
      <c r="K1866" s="14">
        <v>50</v>
      </c>
    </row>
    <row r="1867" spans="1:11" x14ac:dyDescent="0.3">
      <c r="A1867" s="1">
        <v>120</v>
      </c>
      <c r="B1867" s="1">
        <v>2059</v>
      </c>
      <c r="C1867" s="3">
        <v>45716</v>
      </c>
      <c r="E1867" s="12" t="s">
        <v>66</v>
      </c>
      <c r="F1867" s="13" t="s">
        <v>45</v>
      </c>
      <c r="G1867" s="13"/>
      <c r="H1867" s="13"/>
      <c r="I1867" s="13"/>
      <c r="J1867" s="13"/>
      <c r="K1867" s="13"/>
    </row>
    <row r="1868" spans="1:11" x14ac:dyDescent="0.3">
      <c r="A1868" s="1">
        <v>121</v>
      </c>
      <c r="B1868" s="1">
        <v>2060</v>
      </c>
      <c r="C1868" s="3">
        <v>45717</v>
      </c>
      <c r="E1868" s="12" t="s">
        <v>67</v>
      </c>
      <c r="F1868" s="13" t="s">
        <v>45</v>
      </c>
      <c r="G1868" s="13"/>
      <c r="H1868" s="13"/>
      <c r="I1868" s="13"/>
      <c r="J1868" s="13"/>
      <c r="K1868" s="13"/>
    </row>
    <row r="1869" spans="1:11" x14ac:dyDescent="0.3">
      <c r="A1869" s="1">
        <v>122</v>
      </c>
      <c r="B1869" s="1">
        <v>2061</v>
      </c>
      <c r="C1869" s="3">
        <v>45718</v>
      </c>
      <c r="E1869" s="12" t="s">
        <v>68</v>
      </c>
      <c r="F1869" s="13" t="s">
        <v>45</v>
      </c>
      <c r="G1869" s="13"/>
      <c r="H1869" s="13"/>
      <c r="I1869" s="13"/>
      <c r="J1869" s="13"/>
      <c r="K1869" s="13"/>
    </row>
    <row r="1870" spans="1:11" x14ac:dyDescent="0.3">
      <c r="A1870" s="1">
        <v>123</v>
      </c>
      <c r="B1870" s="1">
        <v>2062</v>
      </c>
      <c r="C1870" s="3">
        <v>45719</v>
      </c>
      <c r="E1870" s="12" t="s">
        <v>69</v>
      </c>
      <c r="F1870" s="13" t="s">
        <v>45</v>
      </c>
      <c r="G1870" s="13"/>
      <c r="H1870" s="13"/>
      <c r="I1870" s="13"/>
      <c r="J1870" s="13"/>
      <c r="K1870" s="13"/>
    </row>
    <row r="1871" spans="1:11" x14ac:dyDescent="0.3">
      <c r="A1871" s="1">
        <v>124</v>
      </c>
      <c r="B1871" s="1">
        <v>2063</v>
      </c>
      <c r="C1871" s="3">
        <v>45720</v>
      </c>
      <c r="E1871" s="12" t="s">
        <v>70</v>
      </c>
      <c r="F1871" s="13" t="s">
        <v>71</v>
      </c>
      <c r="G1871" s="13"/>
      <c r="H1871" s="13"/>
      <c r="I1871" s="13"/>
      <c r="J1871" s="13"/>
      <c r="K1871" s="13"/>
    </row>
    <row r="1872" spans="1:11" x14ac:dyDescent="0.3">
      <c r="A1872" s="1">
        <v>86</v>
      </c>
      <c r="B1872" s="1">
        <v>2024</v>
      </c>
      <c r="C1872" s="3">
        <v>45667</v>
      </c>
      <c r="E1872" s="1" t="s">
        <v>12</v>
      </c>
      <c r="F1872" s="1" t="s">
        <v>13</v>
      </c>
      <c r="G1872" s="1" t="s">
        <v>430</v>
      </c>
      <c r="H1872" s="1" t="s">
        <v>360</v>
      </c>
      <c r="I1872" s="1" t="s">
        <v>360</v>
      </c>
      <c r="J1872" s="1" t="s">
        <v>358</v>
      </c>
      <c r="K1872" s="1" t="s">
        <v>458</v>
      </c>
    </row>
    <row r="1873" spans="1:11" x14ac:dyDescent="0.3">
      <c r="A1873" s="1">
        <v>86</v>
      </c>
      <c r="B1873" s="1">
        <v>2024</v>
      </c>
      <c r="C1873" s="3">
        <v>45667</v>
      </c>
      <c r="E1873" s="1" t="s">
        <v>14</v>
      </c>
      <c r="F1873" s="1" t="s">
        <v>13</v>
      </c>
      <c r="G1873" s="1" t="s">
        <v>361</v>
      </c>
      <c r="H1873" s="1" t="s">
        <v>361</v>
      </c>
      <c r="I1873" s="1" t="s">
        <v>472</v>
      </c>
      <c r="J1873" s="1" t="s">
        <v>361</v>
      </c>
      <c r="K1873" s="1" t="s">
        <v>517</v>
      </c>
    </row>
    <row r="1874" spans="1:11" x14ac:dyDescent="0.3">
      <c r="A1874" s="1">
        <v>86</v>
      </c>
      <c r="B1874" s="1">
        <v>2024</v>
      </c>
      <c r="C1874" s="3">
        <v>45667</v>
      </c>
      <c r="E1874" s="1" t="s">
        <v>15</v>
      </c>
      <c r="F1874" s="1" t="s">
        <v>13</v>
      </c>
      <c r="G1874" s="1" t="s">
        <v>390</v>
      </c>
      <c r="H1874" s="1" t="s">
        <v>430</v>
      </c>
      <c r="I1874" s="1" t="s">
        <v>358</v>
      </c>
      <c r="J1874" s="1" t="s">
        <v>518</v>
      </c>
      <c r="K1874" s="1" t="s">
        <v>390</v>
      </c>
    </row>
    <row r="1875" spans="1:11" x14ac:dyDescent="0.3">
      <c r="A1875" s="1">
        <v>86</v>
      </c>
      <c r="B1875" s="1">
        <v>2024</v>
      </c>
      <c r="C1875" s="3">
        <v>45667</v>
      </c>
      <c r="E1875" s="1" t="s">
        <v>16</v>
      </c>
      <c r="F1875" s="1" t="s">
        <v>13</v>
      </c>
      <c r="G1875" s="1" t="s">
        <v>362</v>
      </c>
      <c r="H1875" s="1" t="s">
        <v>366</v>
      </c>
      <c r="I1875" s="1" t="s">
        <v>357</v>
      </c>
      <c r="J1875" s="1" t="s">
        <v>519</v>
      </c>
      <c r="K1875" s="1" t="s">
        <v>362</v>
      </c>
    </row>
    <row r="1876" spans="1:11" x14ac:dyDescent="0.3">
      <c r="A1876" s="1">
        <v>86</v>
      </c>
      <c r="B1876" s="1">
        <v>2024</v>
      </c>
      <c r="C1876" s="3">
        <v>45667</v>
      </c>
      <c r="E1876" s="1" t="s">
        <v>17</v>
      </c>
      <c r="F1876" s="1" t="s">
        <v>13</v>
      </c>
      <c r="H1876" s="1" t="s">
        <v>366</v>
      </c>
      <c r="I1876" s="1" t="s">
        <v>357</v>
      </c>
      <c r="J1876" s="1" t="s">
        <v>520</v>
      </c>
      <c r="K1876" s="1" t="s">
        <v>384</v>
      </c>
    </row>
    <row r="1877" spans="1:11" x14ac:dyDescent="0.3">
      <c r="A1877" s="1">
        <v>86</v>
      </c>
      <c r="B1877" s="1">
        <v>2024</v>
      </c>
      <c r="C1877" s="3">
        <v>45667</v>
      </c>
      <c r="E1877" s="1" t="s">
        <v>18</v>
      </c>
      <c r="F1877" s="1" t="s">
        <v>13</v>
      </c>
      <c r="G1877" s="1" t="s">
        <v>358</v>
      </c>
      <c r="H1877" s="1" t="s">
        <v>358</v>
      </c>
      <c r="I1877" s="1" t="s">
        <v>416</v>
      </c>
      <c r="J1877" s="1" t="s">
        <v>456</v>
      </c>
      <c r="K1877" s="1" t="s">
        <v>358</v>
      </c>
    </row>
    <row r="1878" spans="1:11" x14ac:dyDescent="0.3">
      <c r="A1878" s="1">
        <v>86</v>
      </c>
      <c r="B1878" s="1">
        <v>2024</v>
      </c>
      <c r="C1878" s="3">
        <v>45667</v>
      </c>
      <c r="E1878" s="1" t="s">
        <v>19</v>
      </c>
      <c r="F1878" s="1" t="s">
        <v>13</v>
      </c>
      <c r="H1878" s="1" t="s">
        <v>357</v>
      </c>
      <c r="I1878" s="1" t="s">
        <v>417</v>
      </c>
      <c r="J1878" s="1" t="s">
        <v>456</v>
      </c>
      <c r="K1878" s="1" t="s">
        <v>358</v>
      </c>
    </row>
    <row r="1879" spans="1:11" x14ac:dyDescent="0.3">
      <c r="A1879" s="1">
        <v>86</v>
      </c>
      <c r="B1879" s="1">
        <v>2024</v>
      </c>
      <c r="C1879" s="3">
        <v>45667</v>
      </c>
      <c r="E1879" s="1" t="s">
        <v>20</v>
      </c>
      <c r="F1879" s="1" t="s">
        <v>13</v>
      </c>
      <c r="G1879" s="1" t="s">
        <v>362</v>
      </c>
      <c r="H1879" s="1" t="s">
        <v>360</v>
      </c>
      <c r="I1879" s="1" t="s">
        <v>361</v>
      </c>
      <c r="J1879" s="1" t="s">
        <v>360</v>
      </c>
      <c r="K1879" s="1" t="s">
        <v>521</v>
      </c>
    </row>
    <row r="1880" spans="1:11" x14ac:dyDescent="0.3">
      <c r="A1880" s="1">
        <v>86</v>
      </c>
      <c r="B1880" s="1">
        <v>2024</v>
      </c>
      <c r="C1880" s="3">
        <v>45667</v>
      </c>
      <c r="E1880" s="1" t="s">
        <v>21</v>
      </c>
      <c r="F1880" s="1" t="s">
        <v>13</v>
      </c>
      <c r="G1880" s="1" t="s">
        <v>366</v>
      </c>
      <c r="H1880" s="1" t="s">
        <v>366</v>
      </c>
      <c r="I1880" s="1" t="s">
        <v>362</v>
      </c>
      <c r="J1880" s="1" t="s">
        <v>522</v>
      </c>
      <c r="K1880" s="1" t="s">
        <v>366</v>
      </c>
    </row>
    <row r="1881" spans="1:11" x14ac:dyDescent="0.3">
      <c r="A1881" s="1">
        <v>86</v>
      </c>
      <c r="B1881" s="1">
        <v>2024</v>
      </c>
      <c r="C1881" s="3">
        <v>45667</v>
      </c>
      <c r="E1881" s="1" t="s">
        <v>73</v>
      </c>
      <c r="F1881" s="1" t="s">
        <v>13</v>
      </c>
      <c r="G1881" s="1" t="s">
        <v>361</v>
      </c>
      <c r="H1881" s="1" t="s">
        <v>360</v>
      </c>
      <c r="I1881" s="1" t="s">
        <v>472</v>
      </c>
      <c r="J1881" s="1" t="s">
        <v>361</v>
      </c>
      <c r="K1881" s="1" t="s">
        <v>361</v>
      </c>
    </row>
    <row r="1882" spans="1:11" x14ac:dyDescent="0.3">
      <c r="A1882" s="1">
        <v>86</v>
      </c>
      <c r="B1882" s="1">
        <v>2024</v>
      </c>
      <c r="C1882" s="3">
        <v>45667</v>
      </c>
      <c r="E1882" s="1" t="s">
        <v>23</v>
      </c>
      <c r="F1882" s="1" t="s">
        <v>13</v>
      </c>
      <c r="H1882" s="1" t="s">
        <v>366</v>
      </c>
      <c r="I1882" s="1" t="s">
        <v>358</v>
      </c>
      <c r="J1882" s="1" t="s">
        <v>362</v>
      </c>
      <c r="K1882" s="1" t="s">
        <v>388</v>
      </c>
    </row>
    <row r="1883" spans="1:11" x14ac:dyDescent="0.3">
      <c r="A1883" s="1">
        <v>86</v>
      </c>
      <c r="B1883" s="1">
        <v>2024</v>
      </c>
      <c r="C1883" s="3">
        <v>45667</v>
      </c>
      <c r="E1883" s="1" t="s">
        <v>24</v>
      </c>
      <c r="F1883" s="1" t="s">
        <v>13</v>
      </c>
      <c r="G1883" s="1" t="s">
        <v>360</v>
      </c>
      <c r="H1883" s="1" t="s">
        <v>358</v>
      </c>
      <c r="I1883" s="1" t="s">
        <v>361</v>
      </c>
      <c r="J1883" s="1" t="s">
        <v>360</v>
      </c>
      <c r="K1883" s="1" t="s">
        <v>360</v>
      </c>
    </row>
    <row r="1884" spans="1:11" x14ac:dyDescent="0.3">
      <c r="A1884" s="1">
        <v>86</v>
      </c>
      <c r="B1884" s="1">
        <v>2024</v>
      </c>
      <c r="C1884" s="3">
        <v>45667</v>
      </c>
      <c r="E1884" s="1" t="s">
        <v>25</v>
      </c>
      <c r="F1884" s="1" t="s">
        <v>26</v>
      </c>
      <c r="G1884" s="1" t="s">
        <v>357</v>
      </c>
      <c r="H1884" s="1" t="s">
        <v>360</v>
      </c>
      <c r="I1884" s="1" t="s">
        <v>360</v>
      </c>
      <c r="J1884" s="1" t="s">
        <v>523</v>
      </c>
      <c r="K1884" s="1" t="s">
        <v>358</v>
      </c>
    </row>
    <row r="1885" spans="1:11" x14ac:dyDescent="0.3">
      <c r="A1885" s="1">
        <v>86</v>
      </c>
      <c r="B1885" s="1">
        <v>2024</v>
      </c>
      <c r="C1885" s="3">
        <v>45667</v>
      </c>
      <c r="E1885" s="1" t="s">
        <v>27</v>
      </c>
      <c r="F1885" s="1" t="s">
        <v>13</v>
      </c>
      <c r="G1885" s="1" t="s">
        <v>393</v>
      </c>
      <c r="H1885" s="1" t="s">
        <v>358</v>
      </c>
      <c r="I1885" s="1" t="s">
        <v>360</v>
      </c>
      <c r="J1885" s="1" t="s">
        <v>393</v>
      </c>
      <c r="K1885" s="1" t="s">
        <v>524</v>
      </c>
    </row>
    <row r="1886" spans="1:11" x14ac:dyDescent="0.3">
      <c r="A1886" s="1">
        <v>86</v>
      </c>
      <c r="B1886" s="1">
        <v>2024</v>
      </c>
      <c r="C1886" s="3">
        <v>45667</v>
      </c>
      <c r="E1886" s="1" t="s">
        <v>28</v>
      </c>
      <c r="F1886" s="1" t="s">
        <v>13</v>
      </c>
      <c r="G1886" s="1" t="s">
        <v>390</v>
      </c>
      <c r="H1886" s="1" t="s">
        <v>430</v>
      </c>
      <c r="I1886" s="1" t="s">
        <v>357</v>
      </c>
      <c r="J1886" s="1" t="s">
        <v>363</v>
      </c>
      <c r="K1886" s="1" t="s">
        <v>390</v>
      </c>
    </row>
    <row r="1887" spans="1:11" x14ac:dyDescent="0.3">
      <c r="A1887" s="1">
        <v>86</v>
      </c>
      <c r="B1887" s="1">
        <v>2024</v>
      </c>
      <c r="C1887" s="3">
        <v>45667</v>
      </c>
      <c r="E1887" s="1" t="s">
        <v>29</v>
      </c>
      <c r="F1887" s="1" t="s">
        <v>13</v>
      </c>
      <c r="G1887" s="1" t="s">
        <v>357</v>
      </c>
      <c r="H1887" s="1" t="s">
        <v>359</v>
      </c>
      <c r="I1887" s="1" t="s">
        <v>358</v>
      </c>
      <c r="J1887" s="1" t="s">
        <v>510</v>
      </c>
      <c r="K1887" s="1" t="s">
        <v>359</v>
      </c>
    </row>
    <row r="1888" spans="1:11" x14ac:dyDescent="0.3">
      <c r="A1888" s="1">
        <v>86</v>
      </c>
      <c r="B1888" s="1">
        <v>2024</v>
      </c>
      <c r="C1888" s="3">
        <v>45667</v>
      </c>
      <c r="E1888" s="1" t="s">
        <v>31</v>
      </c>
      <c r="F1888" s="1" t="s">
        <v>32</v>
      </c>
      <c r="G1888" s="1" t="s">
        <v>460</v>
      </c>
      <c r="H1888" s="1" t="s">
        <v>378</v>
      </c>
      <c r="I1888" s="1" t="s">
        <v>378</v>
      </c>
      <c r="J1888" s="1" t="s">
        <v>378</v>
      </c>
      <c r="K1888" s="1" t="s">
        <v>481</v>
      </c>
    </row>
    <row r="1889" spans="1:11" x14ac:dyDescent="0.3">
      <c r="A1889" s="1">
        <v>86</v>
      </c>
      <c r="B1889" s="1">
        <v>2024</v>
      </c>
      <c r="C1889" s="3">
        <v>45667</v>
      </c>
      <c r="E1889" s="1" t="s">
        <v>34</v>
      </c>
      <c r="F1889" s="1" t="s">
        <v>35</v>
      </c>
      <c r="G1889" s="1" t="s">
        <v>382</v>
      </c>
      <c r="H1889" s="1" t="s">
        <v>382</v>
      </c>
      <c r="I1889" s="1" t="s">
        <v>419</v>
      </c>
      <c r="J1889" s="1" t="s">
        <v>373</v>
      </c>
      <c r="K1889" s="1" t="s">
        <v>382</v>
      </c>
    </row>
    <row r="1890" spans="1:11" x14ac:dyDescent="0.3">
      <c r="A1890" s="1">
        <v>86</v>
      </c>
      <c r="B1890" s="1">
        <v>2024</v>
      </c>
      <c r="C1890" s="3">
        <v>45667</v>
      </c>
      <c r="E1890" s="1" t="s">
        <v>36</v>
      </c>
      <c r="F1890" s="1" t="s">
        <v>35</v>
      </c>
      <c r="G1890" s="1" t="s">
        <v>419</v>
      </c>
      <c r="H1890" s="1" t="s">
        <v>362</v>
      </c>
      <c r="I1890" s="1" t="s">
        <v>362</v>
      </c>
      <c r="J1890" s="1" t="s">
        <v>362</v>
      </c>
      <c r="K1890" s="1" t="s">
        <v>525</v>
      </c>
    </row>
    <row r="1891" spans="1:11" x14ac:dyDescent="0.3">
      <c r="A1891" s="1">
        <v>86</v>
      </c>
      <c r="B1891" s="1">
        <v>2024</v>
      </c>
      <c r="C1891" s="3">
        <v>45667</v>
      </c>
      <c r="E1891" s="1" t="s">
        <v>153</v>
      </c>
      <c r="F1891" s="1" t="s">
        <v>154</v>
      </c>
      <c r="G1891" s="1" t="s">
        <v>370</v>
      </c>
      <c r="H1891" s="1" t="s">
        <v>370</v>
      </c>
      <c r="I1891" s="1" t="s">
        <v>370</v>
      </c>
      <c r="J1891" s="1" t="s">
        <v>370</v>
      </c>
      <c r="K1891" s="1" t="s">
        <v>370</v>
      </c>
    </row>
    <row r="1892" spans="1:11" x14ac:dyDescent="0.3">
      <c r="A1892" s="1">
        <v>86</v>
      </c>
      <c r="B1892" s="1">
        <v>2024</v>
      </c>
      <c r="C1892" s="3">
        <v>45667</v>
      </c>
      <c r="E1892" s="1" t="s">
        <v>39</v>
      </c>
      <c r="F1892" s="1" t="s">
        <v>40</v>
      </c>
      <c r="G1892" s="1" t="s">
        <v>405</v>
      </c>
      <c r="H1892" s="1" t="s">
        <v>415</v>
      </c>
      <c r="I1892" s="1" t="s">
        <v>415</v>
      </c>
      <c r="J1892" s="1" t="s">
        <v>415</v>
      </c>
      <c r="K1892" s="1" t="s">
        <v>526</v>
      </c>
    </row>
    <row r="1893" spans="1:11" x14ac:dyDescent="0.3">
      <c r="A1893" s="1">
        <v>86</v>
      </c>
      <c r="B1893" s="1">
        <v>2024</v>
      </c>
      <c r="C1893" s="3">
        <v>45667</v>
      </c>
      <c r="E1893" s="1" t="s">
        <v>42</v>
      </c>
      <c r="F1893" s="1" t="s">
        <v>43</v>
      </c>
      <c r="H1893" s="1" t="s">
        <v>390</v>
      </c>
      <c r="I1893" s="1" t="s">
        <v>370</v>
      </c>
      <c r="J1893" s="1" t="s">
        <v>399</v>
      </c>
      <c r="K1893" s="1" t="s">
        <v>399</v>
      </c>
    </row>
    <row r="1894" spans="1:11" x14ac:dyDescent="0.3">
      <c r="A1894" s="1">
        <v>86</v>
      </c>
      <c r="B1894" s="1">
        <v>2024</v>
      </c>
      <c r="C1894" s="3">
        <v>45667</v>
      </c>
      <c r="E1894" s="1" t="s">
        <v>44</v>
      </c>
      <c r="F1894" s="1" t="s">
        <v>45</v>
      </c>
      <c r="G1894" s="1" t="s">
        <v>393</v>
      </c>
      <c r="H1894" s="1" t="s">
        <v>397</v>
      </c>
      <c r="I1894" s="1" t="s">
        <v>393</v>
      </c>
      <c r="J1894" s="1" t="s">
        <v>404</v>
      </c>
      <c r="K1894" s="1" t="s">
        <v>393</v>
      </c>
    </row>
    <row r="1895" spans="1:11" x14ac:dyDescent="0.3">
      <c r="A1895" s="1">
        <v>86</v>
      </c>
      <c r="B1895" s="1">
        <v>2024</v>
      </c>
      <c r="C1895" s="3">
        <v>45667</v>
      </c>
      <c r="E1895" s="1" t="s">
        <v>49</v>
      </c>
      <c r="F1895" s="1" t="s">
        <v>50</v>
      </c>
      <c r="G1895" s="1" t="s">
        <v>393</v>
      </c>
      <c r="H1895" s="1" t="s">
        <v>370</v>
      </c>
      <c r="I1895" s="1" t="s">
        <v>370</v>
      </c>
      <c r="J1895" s="1" t="s">
        <v>394</v>
      </c>
      <c r="K1895" s="1" t="s">
        <v>391</v>
      </c>
    </row>
    <row r="1896" spans="1:11" x14ac:dyDescent="0.3">
      <c r="A1896" s="1">
        <v>86</v>
      </c>
      <c r="B1896" s="1">
        <v>2024</v>
      </c>
      <c r="C1896" s="3">
        <v>45667</v>
      </c>
      <c r="E1896" s="1" t="s">
        <v>52</v>
      </c>
      <c r="F1896" s="1" t="s">
        <v>43</v>
      </c>
      <c r="H1896" s="1" t="s">
        <v>358</v>
      </c>
      <c r="I1896" s="1" t="s">
        <v>446</v>
      </c>
      <c r="J1896" s="1" t="s">
        <v>387</v>
      </c>
      <c r="K1896" s="1" t="s">
        <v>527</v>
      </c>
    </row>
    <row r="1897" spans="1:11" x14ac:dyDescent="0.3">
      <c r="A1897" s="1">
        <v>86</v>
      </c>
      <c r="B1897" s="1">
        <v>2024</v>
      </c>
      <c r="C1897" s="3">
        <v>45667</v>
      </c>
      <c r="E1897" s="1" t="s">
        <v>53</v>
      </c>
      <c r="F1897" s="1" t="s">
        <v>43</v>
      </c>
      <c r="G1897" s="1" t="s">
        <v>358</v>
      </c>
      <c r="H1897" s="1" t="s">
        <v>393</v>
      </c>
      <c r="I1897" s="1" t="s">
        <v>370</v>
      </c>
      <c r="J1897" s="1" t="s">
        <v>358</v>
      </c>
      <c r="K1897" s="1" t="s">
        <v>358</v>
      </c>
    </row>
    <row r="1898" spans="1:11" x14ac:dyDescent="0.3">
      <c r="A1898" s="1">
        <v>86</v>
      </c>
      <c r="B1898" s="1">
        <v>2024</v>
      </c>
      <c r="C1898" s="3">
        <v>45667</v>
      </c>
      <c r="E1898" s="1" t="s">
        <v>54</v>
      </c>
      <c r="F1898" s="1" t="s">
        <v>40</v>
      </c>
      <c r="G1898" s="1" t="s">
        <v>358</v>
      </c>
      <c r="H1898" s="1" t="s">
        <v>358</v>
      </c>
      <c r="I1898" s="1" t="s">
        <v>386</v>
      </c>
      <c r="J1898" s="1" t="s">
        <v>358</v>
      </c>
      <c r="K1898" s="1" t="s">
        <v>528</v>
      </c>
    </row>
    <row r="1899" spans="1:11" x14ac:dyDescent="0.3">
      <c r="A1899" s="1">
        <v>86</v>
      </c>
      <c r="B1899" s="1">
        <v>2024</v>
      </c>
      <c r="C1899" s="3">
        <v>45667</v>
      </c>
      <c r="E1899" s="1" t="s">
        <v>56</v>
      </c>
      <c r="F1899" s="1" t="s">
        <v>43</v>
      </c>
      <c r="H1899" s="1" t="s">
        <v>358</v>
      </c>
      <c r="I1899" s="1" t="s">
        <v>358</v>
      </c>
      <c r="J1899" s="1" t="s">
        <v>358</v>
      </c>
      <c r="K1899" s="1" t="s">
        <v>358</v>
      </c>
    </row>
    <row r="1900" spans="1:11" x14ac:dyDescent="0.3">
      <c r="A1900" s="1">
        <v>86</v>
      </c>
      <c r="B1900" s="1">
        <v>2024</v>
      </c>
      <c r="C1900" s="3">
        <v>45667</v>
      </c>
      <c r="E1900" s="1" t="s">
        <v>57</v>
      </c>
      <c r="F1900" s="1" t="s">
        <v>40</v>
      </c>
      <c r="G1900" s="1" t="s">
        <v>370</v>
      </c>
      <c r="H1900" s="1" t="s">
        <v>405</v>
      </c>
      <c r="I1900" s="1" t="s">
        <v>386</v>
      </c>
      <c r="J1900" s="1" t="s">
        <v>405</v>
      </c>
      <c r="K1900" s="1" t="s">
        <v>484</v>
      </c>
    </row>
    <row r="1901" spans="1:11" x14ac:dyDescent="0.3">
      <c r="A1901" s="1">
        <v>86</v>
      </c>
      <c r="B1901" s="1">
        <v>2024</v>
      </c>
      <c r="C1901" s="3">
        <v>45667</v>
      </c>
      <c r="E1901" s="1" t="s">
        <v>58</v>
      </c>
      <c r="F1901" s="1" t="s">
        <v>40</v>
      </c>
      <c r="H1901" s="1" t="s">
        <v>405</v>
      </c>
      <c r="I1901" s="1" t="s">
        <v>405</v>
      </c>
      <c r="J1901" s="1" t="s">
        <v>405</v>
      </c>
      <c r="K1901" s="1" t="s">
        <v>405</v>
      </c>
    </row>
    <row r="1902" spans="1:11" x14ac:dyDescent="0.3">
      <c r="A1902" s="1">
        <v>86</v>
      </c>
      <c r="B1902" s="1">
        <v>2024</v>
      </c>
      <c r="C1902" s="3">
        <v>45667</v>
      </c>
      <c r="E1902" s="1" t="s">
        <v>59</v>
      </c>
      <c r="F1902" s="1" t="s">
        <v>45</v>
      </c>
      <c r="G1902" s="1" t="s">
        <v>362</v>
      </c>
      <c r="H1902" s="1" t="s">
        <v>362</v>
      </c>
      <c r="I1902" s="1" t="s">
        <v>390</v>
      </c>
      <c r="J1902" s="1" t="s">
        <v>529</v>
      </c>
      <c r="K1902" s="1" t="s">
        <v>388</v>
      </c>
    </row>
    <row r="1903" spans="1:11" x14ac:dyDescent="0.3">
      <c r="A1903" s="1">
        <v>86</v>
      </c>
      <c r="B1903" s="1">
        <v>2024</v>
      </c>
      <c r="C1903" s="3">
        <v>45667</v>
      </c>
      <c r="E1903" s="1" t="s">
        <v>60</v>
      </c>
      <c r="F1903" s="1" t="s">
        <v>61</v>
      </c>
      <c r="G1903" s="1" t="s">
        <v>415</v>
      </c>
      <c r="H1903" s="1" t="s">
        <v>385</v>
      </c>
      <c r="I1903" s="1" t="s">
        <v>415</v>
      </c>
      <c r="J1903" s="1" t="s">
        <v>405</v>
      </c>
      <c r="K1903" s="1" t="s">
        <v>530</v>
      </c>
    </row>
    <row r="1904" spans="1:11" x14ac:dyDescent="0.3">
      <c r="A1904" s="1">
        <v>86</v>
      </c>
      <c r="B1904" s="1">
        <v>2024</v>
      </c>
      <c r="C1904" s="3">
        <v>45667</v>
      </c>
      <c r="E1904" s="1" t="s">
        <v>63</v>
      </c>
      <c r="F1904" s="1" t="s">
        <v>40</v>
      </c>
      <c r="G1904" s="1" t="s">
        <v>370</v>
      </c>
      <c r="H1904" s="1" t="s">
        <v>393</v>
      </c>
      <c r="I1904" s="1" t="s">
        <v>370</v>
      </c>
      <c r="J1904" s="1" t="s">
        <v>391</v>
      </c>
      <c r="K1904" s="1" t="s">
        <v>394</v>
      </c>
    </row>
    <row r="1905" spans="1:11" x14ac:dyDescent="0.3">
      <c r="A1905" s="1">
        <v>86</v>
      </c>
      <c r="B1905" s="1">
        <v>2024</v>
      </c>
      <c r="C1905" s="3">
        <v>45667</v>
      </c>
      <c r="E1905" s="1" t="s">
        <v>64</v>
      </c>
      <c r="F1905" s="1" t="s">
        <v>40</v>
      </c>
      <c r="H1905" s="1" t="s">
        <v>393</v>
      </c>
      <c r="I1905" s="1" t="s">
        <v>386</v>
      </c>
      <c r="J1905" s="1" t="s">
        <v>528</v>
      </c>
      <c r="K1905" s="1" t="s">
        <v>370</v>
      </c>
    </row>
    <row r="1906" spans="1:11" x14ac:dyDescent="0.3">
      <c r="A1906" s="1">
        <v>86</v>
      </c>
      <c r="B1906" s="1">
        <v>2024</v>
      </c>
      <c r="C1906" s="3">
        <v>45667</v>
      </c>
      <c r="E1906" s="12" t="s">
        <v>66</v>
      </c>
      <c r="F1906" s="13" t="s">
        <v>45</v>
      </c>
    </row>
    <row r="1907" spans="1:11" x14ac:dyDescent="0.3">
      <c r="A1907" s="1">
        <v>86</v>
      </c>
      <c r="B1907" s="1">
        <v>2024</v>
      </c>
      <c r="C1907" s="3">
        <v>45667</v>
      </c>
      <c r="E1907" s="12" t="s">
        <v>67</v>
      </c>
      <c r="F1907" s="13" t="s">
        <v>45</v>
      </c>
    </row>
    <row r="1908" spans="1:11" x14ac:dyDescent="0.3">
      <c r="A1908" s="1">
        <v>86</v>
      </c>
      <c r="B1908" s="1">
        <v>2024</v>
      </c>
      <c r="C1908" s="3">
        <v>45667</v>
      </c>
      <c r="E1908" s="12" t="s">
        <v>68</v>
      </c>
      <c r="F1908" s="13" t="s">
        <v>45</v>
      </c>
    </row>
    <row r="1909" spans="1:11" x14ac:dyDescent="0.3">
      <c r="A1909" s="1">
        <v>86</v>
      </c>
      <c r="B1909" s="1">
        <v>2024</v>
      </c>
      <c r="C1909" s="3">
        <v>45667</v>
      </c>
      <c r="E1909" s="12" t="s">
        <v>69</v>
      </c>
      <c r="F1909" s="13" t="s">
        <v>45</v>
      </c>
    </row>
    <row r="1910" spans="1:11" x14ac:dyDescent="0.3">
      <c r="A1910" s="1">
        <v>86</v>
      </c>
      <c r="B1910" s="1">
        <v>2024</v>
      </c>
      <c r="C1910" s="3">
        <v>45667</v>
      </c>
      <c r="E1910" s="12" t="s">
        <v>70</v>
      </c>
      <c r="F1910" s="13" t="s">
        <v>71</v>
      </c>
    </row>
    <row r="1911" spans="1:11" x14ac:dyDescent="0.3">
      <c r="A1911" s="1">
        <v>87</v>
      </c>
      <c r="B1911" s="1">
        <v>2025</v>
      </c>
      <c r="C1911" s="3">
        <v>45674</v>
      </c>
      <c r="E1911" s="1" t="s">
        <v>12</v>
      </c>
      <c r="F1911" s="1" t="s">
        <v>13</v>
      </c>
      <c r="H1911" s="1" t="s">
        <v>430</v>
      </c>
      <c r="I1911" s="1" t="s">
        <v>360</v>
      </c>
      <c r="J1911" s="1" t="s">
        <v>359</v>
      </c>
      <c r="K1911" s="1" t="s">
        <v>359</v>
      </c>
    </row>
    <row r="1912" spans="1:11" x14ac:dyDescent="0.3">
      <c r="A1912" s="1">
        <v>87</v>
      </c>
      <c r="B1912" s="1">
        <v>2025</v>
      </c>
      <c r="C1912" s="3">
        <v>45674</v>
      </c>
      <c r="E1912" s="1" t="s">
        <v>14</v>
      </c>
      <c r="F1912" s="1" t="s">
        <v>13</v>
      </c>
      <c r="G1912" s="1" t="s">
        <v>472</v>
      </c>
      <c r="H1912" s="1" t="s">
        <v>359</v>
      </c>
      <c r="I1912" s="1" t="s">
        <v>401</v>
      </c>
      <c r="J1912" s="1" t="s">
        <v>531</v>
      </c>
      <c r="K1912" s="1" t="s">
        <v>472</v>
      </c>
    </row>
    <row r="1913" spans="1:11" x14ac:dyDescent="0.3">
      <c r="A1913" s="1">
        <v>87</v>
      </c>
      <c r="B1913" s="1">
        <v>2025</v>
      </c>
      <c r="C1913" s="3">
        <v>45674</v>
      </c>
      <c r="E1913" s="1" t="s">
        <v>15</v>
      </c>
      <c r="F1913" s="1" t="s">
        <v>13</v>
      </c>
      <c r="G1913" s="1" t="s">
        <v>357</v>
      </c>
      <c r="H1913" s="1" t="s">
        <v>363</v>
      </c>
      <c r="I1913" s="1" t="s">
        <v>358</v>
      </c>
      <c r="J1913" s="1" t="s">
        <v>532</v>
      </c>
      <c r="K1913" s="1" t="s">
        <v>357</v>
      </c>
    </row>
    <row r="1914" spans="1:11" x14ac:dyDescent="0.3">
      <c r="A1914" s="1">
        <v>87</v>
      </c>
      <c r="B1914" s="1">
        <v>2025</v>
      </c>
      <c r="C1914" s="3">
        <v>45674</v>
      </c>
      <c r="E1914" s="1" t="s">
        <v>16</v>
      </c>
      <c r="F1914" s="1" t="s">
        <v>13</v>
      </c>
      <c r="G1914" s="1" t="s">
        <v>366</v>
      </c>
      <c r="H1914" s="1" t="s">
        <v>393</v>
      </c>
      <c r="I1914" s="1" t="s">
        <v>366</v>
      </c>
      <c r="J1914" s="1" t="s">
        <v>533</v>
      </c>
      <c r="K1914" s="1" t="s">
        <v>362</v>
      </c>
    </row>
    <row r="1915" spans="1:11" x14ac:dyDescent="0.3">
      <c r="A1915" s="1">
        <v>87</v>
      </c>
      <c r="B1915" s="1">
        <v>2025</v>
      </c>
      <c r="C1915" s="3">
        <v>45674</v>
      </c>
      <c r="E1915" s="1" t="s">
        <v>17</v>
      </c>
      <c r="F1915" s="1" t="s">
        <v>13</v>
      </c>
      <c r="G1915" s="1" t="s">
        <v>362</v>
      </c>
      <c r="H1915" s="1" t="s">
        <v>362</v>
      </c>
      <c r="I1915" s="1" t="s">
        <v>366</v>
      </c>
      <c r="J1915" s="1" t="s">
        <v>534</v>
      </c>
      <c r="K1915" s="1" t="s">
        <v>362</v>
      </c>
    </row>
    <row r="1916" spans="1:11" x14ac:dyDescent="0.3">
      <c r="A1916" s="1">
        <v>87</v>
      </c>
      <c r="B1916" s="1">
        <v>2025</v>
      </c>
      <c r="C1916" s="3">
        <v>45674</v>
      </c>
      <c r="E1916" s="1" t="s">
        <v>18</v>
      </c>
      <c r="F1916" s="1" t="s">
        <v>13</v>
      </c>
      <c r="G1916" s="1" t="s">
        <v>358</v>
      </c>
      <c r="H1916" s="1" t="s">
        <v>358</v>
      </c>
      <c r="I1916" s="1" t="s">
        <v>416</v>
      </c>
      <c r="J1916" s="1" t="s">
        <v>456</v>
      </c>
      <c r="K1916" s="1" t="s">
        <v>358</v>
      </c>
    </row>
    <row r="1917" spans="1:11" x14ac:dyDescent="0.3">
      <c r="A1917" s="1">
        <v>87</v>
      </c>
      <c r="B1917" s="1">
        <v>2025</v>
      </c>
      <c r="C1917" s="3">
        <v>45674</v>
      </c>
      <c r="E1917" s="1" t="s">
        <v>19</v>
      </c>
      <c r="F1917" s="1" t="s">
        <v>13</v>
      </c>
      <c r="G1917" s="1" t="s">
        <v>358</v>
      </c>
      <c r="H1917" s="1" t="s">
        <v>358</v>
      </c>
      <c r="I1917" s="1" t="s">
        <v>360</v>
      </c>
      <c r="J1917" s="1" t="s">
        <v>416</v>
      </c>
      <c r="K1917" s="1" t="s">
        <v>416</v>
      </c>
    </row>
    <row r="1918" spans="1:11" x14ac:dyDescent="0.3">
      <c r="A1918" s="1">
        <v>87</v>
      </c>
      <c r="B1918" s="1">
        <v>2025</v>
      </c>
      <c r="C1918" s="3">
        <v>45674</v>
      </c>
      <c r="E1918" s="1" t="s">
        <v>20</v>
      </c>
      <c r="F1918" s="1" t="s">
        <v>13</v>
      </c>
      <c r="G1918" s="1" t="s">
        <v>361</v>
      </c>
      <c r="H1918" s="1" t="s">
        <v>472</v>
      </c>
      <c r="I1918" s="1" t="s">
        <v>360</v>
      </c>
      <c r="J1918" s="1" t="s">
        <v>535</v>
      </c>
      <c r="K1918" s="1" t="s">
        <v>361</v>
      </c>
    </row>
    <row r="1919" spans="1:11" x14ac:dyDescent="0.3">
      <c r="A1919" s="1">
        <v>87</v>
      </c>
      <c r="B1919" s="1">
        <v>2025</v>
      </c>
      <c r="C1919" s="3">
        <v>45674</v>
      </c>
      <c r="E1919" s="1" t="s">
        <v>21</v>
      </c>
      <c r="F1919" s="1" t="s">
        <v>13</v>
      </c>
      <c r="G1919" s="1" t="s">
        <v>366</v>
      </c>
      <c r="H1919" s="1" t="s">
        <v>382</v>
      </c>
      <c r="I1919" s="1" t="s">
        <v>362</v>
      </c>
      <c r="J1919" s="1" t="s">
        <v>536</v>
      </c>
      <c r="K1919" s="1" t="s">
        <v>366</v>
      </c>
    </row>
    <row r="1920" spans="1:11" x14ac:dyDescent="0.3">
      <c r="A1920" s="1">
        <v>87</v>
      </c>
      <c r="B1920" s="1">
        <v>2025</v>
      </c>
      <c r="C1920" s="3">
        <v>45674</v>
      </c>
      <c r="E1920" s="1" t="s">
        <v>73</v>
      </c>
      <c r="F1920" s="1" t="s">
        <v>13</v>
      </c>
      <c r="G1920" s="1" t="s">
        <v>472</v>
      </c>
      <c r="H1920" s="1" t="s">
        <v>405</v>
      </c>
      <c r="I1920" s="1" t="s">
        <v>415</v>
      </c>
      <c r="J1920" s="1" t="s">
        <v>537</v>
      </c>
      <c r="K1920" s="1" t="s">
        <v>472</v>
      </c>
    </row>
    <row r="1921" spans="1:11" x14ac:dyDescent="0.3">
      <c r="A1921" s="1">
        <v>87</v>
      </c>
      <c r="B1921" s="1">
        <v>2025</v>
      </c>
      <c r="C1921" s="3">
        <v>45674</v>
      </c>
      <c r="E1921" s="1" t="s">
        <v>23</v>
      </c>
      <c r="F1921" s="1" t="s">
        <v>13</v>
      </c>
      <c r="G1921" s="1" t="s">
        <v>366</v>
      </c>
      <c r="H1921" s="1" t="s">
        <v>393</v>
      </c>
      <c r="I1921" s="1" t="s">
        <v>366</v>
      </c>
      <c r="J1921" s="1" t="s">
        <v>533</v>
      </c>
      <c r="K1921" s="1" t="s">
        <v>362</v>
      </c>
    </row>
    <row r="1922" spans="1:11" x14ac:dyDescent="0.3">
      <c r="A1922" s="1">
        <v>87</v>
      </c>
      <c r="B1922" s="1">
        <v>2025</v>
      </c>
      <c r="C1922" s="3">
        <v>45674</v>
      </c>
      <c r="E1922" s="1" t="s">
        <v>24</v>
      </c>
      <c r="F1922" s="1" t="s">
        <v>13</v>
      </c>
      <c r="G1922" s="1" t="s">
        <v>358</v>
      </c>
      <c r="H1922" s="1" t="s">
        <v>358</v>
      </c>
      <c r="I1922" s="1" t="s">
        <v>472</v>
      </c>
      <c r="J1922" s="1" t="s">
        <v>360</v>
      </c>
      <c r="K1922" s="1" t="s">
        <v>416</v>
      </c>
    </row>
    <row r="1923" spans="1:11" x14ac:dyDescent="0.3">
      <c r="A1923" s="1">
        <v>87</v>
      </c>
      <c r="B1923" s="1">
        <v>2025</v>
      </c>
      <c r="C1923" s="3">
        <v>45674</v>
      </c>
      <c r="E1923" s="1" t="s">
        <v>25</v>
      </c>
      <c r="F1923" s="1" t="s">
        <v>26</v>
      </c>
      <c r="G1923" s="1" t="s">
        <v>358</v>
      </c>
      <c r="H1923" s="1" t="s">
        <v>357</v>
      </c>
      <c r="I1923" s="1" t="s">
        <v>360</v>
      </c>
      <c r="J1923" s="1" t="s">
        <v>478</v>
      </c>
      <c r="K1923" s="1" t="s">
        <v>358</v>
      </c>
    </row>
    <row r="1924" spans="1:11" x14ac:dyDescent="0.3">
      <c r="A1924" s="1">
        <v>87</v>
      </c>
      <c r="B1924" s="1">
        <v>2025</v>
      </c>
      <c r="C1924" s="3">
        <v>45674</v>
      </c>
      <c r="E1924" s="1" t="s">
        <v>27</v>
      </c>
      <c r="F1924" s="1" t="s">
        <v>13</v>
      </c>
      <c r="H1924" s="1" t="s">
        <v>357</v>
      </c>
      <c r="I1924" s="1" t="s">
        <v>385</v>
      </c>
      <c r="J1924" s="1" t="s">
        <v>538</v>
      </c>
      <c r="K1924" s="1" t="s">
        <v>428</v>
      </c>
    </row>
    <row r="1925" spans="1:11" x14ac:dyDescent="0.3">
      <c r="A1925" s="1">
        <v>87</v>
      </c>
      <c r="B1925" s="1">
        <v>2025</v>
      </c>
      <c r="C1925" s="3">
        <v>45674</v>
      </c>
      <c r="E1925" s="1" t="s">
        <v>28</v>
      </c>
      <c r="F1925" s="1" t="s">
        <v>13</v>
      </c>
      <c r="G1925" s="1" t="s">
        <v>363</v>
      </c>
      <c r="H1925" s="1" t="s">
        <v>357</v>
      </c>
      <c r="I1925" s="1" t="s">
        <v>430</v>
      </c>
      <c r="J1925" s="1" t="s">
        <v>539</v>
      </c>
      <c r="K1925" s="1" t="s">
        <v>363</v>
      </c>
    </row>
    <row r="1926" spans="1:11" x14ac:dyDescent="0.3">
      <c r="A1926" s="1">
        <v>87</v>
      </c>
      <c r="B1926" s="1">
        <v>2025</v>
      </c>
      <c r="C1926" s="3">
        <v>45674</v>
      </c>
      <c r="E1926" s="1" t="s">
        <v>29</v>
      </c>
      <c r="F1926" s="1" t="s">
        <v>13</v>
      </c>
      <c r="G1926" s="1" t="s">
        <v>358</v>
      </c>
      <c r="H1926" s="1" t="s">
        <v>358</v>
      </c>
      <c r="I1926" s="1" t="s">
        <v>357</v>
      </c>
      <c r="J1926" s="1" t="s">
        <v>540</v>
      </c>
      <c r="K1926" s="1" t="s">
        <v>458</v>
      </c>
    </row>
    <row r="1927" spans="1:11" x14ac:dyDescent="0.3">
      <c r="A1927" s="1">
        <v>87</v>
      </c>
      <c r="B1927" s="1">
        <v>2025</v>
      </c>
      <c r="C1927" s="3">
        <v>45674</v>
      </c>
      <c r="E1927" s="1" t="s">
        <v>31</v>
      </c>
      <c r="F1927" s="1" t="s">
        <v>32</v>
      </c>
      <c r="G1927" s="1" t="s">
        <v>378</v>
      </c>
      <c r="H1927" s="1" t="s">
        <v>460</v>
      </c>
      <c r="I1927" s="1" t="s">
        <v>378</v>
      </c>
      <c r="J1927" s="1" t="s">
        <v>481</v>
      </c>
      <c r="K1927" s="1" t="s">
        <v>378</v>
      </c>
    </row>
    <row r="1928" spans="1:11" x14ac:dyDescent="0.3">
      <c r="A1928" s="1">
        <v>87</v>
      </c>
      <c r="B1928" s="1">
        <v>2025</v>
      </c>
      <c r="C1928" s="3">
        <v>45674</v>
      </c>
      <c r="E1928" s="1" t="s">
        <v>34</v>
      </c>
      <c r="F1928" s="1" t="s">
        <v>35</v>
      </c>
      <c r="G1928" s="1" t="s">
        <v>419</v>
      </c>
      <c r="H1928" s="1" t="s">
        <v>382</v>
      </c>
      <c r="I1928" s="1" t="s">
        <v>419</v>
      </c>
      <c r="J1928" s="1" t="s">
        <v>459</v>
      </c>
      <c r="K1928" s="1" t="s">
        <v>419</v>
      </c>
    </row>
    <row r="1929" spans="1:11" x14ac:dyDescent="0.3">
      <c r="A1929" s="1">
        <v>87</v>
      </c>
      <c r="B1929" s="1">
        <v>2025</v>
      </c>
      <c r="C1929" s="3">
        <v>45674</v>
      </c>
      <c r="E1929" s="1" t="s">
        <v>36</v>
      </c>
      <c r="F1929" s="1" t="s">
        <v>35</v>
      </c>
      <c r="G1929" s="1" t="s">
        <v>419</v>
      </c>
      <c r="H1929" s="1" t="s">
        <v>382</v>
      </c>
      <c r="I1929" s="1" t="s">
        <v>362</v>
      </c>
      <c r="J1929" s="1" t="s">
        <v>419</v>
      </c>
      <c r="K1929" s="1" t="s">
        <v>419</v>
      </c>
    </row>
    <row r="1930" spans="1:11" x14ac:dyDescent="0.3">
      <c r="A1930" s="1">
        <v>87</v>
      </c>
      <c r="B1930" s="1">
        <v>2025</v>
      </c>
      <c r="C1930" s="3">
        <v>45674</v>
      </c>
      <c r="E1930" s="1" t="s">
        <v>153</v>
      </c>
      <c r="F1930" s="1" t="s">
        <v>154</v>
      </c>
      <c r="H1930" s="1" t="s">
        <v>370</v>
      </c>
      <c r="I1930" s="1" t="s">
        <v>370</v>
      </c>
      <c r="J1930" s="1" t="s">
        <v>370</v>
      </c>
      <c r="K1930" s="1" t="s">
        <v>370</v>
      </c>
    </row>
    <row r="1931" spans="1:11" x14ac:dyDescent="0.3">
      <c r="A1931" s="1">
        <v>87</v>
      </c>
      <c r="B1931" s="1">
        <v>2025</v>
      </c>
      <c r="C1931" s="3">
        <v>45674</v>
      </c>
      <c r="E1931" s="1" t="s">
        <v>39</v>
      </c>
      <c r="F1931" s="1" t="s">
        <v>40</v>
      </c>
      <c r="H1931" s="1" t="s">
        <v>370</v>
      </c>
      <c r="I1931" s="1" t="s">
        <v>405</v>
      </c>
      <c r="J1931" s="1" t="s">
        <v>386</v>
      </c>
      <c r="K1931" s="1" t="s">
        <v>386</v>
      </c>
    </row>
    <row r="1932" spans="1:11" x14ac:dyDescent="0.3">
      <c r="A1932" s="1">
        <v>87</v>
      </c>
      <c r="B1932" s="1">
        <v>2025</v>
      </c>
      <c r="C1932" s="3">
        <v>45674</v>
      </c>
      <c r="E1932" s="1" t="s">
        <v>42</v>
      </c>
      <c r="F1932" s="1" t="s">
        <v>43</v>
      </c>
      <c r="H1932" s="1" t="s">
        <v>394</v>
      </c>
      <c r="I1932" s="1" t="s">
        <v>390</v>
      </c>
      <c r="J1932" s="1" t="s">
        <v>441</v>
      </c>
      <c r="K1932" s="1" t="s">
        <v>393</v>
      </c>
    </row>
    <row r="1933" spans="1:11" x14ac:dyDescent="0.3">
      <c r="A1933" s="1">
        <v>87</v>
      </c>
      <c r="B1933" s="1">
        <v>2025</v>
      </c>
      <c r="C1933" s="3">
        <v>45674</v>
      </c>
      <c r="E1933" s="1" t="s">
        <v>44</v>
      </c>
      <c r="F1933" s="1" t="s">
        <v>45</v>
      </c>
      <c r="G1933" s="1" t="s">
        <v>393</v>
      </c>
      <c r="H1933" s="1" t="s">
        <v>393</v>
      </c>
      <c r="I1933" s="1" t="s">
        <v>393</v>
      </c>
      <c r="J1933" s="1" t="s">
        <v>393</v>
      </c>
      <c r="K1933" s="1" t="s">
        <v>393</v>
      </c>
    </row>
    <row r="1934" spans="1:11" x14ac:dyDescent="0.3">
      <c r="A1934" s="1">
        <v>87</v>
      </c>
      <c r="B1934" s="1">
        <v>2025</v>
      </c>
      <c r="C1934" s="3">
        <v>45674</v>
      </c>
      <c r="E1934" s="1" t="s">
        <v>49</v>
      </c>
      <c r="F1934" s="1" t="s">
        <v>50</v>
      </c>
      <c r="G1934" s="1" t="s">
        <v>394</v>
      </c>
      <c r="H1934" s="1" t="s">
        <v>394</v>
      </c>
      <c r="I1934" s="1" t="s">
        <v>370</v>
      </c>
      <c r="J1934" s="1" t="s">
        <v>528</v>
      </c>
      <c r="K1934" s="1" t="s">
        <v>394</v>
      </c>
    </row>
    <row r="1935" spans="1:11" x14ac:dyDescent="0.3">
      <c r="A1935" s="1">
        <v>87</v>
      </c>
      <c r="B1935" s="1">
        <v>2025</v>
      </c>
      <c r="C1935" s="3">
        <v>45674</v>
      </c>
      <c r="E1935" s="1" t="s">
        <v>52</v>
      </c>
      <c r="F1935" s="1" t="s">
        <v>43</v>
      </c>
      <c r="H1935" s="1" t="s">
        <v>394</v>
      </c>
      <c r="I1935" s="1" t="s">
        <v>405</v>
      </c>
      <c r="J1935" s="1" t="s">
        <v>385</v>
      </c>
      <c r="K1935" s="1" t="s">
        <v>370</v>
      </c>
    </row>
    <row r="1936" spans="1:11" x14ac:dyDescent="0.3">
      <c r="A1936" s="1">
        <v>87</v>
      </c>
      <c r="B1936" s="1">
        <v>2025</v>
      </c>
      <c r="C1936" s="3">
        <v>45674</v>
      </c>
      <c r="E1936" s="1" t="s">
        <v>53</v>
      </c>
      <c r="F1936" s="1" t="s">
        <v>43</v>
      </c>
      <c r="H1936" s="1" t="s">
        <v>386</v>
      </c>
      <c r="I1936" s="1" t="s">
        <v>415</v>
      </c>
      <c r="J1936" s="1" t="s">
        <v>405</v>
      </c>
      <c r="K1936" s="1" t="s">
        <v>405</v>
      </c>
    </row>
    <row r="1937" spans="1:11" x14ac:dyDescent="0.3">
      <c r="A1937" s="1">
        <v>87</v>
      </c>
      <c r="B1937" s="1">
        <v>2025</v>
      </c>
      <c r="C1937" s="3">
        <v>45674</v>
      </c>
      <c r="E1937" s="1" t="s">
        <v>54</v>
      </c>
      <c r="F1937" s="1" t="s">
        <v>40</v>
      </c>
      <c r="G1937" s="1" t="s">
        <v>370</v>
      </c>
      <c r="H1937" s="1" t="s">
        <v>370</v>
      </c>
      <c r="I1937" s="1" t="s">
        <v>370</v>
      </c>
      <c r="J1937" s="1" t="s">
        <v>370</v>
      </c>
      <c r="K1937" s="1" t="s">
        <v>370</v>
      </c>
    </row>
    <row r="1938" spans="1:11" x14ac:dyDescent="0.3">
      <c r="A1938" s="1">
        <v>87</v>
      </c>
      <c r="B1938" s="1">
        <v>2025</v>
      </c>
      <c r="C1938" s="3">
        <v>45674</v>
      </c>
      <c r="E1938" s="1" t="s">
        <v>56</v>
      </c>
      <c r="F1938" s="1" t="s">
        <v>43</v>
      </c>
      <c r="H1938" s="1" t="s">
        <v>385</v>
      </c>
      <c r="I1938" s="1" t="s">
        <v>385</v>
      </c>
      <c r="J1938" s="1" t="s">
        <v>385</v>
      </c>
      <c r="K1938" s="1" t="s">
        <v>385</v>
      </c>
    </row>
    <row r="1939" spans="1:11" x14ac:dyDescent="0.3">
      <c r="A1939" s="1">
        <v>87</v>
      </c>
      <c r="B1939" s="1">
        <v>2025</v>
      </c>
      <c r="C1939" s="3">
        <v>45674</v>
      </c>
      <c r="E1939" s="1" t="s">
        <v>57</v>
      </c>
      <c r="F1939" s="1" t="s">
        <v>40</v>
      </c>
      <c r="H1939" s="1" t="s">
        <v>386</v>
      </c>
      <c r="I1939" s="1" t="s">
        <v>386</v>
      </c>
      <c r="J1939" s="1" t="s">
        <v>386</v>
      </c>
      <c r="K1939" s="1" t="s">
        <v>386</v>
      </c>
    </row>
    <row r="1940" spans="1:11" x14ac:dyDescent="0.3">
      <c r="A1940" s="1">
        <v>87</v>
      </c>
      <c r="B1940" s="1">
        <v>2025</v>
      </c>
      <c r="C1940" s="3">
        <v>45674</v>
      </c>
      <c r="E1940" s="1" t="s">
        <v>58</v>
      </c>
      <c r="F1940" s="1" t="s">
        <v>40</v>
      </c>
      <c r="H1940" s="1" t="s">
        <v>484</v>
      </c>
      <c r="I1940" s="1" t="s">
        <v>401</v>
      </c>
      <c r="J1940" s="1" t="s">
        <v>541</v>
      </c>
      <c r="K1940" s="1" t="s">
        <v>415</v>
      </c>
    </row>
    <row r="1941" spans="1:11" x14ac:dyDescent="0.3">
      <c r="A1941" s="1">
        <v>87</v>
      </c>
      <c r="B1941" s="1">
        <v>2025</v>
      </c>
      <c r="C1941" s="3">
        <v>45674</v>
      </c>
      <c r="E1941" s="1" t="s">
        <v>59</v>
      </c>
      <c r="F1941" s="1" t="s">
        <v>45</v>
      </c>
      <c r="H1941" s="1" t="s">
        <v>362</v>
      </c>
      <c r="I1941" s="1" t="s">
        <v>393</v>
      </c>
      <c r="J1941" s="1" t="s">
        <v>397</v>
      </c>
      <c r="K1941" s="1" t="s">
        <v>397</v>
      </c>
    </row>
    <row r="1942" spans="1:11" x14ac:dyDescent="0.3">
      <c r="A1942" s="1">
        <v>87</v>
      </c>
      <c r="B1942" s="1">
        <v>2025</v>
      </c>
      <c r="C1942" s="3">
        <v>45674</v>
      </c>
      <c r="E1942" s="1" t="s">
        <v>60</v>
      </c>
      <c r="F1942" s="1" t="s">
        <v>61</v>
      </c>
      <c r="G1942" s="1" t="s">
        <v>451</v>
      </c>
      <c r="H1942" s="1" t="s">
        <v>403</v>
      </c>
      <c r="I1942" s="1" t="s">
        <v>451</v>
      </c>
      <c r="J1942" s="1" t="s">
        <v>414</v>
      </c>
      <c r="K1942" s="1" t="s">
        <v>451</v>
      </c>
    </row>
    <row r="1943" spans="1:11" x14ac:dyDescent="0.3">
      <c r="A1943" s="1">
        <v>87</v>
      </c>
      <c r="B1943" s="1">
        <v>2025</v>
      </c>
      <c r="C1943" s="3">
        <v>45674</v>
      </c>
      <c r="E1943" s="1" t="s">
        <v>63</v>
      </c>
      <c r="F1943" s="1" t="s">
        <v>40</v>
      </c>
      <c r="G1943" s="1" t="s">
        <v>358</v>
      </c>
      <c r="H1943" s="1" t="s">
        <v>358</v>
      </c>
      <c r="I1943" s="1" t="s">
        <v>386</v>
      </c>
      <c r="J1943" s="1" t="s">
        <v>528</v>
      </c>
      <c r="K1943" s="1" t="s">
        <v>358</v>
      </c>
    </row>
    <row r="1944" spans="1:11" x14ac:dyDescent="0.3">
      <c r="A1944" s="1">
        <v>87</v>
      </c>
      <c r="B1944" s="1">
        <v>2025</v>
      </c>
      <c r="C1944" s="3">
        <v>45674</v>
      </c>
      <c r="E1944" s="1" t="s">
        <v>64</v>
      </c>
      <c r="F1944" s="1" t="s">
        <v>40</v>
      </c>
      <c r="H1944" s="1" t="s">
        <v>411</v>
      </c>
      <c r="I1944" s="1" t="s">
        <v>405</v>
      </c>
      <c r="J1944" s="1" t="s">
        <v>500</v>
      </c>
      <c r="K1944" s="1" t="s">
        <v>415</v>
      </c>
    </row>
    <row r="1945" spans="1:11" x14ac:dyDescent="0.3">
      <c r="A1945" s="1">
        <v>87</v>
      </c>
      <c r="B1945" s="1">
        <v>2025</v>
      </c>
      <c r="C1945" s="3">
        <v>45674</v>
      </c>
      <c r="E1945" s="12" t="s">
        <v>66</v>
      </c>
      <c r="F1945" s="13" t="s">
        <v>45</v>
      </c>
    </row>
    <row r="1946" spans="1:11" x14ac:dyDescent="0.3">
      <c r="A1946" s="1">
        <v>87</v>
      </c>
      <c r="B1946" s="1">
        <v>2025</v>
      </c>
      <c r="C1946" s="3">
        <v>45674</v>
      </c>
      <c r="E1946" s="12" t="s">
        <v>67</v>
      </c>
      <c r="F1946" s="13" t="s">
        <v>45</v>
      </c>
    </row>
    <row r="1947" spans="1:11" x14ac:dyDescent="0.3">
      <c r="A1947" s="1">
        <v>87</v>
      </c>
      <c r="B1947" s="1">
        <v>2025</v>
      </c>
      <c r="C1947" s="3">
        <v>45674</v>
      </c>
      <c r="E1947" s="12" t="s">
        <v>68</v>
      </c>
      <c r="F1947" s="13" t="s">
        <v>45</v>
      </c>
    </row>
    <row r="1948" spans="1:11" x14ac:dyDescent="0.3">
      <c r="A1948" s="1">
        <v>87</v>
      </c>
      <c r="B1948" s="1">
        <v>2025</v>
      </c>
      <c r="C1948" s="3">
        <v>45674</v>
      </c>
      <c r="E1948" s="12" t="s">
        <v>69</v>
      </c>
      <c r="F1948" s="13" t="s">
        <v>45</v>
      </c>
    </row>
    <row r="1949" spans="1:11" x14ac:dyDescent="0.3">
      <c r="A1949" s="1">
        <v>87</v>
      </c>
      <c r="B1949" s="1">
        <v>2025</v>
      </c>
      <c r="C1949" s="3">
        <v>45674</v>
      </c>
      <c r="E1949" s="12" t="s">
        <v>70</v>
      </c>
      <c r="F1949" s="13" t="s">
        <v>71</v>
      </c>
    </row>
    <row r="1950" spans="1:11" x14ac:dyDescent="0.3">
      <c r="A1950" s="1">
        <v>88</v>
      </c>
      <c r="B1950" s="1">
        <v>2025</v>
      </c>
      <c r="C1950" s="3">
        <v>45681</v>
      </c>
      <c r="E1950" s="12" t="s">
        <v>12</v>
      </c>
      <c r="F1950" s="13" t="s">
        <v>13</v>
      </c>
      <c r="G1950" s="13"/>
      <c r="H1950" s="14">
        <v>36</v>
      </c>
      <c r="I1950" s="14">
        <v>72</v>
      </c>
      <c r="J1950" s="14">
        <v>54</v>
      </c>
      <c r="K1950" s="14">
        <v>54</v>
      </c>
    </row>
    <row r="1951" spans="1:11" x14ac:dyDescent="0.3">
      <c r="A1951" s="1">
        <v>88</v>
      </c>
      <c r="B1951" s="1">
        <v>2025</v>
      </c>
      <c r="C1951" s="3">
        <v>45681</v>
      </c>
      <c r="E1951" s="12" t="s">
        <v>14</v>
      </c>
      <c r="F1951" s="13" t="s">
        <v>13</v>
      </c>
      <c r="G1951" s="14">
        <v>96</v>
      </c>
      <c r="H1951" s="14">
        <v>54</v>
      </c>
      <c r="I1951" s="14">
        <v>96</v>
      </c>
      <c r="J1951" s="14">
        <v>82.5</v>
      </c>
      <c r="K1951" s="14">
        <v>90</v>
      </c>
    </row>
    <row r="1952" spans="1:11" x14ac:dyDescent="0.3">
      <c r="A1952" s="1">
        <v>88</v>
      </c>
      <c r="B1952" s="1">
        <v>2025</v>
      </c>
      <c r="C1952" s="3">
        <v>45681</v>
      </c>
      <c r="E1952" s="12" t="s">
        <v>15</v>
      </c>
      <c r="F1952" s="13" t="s">
        <v>13</v>
      </c>
      <c r="G1952" s="13"/>
      <c r="H1952" s="14">
        <v>40</v>
      </c>
      <c r="I1952" s="14">
        <v>60</v>
      </c>
      <c r="J1952" s="14">
        <v>48.25</v>
      </c>
      <c r="K1952" s="14">
        <v>46.5</v>
      </c>
    </row>
    <row r="1953" spans="1:11" x14ac:dyDescent="0.3">
      <c r="A1953" s="1">
        <v>88</v>
      </c>
      <c r="B1953" s="1">
        <v>2025</v>
      </c>
      <c r="C1953" s="3">
        <v>45681</v>
      </c>
      <c r="E1953" s="12" t="s">
        <v>16</v>
      </c>
      <c r="F1953" s="13" t="s">
        <v>13</v>
      </c>
      <c r="G1953" s="14">
        <v>30</v>
      </c>
      <c r="H1953" s="14">
        <v>25</v>
      </c>
      <c r="I1953" s="14">
        <v>50</v>
      </c>
      <c r="J1953" s="14">
        <v>33.75</v>
      </c>
      <c r="K1953" s="14">
        <v>30</v>
      </c>
    </row>
    <row r="1954" spans="1:11" x14ac:dyDescent="0.3">
      <c r="A1954" s="1">
        <v>88</v>
      </c>
      <c r="B1954" s="1">
        <v>2025</v>
      </c>
      <c r="C1954" s="3">
        <v>45681</v>
      </c>
      <c r="E1954" s="12" t="s">
        <v>17</v>
      </c>
      <c r="F1954" s="13" t="s">
        <v>13</v>
      </c>
      <c r="G1954" s="14">
        <v>30</v>
      </c>
      <c r="H1954" s="14">
        <v>25</v>
      </c>
      <c r="I1954" s="14">
        <v>50</v>
      </c>
      <c r="J1954" s="14">
        <v>33.75</v>
      </c>
      <c r="K1954" s="14">
        <v>30</v>
      </c>
    </row>
    <row r="1955" spans="1:11" x14ac:dyDescent="0.3">
      <c r="A1955" s="1">
        <v>88</v>
      </c>
      <c r="B1955" s="1">
        <v>2025</v>
      </c>
      <c r="C1955" s="3">
        <v>45681</v>
      </c>
      <c r="E1955" s="12" t="s">
        <v>18</v>
      </c>
      <c r="F1955" s="13" t="s">
        <v>13</v>
      </c>
      <c r="G1955" s="14">
        <v>60</v>
      </c>
      <c r="H1955" s="14">
        <v>60</v>
      </c>
      <c r="I1955" s="14">
        <v>120</v>
      </c>
      <c r="J1955" s="14">
        <v>76.5</v>
      </c>
      <c r="K1955" s="14">
        <v>63</v>
      </c>
    </row>
    <row r="1956" spans="1:11" ht="28.8" x14ac:dyDescent="0.3">
      <c r="A1956" s="1">
        <v>88</v>
      </c>
      <c r="B1956" s="1">
        <v>2025</v>
      </c>
      <c r="C1956" s="3">
        <v>45681</v>
      </c>
      <c r="E1956" s="12" t="s">
        <v>19</v>
      </c>
      <c r="F1956" s="13" t="s">
        <v>13</v>
      </c>
      <c r="G1956" s="14">
        <v>84</v>
      </c>
      <c r="H1956" s="14">
        <v>78</v>
      </c>
      <c r="I1956" s="14">
        <v>84</v>
      </c>
      <c r="J1956" s="14">
        <v>81</v>
      </c>
      <c r="K1956" s="14">
        <v>81</v>
      </c>
    </row>
    <row r="1957" spans="1:11" x14ac:dyDescent="0.3">
      <c r="A1957" s="1">
        <v>88</v>
      </c>
      <c r="B1957" s="1">
        <v>2025</v>
      </c>
      <c r="C1957" s="3">
        <v>45681</v>
      </c>
      <c r="E1957" s="12" t="s">
        <v>20</v>
      </c>
      <c r="F1957" s="13" t="s">
        <v>13</v>
      </c>
      <c r="G1957" s="14">
        <v>84</v>
      </c>
      <c r="H1957" s="14">
        <v>72</v>
      </c>
      <c r="I1957" s="14">
        <v>96</v>
      </c>
      <c r="J1957" s="14">
        <v>84</v>
      </c>
      <c r="K1957" s="14">
        <v>84</v>
      </c>
    </row>
    <row r="1958" spans="1:11" x14ac:dyDescent="0.3">
      <c r="A1958" s="1">
        <v>88</v>
      </c>
      <c r="B1958" s="1">
        <v>2025</v>
      </c>
      <c r="C1958" s="3">
        <v>45681</v>
      </c>
      <c r="E1958" s="12" t="s">
        <v>21</v>
      </c>
      <c r="F1958" s="13" t="s">
        <v>13</v>
      </c>
      <c r="G1958" s="14">
        <v>24</v>
      </c>
      <c r="H1958" s="14">
        <v>24</v>
      </c>
      <c r="I1958" s="14">
        <v>30</v>
      </c>
      <c r="J1958" s="14">
        <v>25.5</v>
      </c>
      <c r="K1958" s="14">
        <v>24</v>
      </c>
    </row>
    <row r="1959" spans="1:11" x14ac:dyDescent="0.3">
      <c r="A1959" s="1">
        <v>88</v>
      </c>
      <c r="B1959" s="1">
        <v>2025</v>
      </c>
      <c r="C1959" s="3">
        <v>45681</v>
      </c>
      <c r="E1959" s="12" t="s">
        <v>73</v>
      </c>
      <c r="F1959" s="13" t="s">
        <v>13</v>
      </c>
      <c r="G1959" s="14">
        <v>96</v>
      </c>
      <c r="H1959" s="14">
        <v>72</v>
      </c>
      <c r="I1959" s="14">
        <v>96</v>
      </c>
      <c r="J1959" s="14">
        <v>87</v>
      </c>
      <c r="K1959" s="14">
        <v>90</v>
      </c>
    </row>
    <row r="1960" spans="1:11" x14ac:dyDescent="0.3">
      <c r="A1960" s="1">
        <v>88</v>
      </c>
      <c r="B1960" s="1">
        <v>2025</v>
      </c>
      <c r="C1960" s="3">
        <v>45681</v>
      </c>
      <c r="E1960" s="12" t="s">
        <v>23</v>
      </c>
      <c r="F1960" s="13" t="s">
        <v>13</v>
      </c>
      <c r="G1960" s="14">
        <v>30</v>
      </c>
      <c r="H1960" s="14">
        <v>25</v>
      </c>
      <c r="I1960" s="14">
        <v>36</v>
      </c>
      <c r="J1960" s="14">
        <v>30.25</v>
      </c>
      <c r="K1960" s="14">
        <v>30</v>
      </c>
    </row>
    <row r="1961" spans="1:11" x14ac:dyDescent="0.3">
      <c r="A1961" s="1">
        <v>88</v>
      </c>
      <c r="B1961" s="1">
        <v>2025</v>
      </c>
      <c r="C1961" s="3">
        <v>45681</v>
      </c>
      <c r="E1961" s="12" t="s">
        <v>24</v>
      </c>
      <c r="F1961" s="13" t="s">
        <v>13</v>
      </c>
      <c r="G1961" s="14">
        <v>72</v>
      </c>
      <c r="H1961" s="14">
        <v>60</v>
      </c>
      <c r="I1961" s="14">
        <v>84</v>
      </c>
      <c r="J1961" s="14">
        <v>72</v>
      </c>
      <c r="K1961" s="14">
        <v>72</v>
      </c>
    </row>
    <row r="1962" spans="1:11" x14ac:dyDescent="0.3">
      <c r="A1962" s="1">
        <v>88</v>
      </c>
      <c r="B1962" s="1">
        <v>2025</v>
      </c>
      <c r="C1962" s="3">
        <v>45681</v>
      </c>
      <c r="E1962" s="12" t="s">
        <v>25</v>
      </c>
      <c r="F1962" s="13" t="s">
        <v>26</v>
      </c>
      <c r="G1962" s="14">
        <v>72</v>
      </c>
      <c r="H1962" s="14">
        <v>60</v>
      </c>
      <c r="I1962" s="14">
        <v>96</v>
      </c>
      <c r="J1962" s="14">
        <v>75</v>
      </c>
      <c r="K1962" s="14">
        <v>72</v>
      </c>
    </row>
    <row r="1963" spans="1:11" x14ac:dyDescent="0.3">
      <c r="A1963" s="1">
        <v>88</v>
      </c>
      <c r="B1963" s="1">
        <v>2025</v>
      </c>
      <c r="C1963" s="3">
        <v>45681</v>
      </c>
      <c r="E1963" s="12" t="s">
        <v>27</v>
      </c>
      <c r="F1963" s="13" t="s">
        <v>13</v>
      </c>
      <c r="G1963" s="14">
        <v>60</v>
      </c>
      <c r="H1963" s="14">
        <v>54</v>
      </c>
      <c r="I1963" s="14">
        <v>72</v>
      </c>
      <c r="J1963" s="14">
        <v>61.5</v>
      </c>
      <c r="K1963" s="14">
        <v>60</v>
      </c>
    </row>
    <row r="1964" spans="1:11" x14ac:dyDescent="0.3">
      <c r="A1964" s="1">
        <v>88</v>
      </c>
      <c r="B1964" s="1">
        <v>2025</v>
      </c>
      <c r="C1964" s="3">
        <v>45681</v>
      </c>
      <c r="E1964" s="12" t="s">
        <v>28</v>
      </c>
      <c r="F1964" s="13" t="s">
        <v>13</v>
      </c>
      <c r="G1964" s="14">
        <v>48</v>
      </c>
      <c r="H1964" s="14">
        <v>36</v>
      </c>
      <c r="I1964" s="14">
        <v>48</v>
      </c>
      <c r="J1964" s="14">
        <v>42</v>
      </c>
      <c r="K1964" s="14">
        <v>42</v>
      </c>
    </row>
    <row r="1965" spans="1:11" x14ac:dyDescent="0.3">
      <c r="A1965" s="1">
        <v>88</v>
      </c>
      <c r="B1965" s="1">
        <v>2025</v>
      </c>
      <c r="C1965" s="3">
        <v>45681</v>
      </c>
      <c r="E1965" s="12" t="s">
        <v>29</v>
      </c>
      <c r="F1965" s="13" t="s">
        <v>13</v>
      </c>
      <c r="G1965" s="14">
        <v>54</v>
      </c>
      <c r="H1965" s="14">
        <v>48</v>
      </c>
      <c r="I1965" s="14">
        <v>60</v>
      </c>
      <c r="J1965" s="14">
        <v>54</v>
      </c>
      <c r="K1965" s="14">
        <v>54</v>
      </c>
    </row>
    <row r="1966" spans="1:11" x14ac:dyDescent="0.3">
      <c r="A1966" s="1">
        <v>88</v>
      </c>
      <c r="B1966" s="1">
        <v>2025</v>
      </c>
      <c r="C1966" s="3">
        <v>45681</v>
      </c>
      <c r="E1966" s="12" t="s">
        <v>31</v>
      </c>
      <c r="F1966" s="13" t="s">
        <v>32</v>
      </c>
      <c r="G1966" s="14">
        <v>5</v>
      </c>
      <c r="H1966" s="14">
        <v>5</v>
      </c>
      <c r="I1966" s="14">
        <v>5</v>
      </c>
      <c r="J1966" s="14">
        <v>5</v>
      </c>
      <c r="K1966" s="14">
        <v>5</v>
      </c>
    </row>
    <row r="1967" spans="1:11" x14ac:dyDescent="0.3">
      <c r="A1967" s="1">
        <v>88</v>
      </c>
      <c r="B1967" s="1">
        <v>2025</v>
      </c>
      <c r="C1967" s="3">
        <v>45681</v>
      </c>
      <c r="E1967" s="12" t="s">
        <v>34</v>
      </c>
      <c r="F1967" s="13" t="s">
        <v>35</v>
      </c>
      <c r="G1967" s="14">
        <v>20</v>
      </c>
      <c r="H1967" s="14">
        <v>20</v>
      </c>
      <c r="I1967" s="14">
        <v>25</v>
      </c>
      <c r="J1967" s="14">
        <v>22.5</v>
      </c>
      <c r="K1967" s="14">
        <v>22.5</v>
      </c>
    </row>
    <row r="1968" spans="1:11" x14ac:dyDescent="0.3">
      <c r="A1968" s="1">
        <v>88</v>
      </c>
      <c r="B1968" s="1">
        <v>2025</v>
      </c>
      <c r="C1968" s="3">
        <v>45681</v>
      </c>
      <c r="E1968" s="12" t="s">
        <v>36</v>
      </c>
      <c r="F1968" s="13" t="s">
        <v>35</v>
      </c>
      <c r="G1968" s="14">
        <v>25</v>
      </c>
      <c r="H1968" s="14">
        <v>25</v>
      </c>
      <c r="I1968" s="14">
        <v>30</v>
      </c>
      <c r="J1968" s="14">
        <v>27.5</v>
      </c>
      <c r="K1968" s="14">
        <v>27.5</v>
      </c>
    </row>
    <row r="1969" spans="1:11" x14ac:dyDescent="0.3">
      <c r="A1969" s="1">
        <v>88</v>
      </c>
      <c r="B1969" s="1">
        <v>2025</v>
      </c>
      <c r="C1969" s="3">
        <v>45681</v>
      </c>
      <c r="E1969" s="12" t="s">
        <v>516</v>
      </c>
      <c r="F1969" s="13" t="s">
        <v>154</v>
      </c>
      <c r="G1969" s="14">
        <v>70</v>
      </c>
      <c r="H1969" s="14">
        <v>70</v>
      </c>
      <c r="I1969" s="14">
        <v>75</v>
      </c>
      <c r="J1969" s="14">
        <v>71.67</v>
      </c>
      <c r="K1969" s="14">
        <v>70</v>
      </c>
    </row>
    <row r="1970" spans="1:11" x14ac:dyDescent="0.3">
      <c r="A1970" s="1">
        <v>88</v>
      </c>
      <c r="B1970" s="1">
        <v>2025</v>
      </c>
      <c r="C1970" s="3">
        <v>45681</v>
      </c>
      <c r="E1970" s="12" t="s">
        <v>39</v>
      </c>
      <c r="F1970" s="13" t="s">
        <v>40</v>
      </c>
      <c r="G1970" s="14">
        <v>50</v>
      </c>
      <c r="H1970" s="14">
        <v>50</v>
      </c>
      <c r="I1970" s="14">
        <v>60</v>
      </c>
      <c r="J1970" s="14">
        <v>53.33</v>
      </c>
      <c r="K1970" s="14">
        <v>50</v>
      </c>
    </row>
    <row r="1971" spans="1:11" x14ac:dyDescent="0.3">
      <c r="A1971" s="1">
        <v>88</v>
      </c>
      <c r="B1971" s="1">
        <v>2025</v>
      </c>
      <c r="C1971" s="3">
        <v>45681</v>
      </c>
      <c r="E1971" s="12" t="s">
        <v>42</v>
      </c>
      <c r="F1971" s="13" t="s">
        <v>43</v>
      </c>
      <c r="G1971" s="14">
        <v>70</v>
      </c>
      <c r="H1971" s="14">
        <v>45</v>
      </c>
      <c r="I1971" s="14">
        <v>70</v>
      </c>
      <c r="J1971" s="14">
        <v>62.5</v>
      </c>
      <c r="K1971" s="14">
        <v>67.5</v>
      </c>
    </row>
    <row r="1972" spans="1:11" x14ac:dyDescent="0.3">
      <c r="A1972" s="1">
        <v>88</v>
      </c>
      <c r="B1972" s="1">
        <v>2025</v>
      </c>
      <c r="C1972" s="3">
        <v>45681</v>
      </c>
      <c r="E1972" s="12" t="s">
        <v>44</v>
      </c>
      <c r="F1972" s="13" t="s">
        <v>45</v>
      </c>
      <c r="G1972" s="13"/>
      <c r="H1972" s="14">
        <v>40</v>
      </c>
      <c r="I1972" s="14">
        <v>65</v>
      </c>
      <c r="J1972" s="14">
        <v>53.75</v>
      </c>
      <c r="K1972" s="14">
        <v>55</v>
      </c>
    </row>
    <row r="1973" spans="1:11" x14ac:dyDescent="0.3">
      <c r="A1973" s="1">
        <v>88</v>
      </c>
      <c r="B1973" s="1">
        <v>2025</v>
      </c>
      <c r="C1973" s="3">
        <v>45681</v>
      </c>
      <c r="E1973" s="12" t="s">
        <v>48</v>
      </c>
      <c r="F1973" s="13" t="s">
        <v>45</v>
      </c>
      <c r="G1973" s="13"/>
      <c r="H1973" s="14">
        <v>65</v>
      </c>
      <c r="I1973" s="14">
        <v>75</v>
      </c>
      <c r="J1973" s="14">
        <v>70</v>
      </c>
      <c r="K1973" s="14">
        <v>70</v>
      </c>
    </row>
    <row r="1974" spans="1:11" x14ac:dyDescent="0.3">
      <c r="A1974" s="1">
        <v>88</v>
      </c>
      <c r="B1974" s="1">
        <v>2025</v>
      </c>
      <c r="C1974" s="3">
        <v>45681</v>
      </c>
      <c r="E1974" s="12" t="s">
        <v>49</v>
      </c>
      <c r="F1974" s="13" t="s">
        <v>50</v>
      </c>
      <c r="G1974" s="14">
        <v>60</v>
      </c>
      <c r="H1974" s="14">
        <v>50</v>
      </c>
      <c r="I1974" s="14">
        <v>60</v>
      </c>
      <c r="J1974" s="14">
        <v>55</v>
      </c>
      <c r="K1974" s="14">
        <v>55</v>
      </c>
    </row>
    <row r="1975" spans="1:11" x14ac:dyDescent="0.3">
      <c r="A1975" s="1">
        <v>88</v>
      </c>
      <c r="B1975" s="1">
        <v>2025</v>
      </c>
      <c r="C1975" s="3">
        <v>45681</v>
      </c>
      <c r="E1975" s="12" t="s">
        <v>52</v>
      </c>
      <c r="F1975" s="13" t="s">
        <v>43</v>
      </c>
      <c r="G1975" s="13"/>
      <c r="H1975" s="14">
        <v>60</v>
      </c>
      <c r="I1975" s="14">
        <v>100</v>
      </c>
      <c r="J1975" s="14">
        <v>80</v>
      </c>
      <c r="K1975" s="14">
        <v>80</v>
      </c>
    </row>
    <row r="1976" spans="1:11" x14ac:dyDescent="0.3">
      <c r="A1976" s="1">
        <v>88</v>
      </c>
      <c r="B1976" s="1">
        <v>2025</v>
      </c>
      <c r="C1976" s="3">
        <v>45681</v>
      </c>
      <c r="E1976" s="12" t="s">
        <v>53</v>
      </c>
      <c r="F1976" s="13" t="s">
        <v>43</v>
      </c>
      <c r="G1976" s="13"/>
      <c r="H1976" s="14">
        <v>45</v>
      </c>
      <c r="I1976" s="14">
        <v>90</v>
      </c>
      <c r="J1976" s="14">
        <v>63.75</v>
      </c>
      <c r="K1976" s="14">
        <v>60</v>
      </c>
    </row>
    <row r="1977" spans="1:11" x14ac:dyDescent="0.3">
      <c r="A1977" s="1">
        <v>88</v>
      </c>
      <c r="B1977" s="1">
        <v>2025</v>
      </c>
      <c r="C1977" s="3">
        <v>45681</v>
      </c>
      <c r="E1977" s="12" t="s">
        <v>54</v>
      </c>
      <c r="F1977" s="13" t="s">
        <v>40</v>
      </c>
      <c r="G1977" s="13"/>
      <c r="H1977" s="14">
        <v>70</v>
      </c>
      <c r="I1977" s="14">
        <v>100</v>
      </c>
      <c r="J1977" s="14">
        <v>85</v>
      </c>
      <c r="K1977" s="14">
        <v>85</v>
      </c>
    </row>
    <row r="1978" spans="1:11" x14ac:dyDescent="0.3">
      <c r="A1978" s="1">
        <v>88</v>
      </c>
      <c r="B1978" s="1">
        <v>2025</v>
      </c>
      <c r="C1978" s="3">
        <v>45681</v>
      </c>
      <c r="E1978" s="12" t="s">
        <v>56</v>
      </c>
      <c r="F1978" s="13" t="s">
        <v>43</v>
      </c>
      <c r="G1978" s="13"/>
      <c r="H1978" s="14">
        <v>50</v>
      </c>
      <c r="I1978" s="14">
        <v>75</v>
      </c>
      <c r="J1978" s="14">
        <v>62.5</v>
      </c>
      <c r="K1978" s="14">
        <v>62.5</v>
      </c>
    </row>
    <row r="1979" spans="1:11" x14ac:dyDescent="0.3">
      <c r="A1979" s="1">
        <v>88</v>
      </c>
      <c r="B1979" s="1">
        <v>2025</v>
      </c>
      <c r="C1979" s="3">
        <v>45681</v>
      </c>
      <c r="E1979" s="12" t="s">
        <v>57</v>
      </c>
      <c r="F1979" s="13" t="s">
        <v>40</v>
      </c>
      <c r="G1979" s="14">
        <v>80</v>
      </c>
      <c r="H1979" s="14">
        <v>45</v>
      </c>
      <c r="I1979" s="14">
        <v>80</v>
      </c>
      <c r="J1979" s="14">
        <v>68.33</v>
      </c>
      <c r="K1979" s="14">
        <v>80</v>
      </c>
    </row>
    <row r="1980" spans="1:11" x14ac:dyDescent="0.3">
      <c r="A1980" s="1">
        <v>88</v>
      </c>
      <c r="B1980" s="1">
        <v>2025</v>
      </c>
      <c r="C1980" s="3">
        <v>45681</v>
      </c>
      <c r="E1980" s="12" t="s">
        <v>58</v>
      </c>
      <c r="F1980" s="13" t="s">
        <v>40</v>
      </c>
      <c r="G1980" s="14">
        <v>90</v>
      </c>
      <c r="H1980" s="14">
        <v>80</v>
      </c>
      <c r="I1980" s="14">
        <v>120</v>
      </c>
      <c r="J1980" s="14">
        <v>95</v>
      </c>
      <c r="K1980" s="14">
        <v>90</v>
      </c>
    </row>
    <row r="1981" spans="1:11" x14ac:dyDescent="0.3">
      <c r="A1981" s="1">
        <v>88</v>
      </c>
      <c r="B1981" s="1">
        <v>2025</v>
      </c>
      <c r="C1981" s="3">
        <v>45681</v>
      </c>
      <c r="E1981" s="12" t="s">
        <v>59</v>
      </c>
      <c r="F1981" s="13" t="s">
        <v>45</v>
      </c>
      <c r="G1981" s="14">
        <v>30</v>
      </c>
      <c r="H1981" s="14">
        <v>20</v>
      </c>
      <c r="I1981" s="14">
        <v>40</v>
      </c>
      <c r="J1981" s="14">
        <v>30</v>
      </c>
      <c r="K1981" s="14">
        <v>30</v>
      </c>
    </row>
    <row r="1982" spans="1:11" x14ac:dyDescent="0.3">
      <c r="A1982" s="1">
        <v>88</v>
      </c>
      <c r="B1982" s="1">
        <v>2025</v>
      </c>
      <c r="C1982" s="3">
        <v>45681</v>
      </c>
      <c r="E1982" s="12" t="s">
        <v>60</v>
      </c>
      <c r="F1982" s="13" t="s">
        <v>61</v>
      </c>
      <c r="G1982" s="14">
        <v>90</v>
      </c>
      <c r="H1982" s="14">
        <v>50</v>
      </c>
      <c r="I1982" s="14">
        <v>90</v>
      </c>
      <c r="J1982" s="14">
        <v>78.75</v>
      </c>
      <c r="K1982" s="14">
        <v>87.5</v>
      </c>
    </row>
    <row r="1983" spans="1:11" x14ac:dyDescent="0.3">
      <c r="A1983" s="1">
        <v>88</v>
      </c>
      <c r="B1983" s="1">
        <v>2025</v>
      </c>
      <c r="C1983" s="3">
        <v>45681</v>
      </c>
      <c r="E1983" s="12" t="s">
        <v>63</v>
      </c>
      <c r="F1983" s="13" t="s">
        <v>40</v>
      </c>
      <c r="G1983" s="13" t="s">
        <v>542</v>
      </c>
      <c r="H1983" s="14">
        <v>60</v>
      </c>
      <c r="I1983" s="14">
        <v>120</v>
      </c>
      <c r="J1983" s="14">
        <v>92.5</v>
      </c>
      <c r="K1983" s="14">
        <v>95</v>
      </c>
    </row>
    <row r="1984" spans="1:11" x14ac:dyDescent="0.3">
      <c r="A1984" s="1">
        <v>88</v>
      </c>
      <c r="B1984" s="1">
        <v>2025</v>
      </c>
      <c r="C1984" s="3">
        <v>45681</v>
      </c>
      <c r="E1984" s="12" t="s">
        <v>64</v>
      </c>
      <c r="F1984" s="13" t="s">
        <v>40</v>
      </c>
      <c r="G1984" s="14">
        <v>50</v>
      </c>
      <c r="H1984" s="14">
        <v>50</v>
      </c>
      <c r="I1984" s="14">
        <v>70</v>
      </c>
      <c r="J1984" s="14">
        <v>56.67</v>
      </c>
      <c r="K1984" s="14">
        <v>50</v>
      </c>
    </row>
    <row r="1985" spans="1:11" x14ac:dyDescent="0.3">
      <c r="A1985" s="1">
        <v>88</v>
      </c>
      <c r="B1985" s="1">
        <v>2025</v>
      </c>
      <c r="C1985" s="3">
        <v>45681</v>
      </c>
      <c r="E1985" s="12" t="s">
        <v>66</v>
      </c>
      <c r="F1985" s="13" t="s">
        <v>45</v>
      </c>
      <c r="G1985" s="14"/>
      <c r="H1985" s="14"/>
      <c r="I1985" s="14"/>
      <c r="J1985" s="14"/>
      <c r="K1985" s="14"/>
    </row>
    <row r="1986" spans="1:11" x14ac:dyDescent="0.3">
      <c r="A1986" s="1">
        <v>88</v>
      </c>
      <c r="B1986" s="1">
        <v>2025</v>
      </c>
      <c r="C1986" s="3">
        <v>45681</v>
      </c>
      <c r="E1986" s="12" t="s">
        <v>67</v>
      </c>
      <c r="F1986" s="13" t="s">
        <v>45</v>
      </c>
      <c r="G1986" s="14"/>
      <c r="H1986" s="14"/>
      <c r="I1986" s="14"/>
      <c r="J1986" s="14"/>
      <c r="K1986" s="14"/>
    </row>
    <row r="1987" spans="1:11" x14ac:dyDescent="0.3">
      <c r="A1987" s="1">
        <v>88</v>
      </c>
      <c r="B1987" s="1">
        <v>2025</v>
      </c>
      <c r="C1987" s="3">
        <v>45681</v>
      </c>
      <c r="E1987" s="12" t="s">
        <v>68</v>
      </c>
      <c r="F1987" s="13" t="s">
        <v>45</v>
      </c>
      <c r="G1987" s="14"/>
      <c r="H1987" s="14"/>
      <c r="I1987" s="14"/>
      <c r="J1987" s="14"/>
      <c r="K1987" s="14"/>
    </row>
    <row r="1988" spans="1:11" x14ac:dyDescent="0.3">
      <c r="A1988" s="1">
        <v>88</v>
      </c>
      <c r="B1988" s="1">
        <v>2025</v>
      </c>
      <c r="C1988" s="3">
        <v>45681</v>
      </c>
      <c r="E1988" s="12" t="s">
        <v>69</v>
      </c>
      <c r="F1988" s="13" t="s">
        <v>45</v>
      </c>
      <c r="G1988" s="14"/>
      <c r="H1988" s="14"/>
      <c r="I1988" s="14"/>
      <c r="J1988" s="14"/>
      <c r="K1988" s="14"/>
    </row>
    <row r="1989" spans="1:11" x14ac:dyDescent="0.3">
      <c r="A1989" s="1">
        <v>88</v>
      </c>
      <c r="B1989" s="1">
        <v>2025</v>
      </c>
      <c r="C1989" s="3">
        <v>45681</v>
      </c>
      <c r="E1989" s="12" t="s">
        <v>70</v>
      </c>
      <c r="F1989" s="13" t="s">
        <v>71</v>
      </c>
      <c r="G1989" s="14"/>
      <c r="H1989" s="14"/>
      <c r="I1989" s="14"/>
      <c r="J1989" s="14"/>
      <c r="K1989" s="14"/>
    </row>
    <row r="1990" spans="1:11" x14ac:dyDescent="0.3">
      <c r="A1990" s="1">
        <v>89</v>
      </c>
      <c r="B1990" s="1">
        <v>2025</v>
      </c>
      <c r="C1990" s="3">
        <v>45688</v>
      </c>
      <c r="E1990" s="1" t="s">
        <v>12</v>
      </c>
      <c r="F1990" s="1" t="s">
        <v>13</v>
      </c>
      <c r="G1990" s="1" t="s">
        <v>358</v>
      </c>
      <c r="H1990" s="1" t="s">
        <v>358</v>
      </c>
      <c r="I1990" s="1" t="s">
        <v>360</v>
      </c>
      <c r="J1990" s="1" t="s">
        <v>369</v>
      </c>
      <c r="K1990" s="1" t="s">
        <v>358</v>
      </c>
    </row>
    <row r="1991" spans="1:11" x14ac:dyDescent="0.3">
      <c r="A1991" s="1">
        <v>89</v>
      </c>
      <c r="B1991" s="1">
        <v>2025</v>
      </c>
      <c r="C1991" s="3">
        <v>45688</v>
      </c>
      <c r="E1991" s="1" t="s">
        <v>14</v>
      </c>
      <c r="F1991" s="1" t="s">
        <v>13</v>
      </c>
      <c r="G1991" s="1" t="s">
        <v>361</v>
      </c>
      <c r="H1991" s="1" t="s">
        <v>361</v>
      </c>
      <c r="I1991" s="1" t="s">
        <v>472</v>
      </c>
      <c r="J1991" s="1" t="s">
        <v>543</v>
      </c>
      <c r="K1991" s="1" t="s">
        <v>361</v>
      </c>
    </row>
    <row r="1992" spans="1:11" x14ac:dyDescent="0.3">
      <c r="A1992" s="1">
        <v>89</v>
      </c>
      <c r="B1992" s="1">
        <v>2025</v>
      </c>
      <c r="C1992" s="3">
        <v>45688</v>
      </c>
      <c r="E1992" s="1" t="s">
        <v>15</v>
      </c>
      <c r="F1992" s="1" t="s">
        <v>13</v>
      </c>
      <c r="H1992" s="1" t="s">
        <v>397</v>
      </c>
      <c r="I1992" s="1" t="s">
        <v>358</v>
      </c>
      <c r="J1992" s="1" t="s">
        <v>544</v>
      </c>
      <c r="K1992" s="1" t="s">
        <v>545</v>
      </c>
    </row>
    <row r="1993" spans="1:11" x14ac:dyDescent="0.3">
      <c r="A1993" s="1">
        <v>89</v>
      </c>
      <c r="B1993" s="1">
        <v>2025</v>
      </c>
      <c r="C1993" s="3">
        <v>45688</v>
      </c>
      <c r="E1993" s="1" t="s">
        <v>16</v>
      </c>
      <c r="F1993" s="1" t="s">
        <v>13</v>
      </c>
      <c r="H1993" s="1" t="s">
        <v>382</v>
      </c>
      <c r="I1993" s="1" t="s">
        <v>357</v>
      </c>
      <c r="J1993" s="1" t="s">
        <v>546</v>
      </c>
      <c r="K1993" s="1" t="s">
        <v>547</v>
      </c>
    </row>
    <row r="1994" spans="1:11" x14ac:dyDescent="0.3">
      <c r="A1994" s="1">
        <v>89</v>
      </c>
      <c r="B1994" s="1">
        <v>2025</v>
      </c>
      <c r="C1994" s="3">
        <v>45688</v>
      </c>
      <c r="E1994" s="1" t="s">
        <v>17</v>
      </c>
      <c r="F1994" s="1" t="s">
        <v>13</v>
      </c>
      <c r="H1994" s="1" t="s">
        <v>382</v>
      </c>
      <c r="I1994" s="1" t="s">
        <v>357</v>
      </c>
      <c r="J1994" s="1" t="s">
        <v>546</v>
      </c>
      <c r="K1994" s="1" t="s">
        <v>547</v>
      </c>
    </row>
    <row r="1995" spans="1:11" x14ac:dyDescent="0.3">
      <c r="A1995" s="1">
        <v>89</v>
      </c>
      <c r="B1995" s="1">
        <v>2025</v>
      </c>
      <c r="C1995" s="3">
        <v>45688</v>
      </c>
      <c r="E1995" s="1" t="s">
        <v>18</v>
      </c>
      <c r="F1995" s="1" t="s">
        <v>13</v>
      </c>
      <c r="G1995" s="1" t="s">
        <v>358</v>
      </c>
      <c r="H1995" s="1" t="s">
        <v>358</v>
      </c>
      <c r="I1995" s="1" t="s">
        <v>416</v>
      </c>
      <c r="J1995" s="1" t="s">
        <v>474</v>
      </c>
      <c r="K1995" s="1" t="s">
        <v>358</v>
      </c>
    </row>
    <row r="1996" spans="1:11" x14ac:dyDescent="0.3">
      <c r="A1996" s="1">
        <v>89</v>
      </c>
      <c r="B1996" s="1">
        <v>2025</v>
      </c>
      <c r="C1996" s="3">
        <v>45688</v>
      </c>
      <c r="E1996" s="1" t="s">
        <v>19</v>
      </c>
      <c r="F1996" s="1" t="s">
        <v>13</v>
      </c>
      <c r="G1996" s="1" t="s">
        <v>417</v>
      </c>
      <c r="H1996" s="1" t="s">
        <v>360</v>
      </c>
      <c r="I1996" s="1" t="s">
        <v>417</v>
      </c>
      <c r="J1996" s="1" t="s">
        <v>490</v>
      </c>
      <c r="K1996" s="1" t="s">
        <v>417</v>
      </c>
    </row>
    <row r="1997" spans="1:11" x14ac:dyDescent="0.3">
      <c r="A1997" s="1">
        <v>89</v>
      </c>
      <c r="B1997" s="1">
        <v>2025</v>
      </c>
      <c r="C1997" s="3">
        <v>45688</v>
      </c>
      <c r="E1997" s="1" t="s">
        <v>20</v>
      </c>
      <c r="F1997" s="1" t="s">
        <v>13</v>
      </c>
      <c r="G1997" s="1" t="s">
        <v>361</v>
      </c>
      <c r="H1997" s="1" t="s">
        <v>361</v>
      </c>
      <c r="I1997" s="1" t="s">
        <v>361</v>
      </c>
      <c r="J1997" s="1" t="s">
        <v>361</v>
      </c>
      <c r="K1997" s="1" t="s">
        <v>361</v>
      </c>
    </row>
    <row r="1998" spans="1:11" x14ac:dyDescent="0.3">
      <c r="A1998" s="1">
        <v>89</v>
      </c>
      <c r="B1998" s="1">
        <v>2025</v>
      </c>
      <c r="C1998" s="3">
        <v>45688</v>
      </c>
      <c r="E1998" s="1" t="s">
        <v>21</v>
      </c>
      <c r="F1998" s="1" t="s">
        <v>13</v>
      </c>
      <c r="G1998" s="1" t="s">
        <v>366</v>
      </c>
      <c r="H1998" s="1" t="s">
        <v>366</v>
      </c>
      <c r="I1998" s="1" t="s">
        <v>362</v>
      </c>
      <c r="J1998" s="1" t="s">
        <v>548</v>
      </c>
      <c r="K1998" s="1" t="s">
        <v>436</v>
      </c>
    </row>
    <row r="1999" spans="1:11" x14ac:dyDescent="0.3">
      <c r="A1999" s="1">
        <v>89</v>
      </c>
      <c r="B1999" s="1">
        <v>2025</v>
      </c>
      <c r="C1999" s="3">
        <v>45688</v>
      </c>
      <c r="E1999" s="1" t="s">
        <v>73</v>
      </c>
      <c r="F1999" s="1" t="s">
        <v>13</v>
      </c>
      <c r="H1999" s="1" t="s">
        <v>360</v>
      </c>
      <c r="I1999" s="1" t="s">
        <v>405</v>
      </c>
      <c r="J1999" s="1" t="s">
        <v>505</v>
      </c>
      <c r="K1999" s="1" t="s">
        <v>361</v>
      </c>
    </row>
    <row r="2000" spans="1:11" x14ac:dyDescent="0.3">
      <c r="A2000" s="1">
        <v>89</v>
      </c>
      <c r="B2000" s="1">
        <v>2025</v>
      </c>
      <c r="C2000" s="3">
        <v>45688</v>
      </c>
      <c r="E2000" s="1" t="s">
        <v>23</v>
      </c>
      <c r="F2000" s="1" t="s">
        <v>13</v>
      </c>
      <c r="G2000" s="1" t="s">
        <v>382</v>
      </c>
      <c r="H2000" s="1" t="s">
        <v>366</v>
      </c>
      <c r="I2000" s="1" t="s">
        <v>362</v>
      </c>
      <c r="J2000" s="1" t="s">
        <v>436</v>
      </c>
      <c r="K2000" s="1" t="s">
        <v>366</v>
      </c>
    </row>
    <row r="2001" spans="1:11" x14ac:dyDescent="0.3">
      <c r="A2001" s="1">
        <v>89</v>
      </c>
      <c r="B2001" s="1">
        <v>2025</v>
      </c>
      <c r="C2001" s="3">
        <v>45688</v>
      </c>
      <c r="E2001" s="1" t="s">
        <v>24</v>
      </c>
      <c r="F2001" s="1" t="s">
        <v>13</v>
      </c>
      <c r="G2001" s="1" t="s">
        <v>358</v>
      </c>
      <c r="H2001" s="1" t="s">
        <v>360</v>
      </c>
      <c r="I2001" s="1" t="s">
        <v>360</v>
      </c>
      <c r="J2001" s="1" t="s">
        <v>429</v>
      </c>
      <c r="K2001" s="1" t="s">
        <v>360</v>
      </c>
    </row>
    <row r="2002" spans="1:11" x14ac:dyDescent="0.3">
      <c r="A2002" s="1">
        <v>89</v>
      </c>
      <c r="B2002" s="1">
        <v>2025</v>
      </c>
      <c r="C2002" s="3">
        <v>45688</v>
      </c>
      <c r="E2002" s="1" t="s">
        <v>25</v>
      </c>
      <c r="F2002" s="1" t="s">
        <v>26</v>
      </c>
      <c r="G2002" s="1" t="s">
        <v>360</v>
      </c>
      <c r="H2002" s="1" t="s">
        <v>360</v>
      </c>
      <c r="I2002" s="1" t="s">
        <v>360</v>
      </c>
      <c r="J2002" s="1" t="s">
        <v>360</v>
      </c>
      <c r="K2002" s="1" t="s">
        <v>360</v>
      </c>
    </row>
    <row r="2003" spans="1:11" x14ac:dyDescent="0.3">
      <c r="A2003" s="1">
        <v>89</v>
      </c>
      <c r="B2003" s="1">
        <v>2025</v>
      </c>
      <c r="C2003" s="3">
        <v>45688</v>
      </c>
      <c r="E2003" s="1" t="s">
        <v>27</v>
      </c>
      <c r="F2003" s="1" t="s">
        <v>13</v>
      </c>
      <c r="H2003" s="1" t="s">
        <v>358</v>
      </c>
      <c r="I2003" s="1" t="s">
        <v>417</v>
      </c>
      <c r="J2003" s="1" t="s">
        <v>549</v>
      </c>
      <c r="K2003" s="1" t="s">
        <v>394</v>
      </c>
    </row>
    <row r="2004" spans="1:11" x14ac:dyDescent="0.3">
      <c r="A2004" s="1">
        <v>89</v>
      </c>
      <c r="B2004" s="1">
        <v>2025</v>
      </c>
      <c r="C2004" s="3">
        <v>45688</v>
      </c>
      <c r="E2004" s="1" t="s">
        <v>28</v>
      </c>
      <c r="F2004" s="1" t="s">
        <v>13</v>
      </c>
      <c r="G2004" s="1" t="s">
        <v>390</v>
      </c>
      <c r="H2004" s="1" t="s">
        <v>390</v>
      </c>
      <c r="I2004" s="1" t="s">
        <v>357</v>
      </c>
      <c r="J2004" s="1" t="s">
        <v>485</v>
      </c>
      <c r="K2004" s="1" t="s">
        <v>390</v>
      </c>
    </row>
    <row r="2005" spans="1:11" x14ac:dyDescent="0.3">
      <c r="A2005" s="1">
        <v>89</v>
      </c>
      <c r="B2005" s="1">
        <v>2025</v>
      </c>
      <c r="C2005" s="3">
        <v>45688</v>
      </c>
      <c r="E2005" s="1" t="s">
        <v>29</v>
      </c>
      <c r="F2005" s="1" t="s">
        <v>13</v>
      </c>
      <c r="G2005" s="1" t="s">
        <v>357</v>
      </c>
      <c r="H2005" s="1" t="s">
        <v>359</v>
      </c>
      <c r="I2005" s="1" t="s">
        <v>358</v>
      </c>
      <c r="J2005" s="1" t="s">
        <v>359</v>
      </c>
      <c r="K2005" s="1" t="s">
        <v>359</v>
      </c>
    </row>
    <row r="2006" spans="1:11" x14ac:dyDescent="0.3">
      <c r="A2006" s="1">
        <v>89</v>
      </c>
      <c r="B2006" s="1">
        <v>2025</v>
      </c>
      <c r="C2006" s="3">
        <v>45688</v>
      </c>
      <c r="E2006" s="1" t="s">
        <v>31</v>
      </c>
      <c r="F2006" s="1" t="s">
        <v>32</v>
      </c>
      <c r="G2006" s="1" t="s">
        <v>378</v>
      </c>
      <c r="H2006" s="1" t="s">
        <v>378</v>
      </c>
      <c r="I2006" s="1" t="s">
        <v>378</v>
      </c>
      <c r="J2006" s="1" t="s">
        <v>378</v>
      </c>
      <c r="K2006" s="1" t="s">
        <v>378</v>
      </c>
    </row>
    <row r="2007" spans="1:11" x14ac:dyDescent="0.3">
      <c r="A2007" s="1">
        <v>89</v>
      </c>
      <c r="B2007" s="1">
        <v>2025</v>
      </c>
      <c r="C2007" s="3">
        <v>45688</v>
      </c>
      <c r="E2007" s="1" t="s">
        <v>34</v>
      </c>
      <c r="F2007" s="1" t="s">
        <v>35</v>
      </c>
      <c r="G2007" s="1" t="s">
        <v>382</v>
      </c>
      <c r="H2007" s="1" t="s">
        <v>419</v>
      </c>
      <c r="I2007" s="1" t="s">
        <v>419</v>
      </c>
      <c r="J2007" s="1" t="s">
        <v>368</v>
      </c>
      <c r="K2007" s="1" t="s">
        <v>368</v>
      </c>
    </row>
    <row r="2008" spans="1:11" x14ac:dyDescent="0.3">
      <c r="A2008" s="1">
        <v>89</v>
      </c>
      <c r="B2008" s="1">
        <v>2025</v>
      </c>
      <c r="C2008" s="3">
        <v>45688</v>
      </c>
      <c r="E2008" s="1" t="s">
        <v>36</v>
      </c>
      <c r="F2008" s="1" t="s">
        <v>35</v>
      </c>
      <c r="G2008" s="1" t="s">
        <v>419</v>
      </c>
      <c r="H2008" s="1" t="s">
        <v>419</v>
      </c>
      <c r="I2008" s="1" t="s">
        <v>388</v>
      </c>
      <c r="J2008" s="1" t="s">
        <v>550</v>
      </c>
      <c r="K2008" s="1" t="s">
        <v>384</v>
      </c>
    </row>
    <row r="2009" spans="1:11" x14ac:dyDescent="0.3">
      <c r="A2009" s="1">
        <v>89</v>
      </c>
      <c r="B2009" s="1">
        <v>2025</v>
      </c>
      <c r="C2009" s="3">
        <v>45688</v>
      </c>
      <c r="E2009" s="1" t="s">
        <v>153</v>
      </c>
      <c r="F2009" s="1" t="s">
        <v>154</v>
      </c>
      <c r="H2009" s="1" t="s">
        <v>358</v>
      </c>
      <c r="I2009" s="1" t="s">
        <v>394</v>
      </c>
      <c r="J2009" s="1" t="s">
        <v>391</v>
      </c>
      <c r="K2009" s="1" t="s">
        <v>391</v>
      </c>
    </row>
    <row r="2010" spans="1:11" x14ac:dyDescent="0.3">
      <c r="A2010" s="1">
        <v>89</v>
      </c>
      <c r="B2010" s="1">
        <v>2025</v>
      </c>
      <c r="C2010" s="3">
        <v>45688</v>
      </c>
      <c r="E2010" s="1" t="s">
        <v>39</v>
      </c>
      <c r="F2010" s="1" t="s">
        <v>40</v>
      </c>
      <c r="G2010" s="1" t="s">
        <v>393</v>
      </c>
      <c r="H2010" s="1" t="s">
        <v>393</v>
      </c>
      <c r="I2010" s="1" t="s">
        <v>394</v>
      </c>
      <c r="J2010" s="1" t="s">
        <v>551</v>
      </c>
      <c r="K2010" s="1" t="s">
        <v>393</v>
      </c>
    </row>
    <row r="2011" spans="1:11" x14ac:dyDescent="0.3">
      <c r="A2011" s="1">
        <v>89</v>
      </c>
      <c r="B2011" s="1">
        <v>2025</v>
      </c>
      <c r="C2011" s="3">
        <v>45688</v>
      </c>
      <c r="E2011" s="1" t="s">
        <v>42</v>
      </c>
      <c r="F2011" s="1" t="s">
        <v>43</v>
      </c>
      <c r="G2011" s="1" t="s">
        <v>394</v>
      </c>
      <c r="H2011" s="1" t="s">
        <v>390</v>
      </c>
      <c r="I2011" s="1" t="s">
        <v>394</v>
      </c>
      <c r="J2011" s="1" t="s">
        <v>399</v>
      </c>
      <c r="K2011" s="1" t="s">
        <v>358</v>
      </c>
    </row>
    <row r="2012" spans="1:11" x14ac:dyDescent="0.3">
      <c r="A2012" s="1">
        <v>89</v>
      </c>
      <c r="B2012" s="1">
        <v>2025</v>
      </c>
      <c r="C2012" s="3">
        <v>45688</v>
      </c>
      <c r="E2012" s="1" t="s">
        <v>44</v>
      </c>
      <c r="F2012" s="1" t="s">
        <v>45</v>
      </c>
      <c r="G2012" s="1" t="s">
        <v>393</v>
      </c>
      <c r="H2012" s="1" t="s">
        <v>393</v>
      </c>
      <c r="I2012" s="1" t="s">
        <v>393</v>
      </c>
      <c r="J2012" s="1" t="s">
        <v>393</v>
      </c>
      <c r="K2012" s="1" t="s">
        <v>393</v>
      </c>
    </row>
    <row r="2013" spans="1:11" x14ac:dyDescent="0.3">
      <c r="A2013" s="1">
        <v>89</v>
      </c>
      <c r="B2013" s="1">
        <v>2025</v>
      </c>
      <c r="C2013" s="3">
        <v>45688</v>
      </c>
      <c r="E2013" s="1" t="s">
        <v>48</v>
      </c>
      <c r="F2013" s="1" t="s">
        <v>45</v>
      </c>
      <c r="H2013" s="1" t="s">
        <v>386</v>
      </c>
      <c r="I2013" s="1" t="s">
        <v>386</v>
      </c>
      <c r="J2013" s="1" t="s">
        <v>386</v>
      </c>
      <c r="K2013" s="1" t="s">
        <v>386</v>
      </c>
    </row>
    <row r="2014" spans="1:11" x14ac:dyDescent="0.3">
      <c r="A2014" s="1">
        <v>89</v>
      </c>
      <c r="B2014" s="1">
        <v>2025</v>
      </c>
      <c r="C2014" s="3">
        <v>45688</v>
      </c>
      <c r="E2014" s="1" t="s">
        <v>49</v>
      </c>
      <c r="F2014" s="1" t="s">
        <v>50</v>
      </c>
      <c r="G2014" s="1" t="s">
        <v>393</v>
      </c>
      <c r="H2014" s="1" t="s">
        <v>358</v>
      </c>
      <c r="I2014" s="1" t="s">
        <v>358</v>
      </c>
      <c r="J2014" s="1" t="s">
        <v>399</v>
      </c>
      <c r="K2014" s="1" t="s">
        <v>358</v>
      </c>
    </row>
    <row r="2015" spans="1:11" x14ac:dyDescent="0.3">
      <c r="A2015" s="1">
        <v>89</v>
      </c>
      <c r="B2015" s="1">
        <v>2025</v>
      </c>
      <c r="C2015" s="3">
        <v>45688</v>
      </c>
      <c r="E2015" s="1" t="s">
        <v>52</v>
      </c>
      <c r="F2015" s="1" t="s">
        <v>43</v>
      </c>
      <c r="G2015" s="1" t="s">
        <v>358</v>
      </c>
      <c r="H2015" s="1" t="s">
        <v>358</v>
      </c>
      <c r="I2015" s="1" t="s">
        <v>386</v>
      </c>
      <c r="J2015" s="1" t="s">
        <v>434</v>
      </c>
      <c r="K2015" s="1" t="s">
        <v>394</v>
      </c>
    </row>
    <row r="2016" spans="1:11" x14ac:dyDescent="0.3">
      <c r="A2016" s="1">
        <v>89</v>
      </c>
      <c r="B2016" s="1">
        <v>2025</v>
      </c>
      <c r="C2016" s="3">
        <v>45688</v>
      </c>
      <c r="E2016" s="1" t="s">
        <v>53</v>
      </c>
      <c r="F2016" s="1" t="s">
        <v>43</v>
      </c>
      <c r="H2016" s="1" t="s">
        <v>358</v>
      </c>
      <c r="I2016" s="1" t="s">
        <v>386</v>
      </c>
      <c r="J2016" s="1" t="s">
        <v>370</v>
      </c>
      <c r="K2016" s="1" t="s">
        <v>370</v>
      </c>
    </row>
    <row r="2017" spans="1:11" x14ac:dyDescent="0.3">
      <c r="A2017" s="1">
        <v>89</v>
      </c>
      <c r="B2017" s="1">
        <v>2025</v>
      </c>
      <c r="C2017" s="3">
        <v>45688</v>
      </c>
      <c r="E2017" s="1" t="s">
        <v>54</v>
      </c>
      <c r="F2017" s="1" t="s">
        <v>40</v>
      </c>
      <c r="G2017" s="1" t="s">
        <v>358</v>
      </c>
      <c r="H2017" s="1" t="s">
        <v>358</v>
      </c>
      <c r="I2017" s="1" t="s">
        <v>370</v>
      </c>
      <c r="J2017" s="1" t="s">
        <v>374</v>
      </c>
      <c r="K2017" s="1" t="s">
        <v>358</v>
      </c>
    </row>
    <row r="2018" spans="1:11" x14ac:dyDescent="0.3">
      <c r="A2018" s="1">
        <v>89</v>
      </c>
      <c r="B2018" s="1">
        <v>2025</v>
      </c>
      <c r="C2018" s="3">
        <v>45688</v>
      </c>
      <c r="E2018" s="1" t="s">
        <v>56</v>
      </c>
      <c r="F2018" s="1" t="s">
        <v>43</v>
      </c>
      <c r="H2018" s="1" t="s">
        <v>386</v>
      </c>
      <c r="I2018" s="1" t="s">
        <v>386</v>
      </c>
      <c r="J2018" s="1" t="s">
        <v>386</v>
      </c>
      <c r="K2018" s="1" t="s">
        <v>386</v>
      </c>
    </row>
    <row r="2019" spans="1:11" x14ac:dyDescent="0.3">
      <c r="A2019" s="1">
        <v>89</v>
      </c>
      <c r="B2019" s="1">
        <v>2025</v>
      </c>
      <c r="C2019" s="3">
        <v>45688</v>
      </c>
      <c r="E2019" s="1" t="s">
        <v>57</v>
      </c>
      <c r="F2019" s="1" t="s">
        <v>40</v>
      </c>
      <c r="G2019" s="1" t="s">
        <v>394</v>
      </c>
      <c r="H2019" s="1" t="s">
        <v>394</v>
      </c>
      <c r="I2019" s="1" t="s">
        <v>394</v>
      </c>
      <c r="J2019" s="1" t="s">
        <v>394</v>
      </c>
      <c r="K2019" s="1" t="s">
        <v>394</v>
      </c>
    </row>
    <row r="2020" spans="1:11" x14ac:dyDescent="0.3">
      <c r="A2020" s="1">
        <v>89</v>
      </c>
      <c r="B2020" s="1">
        <v>2025</v>
      </c>
      <c r="C2020" s="3">
        <v>45688</v>
      </c>
      <c r="E2020" s="1" t="s">
        <v>58</v>
      </c>
      <c r="F2020" s="1" t="s">
        <v>40</v>
      </c>
      <c r="H2020" s="1" t="s">
        <v>385</v>
      </c>
      <c r="I2020" s="1" t="s">
        <v>401</v>
      </c>
      <c r="J2020" s="1" t="s">
        <v>552</v>
      </c>
      <c r="K2020" s="1" t="s">
        <v>412</v>
      </c>
    </row>
    <row r="2021" spans="1:11" x14ac:dyDescent="0.3">
      <c r="A2021" s="1">
        <v>89</v>
      </c>
      <c r="B2021" s="1">
        <v>2025</v>
      </c>
      <c r="C2021" s="3">
        <v>45688</v>
      </c>
      <c r="E2021" s="1" t="s">
        <v>59</v>
      </c>
      <c r="F2021" s="1" t="s">
        <v>45</v>
      </c>
      <c r="H2021" s="1" t="s">
        <v>419</v>
      </c>
      <c r="I2021" s="1" t="s">
        <v>484</v>
      </c>
      <c r="J2021" s="1" t="s">
        <v>390</v>
      </c>
      <c r="K2021" s="1" t="s">
        <v>388</v>
      </c>
    </row>
    <row r="2022" spans="1:11" x14ac:dyDescent="0.3">
      <c r="A2022" s="1">
        <v>89</v>
      </c>
      <c r="B2022" s="1">
        <v>2025</v>
      </c>
      <c r="C2022" s="3">
        <v>45688</v>
      </c>
      <c r="E2022" s="1" t="s">
        <v>60</v>
      </c>
      <c r="F2022" s="1" t="s">
        <v>61</v>
      </c>
      <c r="G2022" s="1" t="s">
        <v>393</v>
      </c>
      <c r="H2022" s="1" t="s">
        <v>393</v>
      </c>
      <c r="I2022" s="1" t="s">
        <v>358</v>
      </c>
      <c r="J2022" s="1" t="s">
        <v>396</v>
      </c>
      <c r="K2022" s="1" t="s">
        <v>396</v>
      </c>
    </row>
    <row r="2023" spans="1:11" x14ac:dyDescent="0.3">
      <c r="A2023" s="1">
        <v>89</v>
      </c>
      <c r="B2023" s="1">
        <v>2025</v>
      </c>
      <c r="C2023" s="3">
        <v>45688</v>
      </c>
      <c r="E2023" s="1" t="s">
        <v>63</v>
      </c>
      <c r="F2023" s="1" t="s">
        <v>40</v>
      </c>
      <c r="G2023" s="1" t="s">
        <v>405</v>
      </c>
      <c r="H2023" s="1" t="s">
        <v>358</v>
      </c>
      <c r="I2023" s="1" t="s">
        <v>405</v>
      </c>
      <c r="J2023" s="1" t="s">
        <v>553</v>
      </c>
      <c r="K2023" s="1" t="s">
        <v>387</v>
      </c>
    </row>
    <row r="2024" spans="1:11" x14ac:dyDescent="0.3">
      <c r="A2024" s="1">
        <v>89</v>
      </c>
      <c r="B2024" s="1">
        <v>2025</v>
      </c>
      <c r="C2024" s="3">
        <v>45688</v>
      </c>
      <c r="E2024" s="1" t="s">
        <v>64</v>
      </c>
      <c r="F2024" s="1" t="s">
        <v>40</v>
      </c>
      <c r="H2024" s="1" t="s">
        <v>358</v>
      </c>
      <c r="I2024" s="1" t="s">
        <v>415</v>
      </c>
      <c r="J2024" s="1" t="s">
        <v>386</v>
      </c>
      <c r="K2024" s="1" t="s">
        <v>386</v>
      </c>
    </row>
    <row r="2025" spans="1:11" x14ac:dyDescent="0.3">
      <c r="A2025" s="1">
        <v>89</v>
      </c>
      <c r="B2025" s="1">
        <v>2025</v>
      </c>
      <c r="C2025" s="3">
        <v>45688</v>
      </c>
      <c r="E2025" s="12" t="s">
        <v>66</v>
      </c>
      <c r="F2025" s="13" t="s">
        <v>45</v>
      </c>
    </row>
    <row r="2026" spans="1:11" x14ac:dyDescent="0.3">
      <c r="A2026" s="1">
        <v>89</v>
      </c>
      <c r="B2026" s="1">
        <v>2025</v>
      </c>
      <c r="C2026" s="3">
        <v>45688</v>
      </c>
      <c r="E2026" s="12" t="s">
        <v>67</v>
      </c>
      <c r="F2026" s="13" t="s">
        <v>45</v>
      </c>
    </row>
    <row r="2027" spans="1:11" x14ac:dyDescent="0.3">
      <c r="A2027" s="1">
        <v>89</v>
      </c>
      <c r="B2027" s="1">
        <v>2025</v>
      </c>
      <c r="C2027" s="3">
        <v>45688</v>
      </c>
      <c r="E2027" s="12" t="s">
        <v>68</v>
      </c>
      <c r="F2027" s="13" t="s">
        <v>45</v>
      </c>
    </row>
    <row r="2028" spans="1:11" x14ac:dyDescent="0.3">
      <c r="A2028" s="1">
        <v>89</v>
      </c>
      <c r="B2028" s="1">
        <v>2025</v>
      </c>
      <c r="C2028" s="3">
        <v>45688</v>
      </c>
      <c r="E2028" s="12" t="s">
        <v>69</v>
      </c>
      <c r="F2028" s="13" t="s">
        <v>45</v>
      </c>
    </row>
    <row r="2029" spans="1:11" x14ac:dyDescent="0.3">
      <c r="A2029" s="1">
        <v>89</v>
      </c>
      <c r="B2029" s="1">
        <v>2025</v>
      </c>
      <c r="C2029" s="3">
        <v>45688</v>
      </c>
      <c r="E2029" s="12" t="s">
        <v>70</v>
      </c>
      <c r="F2029" s="13" t="s">
        <v>71</v>
      </c>
    </row>
    <row r="2030" spans="1:11" x14ac:dyDescent="0.3">
      <c r="A2030" s="1">
        <v>90</v>
      </c>
      <c r="B2030" s="1">
        <v>2025</v>
      </c>
      <c r="C2030" s="3">
        <v>45695</v>
      </c>
      <c r="E2030" s="1" t="s">
        <v>12</v>
      </c>
      <c r="F2030" s="1" t="s">
        <v>13</v>
      </c>
      <c r="H2030" s="1" t="s">
        <v>363</v>
      </c>
      <c r="I2030" s="1" t="s">
        <v>360</v>
      </c>
      <c r="J2030" s="1" t="s">
        <v>359</v>
      </c>
      <c r="K2030" s="1" t="s">
        <v>377</v>
      </c>
    </row>
    <row r="2031" spans="1:11" x14ac:dyDescent="0.3">
      <c r="A2031" s="1">
        <v>90</v>
      </c>
      <c r="B2031" s="1">
        <v>2025</v>
      </c>
      <c r="C2031" s="3">
        <v>45695</v>
      </c>
      <c r="E2031" s="1" t="s">
        <v>14</v>
      </c>
      <c r="F2031" s="1" t="s">
        <v>13</v>
      </c>
      <c r="G2031" s="1" t="s">
        <v>361</v>
      </c>
      <c r="H2031" s="1" t="s">
        <v>361</v>
      </c>
      <c r="I2031" s="1" t="s">
        <v>472</v>
      </c>
      <c r="J2031" s="1" t="s">
        <v>405</v>
      </c>
      <c r="K2031" s="1" t="s">
        <v>405</v>
      </c>
    </row>
    <row r="2032" spans="1:11" x14ac:dyDescent="0.3">
      <c r="A2032" s="1">
        <v>90</v>
      </c>
      <c r="B2032" s="1">
        <v>2025</v>
      </c>
      <c r="C2032" s="3">
        <v>45695</v>
      </c>
      <c r="E2032" s="1" t="s">
        <v>15</v>
      </c>
      <c r="F2032" s="1" t="s">
        <v>13</v>
      </c>
      <c r="H2032" s="1" t="s">
        <v>397</v>
      </c>
      <c r="I2032" s="1" t="s">
        <v>358</v>
      </c>
      <c r="J2032" s="1" t="s">
        <v>554</v>
      </c>
      <c r="K2032" s="1" t="s">
        <v>486</v>
      </c>
    </row>
    <row r="2033" spans="1:11" x14ac:dyDescent="0.3">
      <c r="A2033" s="1">
        <v>90</v>
      </c>
      <c r="B2033" s="1">
        <v>2025</v>
      </c>
      <c r="C2033" s="3">
        <v>45695</v>
      </c>
      <c r="E2033" s="1" t="s">
        <v>16</v>
      </c>
      <c r="F2033" s="1" t="s">
        <v>13</v>
      </c>
      <c r="G2033" s="1" t="s">
        <v>365</v>
      </c>
      <c r="H2033" s="1" t="s">
        <v>362</v>
      </c>
      <c r="I2033" s="1" t="s">
        <v>358</v>
      </c>
      <c r="J2033" s="1" t="s">
        <v>454</v>
      </c>
      <c r="K2033" s="1" t="s">
        <v>365</v>
      </c>
    </row>
    <row r="2034" spans="1:11" x14ac:dyDescent="0.3">
      <c r="A2034" s="1">
        <v>90</v>
      </c>
      <c r="B2034" s="1">
        <v>2025</v>
      </c>
      <c r="C2034" s="3">
        <v>45695</v>
      </c>
      <c r="E2034" s="1" t="s">
        <v>17</v>
      </c>
      <c r="F2034" s="1" t="s">
        <v>13</v>
      </c>
      <c r="G2034" s="1" t="s">
        <v>365</v>
      </c>
      <c r="H2034" s="1" t="s">
        <v>362</v>
      </c>
      <c r="I2034" s="1" t="s">
        <v>358</v>
      </c>
      <c r="J2034" s="1" t="s">
        <v>454</v>
      </c>
      <c r="K2034" s="1" t="s">
        <v>365</v>
      </c>
    </row>
    <row r="2035" spans="1:11" x14ac:dyDescent="0.3">
      <c r="A2035" s="1">
        <v>90</v>
      </c>
      <c r="B2035" s="1">
        <v>2025</v>
      </c>
      <c r="C2035" s="3">
        <v>45695</v>
      </c>
      <c r="E2035" s="1" t="s">
        <v>18</v>
      </c>
      <c r="F2035" s="1" t="s">
        <v>13</v>
      </c>
      <c r="G2035" s="1" t="s">
        <v>358</v>
      </c>
      <c r="H2035" s="1" t="s">
        <v>358</v>
      </c>
      <c r="I2035" s="1" t="s">
        <v>360</v>
      </c>
      <c r="J2035" s="1" t="s">
        <v>555</v>
      </c>
      <c r="K2035" s="1" t="s">
        <v>375</v>
      </c>
    </row>
    <row r="2036" spans="1:11" x14ac:dyDescent="0.3">
      <c r="A2036" s="1">
        <v>90</v>
      </c>
      <c r="B2036" s="1">
        <v>2025</v>
      </c>
      <c r="C2036" s="3">
        <v>45695</v>
      </c>
      <c r="E2036" s="1" t="s">
        <v>19</v>
      </c>
      <c r="F2036" s="1" t="s">
        <v>13</v>
      </c>
      <c r="G2036" s="1" t="s">
        <v>472</v>
      </c>
      <c r="H2036" s="1" t="s">
        <v>472</v>
      </c>
      <c r="I2036" s="1" t="s">
        <v>472</v>
      </c>
      <c r="J2036" s="1" t="s">
        <v>472</v>
      </c>
      <c r="K2036" s="1" t="s">
        <v>472</v>
      </c>
    </row>
    <row r="2037" spans="1:11" x14ac:dyDescent="0.3">
      <c r="A2037" s="1">
        <v>90</v>
      </c>
      <c r="B2037" s="1">
        <v>2025</v>
      </c>
      <c r="C2037" s="3">
        <v>45695</v>
      </c>
      <c r="E2037" s="1" t="s">
        <v>20</v>
      </c>
      <c r="F2037" s="1" t="s">
        <v>13</v>
      </c>
      <c r="G2037" s="1" t="s">
        <v>360</v>
      </c>
      <c r="H2037" s="1" t="s">
        <v>360</v>
      </c>
      <c r="I2037" s="1" t="s">
        <v>472</v>
      </c>
      <c r="J2037" s="1" t="s">
        <v>497</v>
      </c>
      <c r="K2037" s="1" t="s">
        <v>502</v>
      </c>
    </row>
    <row r="2038" spans="1:11" x14ac:dyDescent="0.3">
      <c r="A2038" s="1">
        <v>90</v>
      </c>
      <c r="B2038" s="1">
        <v>2025</v>
      </c>
      <c r="C2038" s="3">
        <v>45695</v>
      </c>
      <c r="E2038" s="1" t="s">
        <v>21</v>
      </c>
      <c r="F2038" s="1" t="s">
        <v>13</v>
      </c>
      <c r="G2038" s="1" t="s">
        <v>366</v>
      </c>
      <c r="H2038" s="1" t="s">
        <v>366</v>
      </c>
      <c r="I2038" s="1" t="s">
        <v>362</v>
      </c>
      <c r="J2038" s="1" t="s">
        <v>547</v>
      </c>
      <c r="K2038" s="1" t="s">
        <v>547</v>
      </c>
    </row>
    <row r="2039" spans="1:11" x14ac:dyDescent="0.3">
      <c r="A2039" s="1">
        <v>90</v>
      </c>
      <c r="B2039" s="1">
        <v>2025</v>
      </c>
      <c r="C2039" s="3">
        <v>45695</v>
      </c>
      <c r="E2039" s="1" t="s">
        <v>73</v>
      </c>
      <c r="F2039" s="1" t="s">
        <v>13</v>
      </c>
      <c r="G2039" s="1" t="s">
        <v>472</v>
      </c>
      <c r="H2039" s="1" t="s">
        <v>361</v>
      </c>
      <c r="I2039" s="1" t="s">
        <v>472</v>
      </c>
      <c r="J2039" s="1" t="s">
        <v>531</v>
      </c>
      <c r="K2039" s="1" t="s">
        <v>556</v>
      </c>
    </row>
    <row r="2040" spans="1:11" x14ac:dyDescent="0.3">
      <c r="A2040" s="1">
        <v>90</v>
      </c>
      <c r="B2040" s="1">
        <v>2025</v>
      </c>
      <c r="C2040" s="3">
        <v>45695</v>
      </c>
      <c r="E2040" s="1" t="s">
        <v>23</v>
      </c>
      <c r="F2040" s="1" t="s">
        <v>13</v>
      </c>
      <c r="G2040" s="1" t="s">
        <v>362</v>
      </c>
      <c r="H2040" s="1" t="s">
        <v>365</v>
      </c>
      <c r="I2040" s="1" t="s">
        <v>472</v>
      </c>
      <c r="J2040" s="1" t="s">
        <v>357</v>
      </c>
      <c r="K2040" s="1" t="s">
        <v>365</v>
      </c>
    </row>
    <row r="2041" spans="1:11" x14ac:dyDescent="0.3">
      <c r="A2041" s="1">
        <v>90</v>
      </c>
      <c r="B2041" s="1">
        <v>2025</v>
      </c>
      <c r="C2041" s="3">
        <v>45695</v>
      </c>
      <c r="E2041" s="1" t="s">
        <v>24</v>
      </c>
      <c r="F2041" s="1" t="s">
        <v>13</v>
      </c>
      <c r="G2041" s="1" t="s">
        <v>360</v>
      </c>
      <c r="H2041" s="1" t="s">
        <v>360</v>
      </c>
      <c r="I2041" s="1" t="s">
        <v>361</v>
      </c>
      <c r="J2041" s="1" t="s">
        <v>557</v>
      </c>
      <c r="K2041" s="1" t="s">
        <v>385</v>
      </c>
    </row>
    <row r="2042" spans="1:11" x14ac:dyDescent="0.3">
      <c r="A2042" s="1">
        <v>90</v>
      </c>
      <c r="B2042" s="1">
        <v>2025</v>
      </c>
      <c r="C2042" s="3">
        <v>45695</v>
      </c>
      <c r="E2042" s="1" t="s">
        <v>25</v>
      </c>
      <c r="F2042" s="1" t="s">
        <v>26</v>
      </c>
      <c r="G2042" s="1" t="s">
        <v>358</v>
      </c>
      <c r="H2042" s="1" t="s">
        <v>357</v>
      </c>
      <c r="I2042" s="1" t="s">
        <v>360</v>
      </c>
      <c r="J2042" s="1" t="s">
        <v>358</v>
      </c>
      <c r="K2042" s="1" t="s">
        <v>358</v>
      </c>
    </row>
    <row r="2043" spans="1:11" x14ac:dyDescent="0.3">
      <c r="A2043" s="1">
        <v>90</v>
      </c>
      <c r="B2043" s="1">
        <v>2025</v>
      </c>
      <c r="C2043" s="3">
        <v>45695</v>
      </c>
      <c r="E2043" s="1" t="s">
        <v>27</v>
      </c>
      <c r="F2043" s="1" t="s">
        <v>13</v>
      </c>
      <c r="H2043" s="1" t="s">
        <v>358</v>
      </c>
      <c r="I2043" s="1" t="s">
        <v>361</v>
      </c>
      <c r="J2043" s="1" t="s">
        <v>558</v>
      </c>
      <c r="K2043" s="1" t="s">
        <v>385</v>
      </c>
    </row>
    <row r="2044" spans="1:11" x14ac:dyDescent="0.3">
      <c r="A2044" s="1">
        <v>90</v>
      </c>
      <c r="B2044" s="1">
        <v>2025</v>
      </c>
      <c r="C2044" s="3">
        <v>45695</v>
      </c>
      <c r="E2044" s="1" t="s">
        <v>28</v>
      </c>
      <c r="F2044" s="1" t="s">
        <v>13</v>
      </c>
      <c r="G2044" s="1" t="s">
        <v>357</v>
      </c>
      <c r="H2044" s="1" t="s">
        <v>357</v>
      </c>
      <c r="I2044" s="1" t="s">
        <v>358</v>
      </c>
      <c r="J2044" s="1" t="s">
        <v>359</v>
      </c>
      <c r="K2044" s="1" t="s">
        <v>359</v>
      </c>
    </row>
    <row r="2045" spans="1:11" x14ac:dyDescent="0.3">
      <c r="A2045" s="1">
        <v>90</v>
      </c>
      <c r="B2045" s="1">
        <v>2025</v>
      </c>
      <c r="C2045" s="3">
        <v>45695</v>
      </c>
      <c r="E2045" s="1" t="s">
        <v>29</v>
      </c>
      <c r="F2045" s="1" t="s">
        <v>13</v>
      </c>
      <c r="G2045" s="1" t="s">
        <v>359</v>
      </c>
      <c r="H2045" s="1" t="s">
        <v>359</v>
      </c>
      <c r="I2045" s="1" t="s">
        <v>358</v>
      </c>
      <c r="J2045" s="1" t="s">
        <v>540</v>
      </c>
      <c r="K2045" s="1" t="s">
        <v>359</v>
      </c>
    </row>
    <row r="2046" spans="1:11" x14ac:dyDescent="0.3">
      <c r="A2046" s="1">
        <v>90</v>
      </c>
      <c r="B2046" s="1">
        <v>2025</v>
      </c>
      <c r="C2046" s="3">
        <v>45695</v>
      </c>
      <c r="E2046" s="1" t="s">
        <v>31</v>
      </c>
      <c r="F2046" s="1" t="s">
        <v>32</v>
      </c>
      <c r="G2046" s="1" t="s">
        <v>378</v>
      </c>
      <c r="H2046" s="1" t="s">
        <v>378</v>
      </c>
      <c r="I2046" s="1" t="s">
        <v>378</v>
      </c>
      <c r="J2046" s="1" t="s">
        <v>378</v>
      </c>
      <c r="K2046" s="1" t="s">
        <v>378</v>
      </c>
    </row>
    <row r="2047" spans="1:11" x14ac:dyDescent="0.3">
      <c r="A2047" s="1">
        <v>90</v>
      </c>
      <c r="B2047" s="1">
        <v>2025</v>
      </c>
      <c r="C2047" s="3">
        <v>45695</v>
      </c>
      <c r="E2047" s="1" t="s">
        <v>34</v>
      </c>
      <c r="F2047" s="1" t="s">
        <v>35</v>
      </c>
      <c r="H2047" s="1" t="s">
        <v>419</v>
      </c>
      <c r="I2047" s="1" t="s">
        <v>397</v>
      </c>
      <c r="J2047" s="1" t="s">
        <v>559</v>
      </c>
      <c r="K2047" s="1" t="s">
        <v>506</v>
      </c>
    </row>
    <row r="2048" spans="1:11" x14ac:dyDescent="0.3">
      <c r="A2048" s="1">
        <v>90</v>
      </c>
      <c r="B2048" s="1">
        <v>2025</v>
      </c>
      <c r="C2048" s="3">
        <v>45695</v>
      </c>
      <c r="E2048" s="1" t="s">
        <v>36</v>
      </c>
      <c r="F2048" s="1" t="s">
        <v>35</v>
      </c>
      <c r="G2048" s="1" t="s">
        <v>419</v>
      </c>
      <c r="H2048" s="1" t="s">
        <v>419</v>
      </c>
      <c r="I2048" s="1" t="s">
        <v>388</v>
      </c>
      <c r="J2048" s="1" t="s">
        <v>550</v>
      </c>
      <c r="K2048" s="1" t="s">
        <v>384</v>
      </c>
    </row>
    <row r="2049" spans="1:11" x14ac:dyDescent="0.3">
      <c r="A2049" s="1">
        <v>90</v>
      </c>
      <c r="B2049" s="1">
        <v>2025</v>
      </c>
      <c r="C2049" s="3">
        <v>45695</v>
      </c>
      <c r="E2049" s="1" t="s">
        <v>153</v>
      </c>
      <c r="F2049" s="1" t="s">
        <v>154</v>
      </c>
      <c r="G2049" s="1" t="s">
        <v>394</v>
      </c>
      <c r="H2049" s="1" t="s">
        <v>394</v>
      </c>
      <c r="I2049" s="1" t="s">
        <v>394</v>
      </c>
      <c r="J2049" s="1" t="s">
        <v>394</v>
      </c>
      <c r="K2049" s="1" t="s">
        <v>394</v>
      </c>
    </row>
    <row r="2050" spans="1:11" x14ac:dyDescent="0.3">
      <c r="A2050" s="1">
        <v>90</v>
      </c>
      <c r="B2050" s="1">
        <v>2025</v>
      </c>
      <c r="C2050" s="3">
        <v>45695</v>
      </c>
      <c r="E2050" s="1" t="s">
        <v>39</v>
      </c>
      <c r="F2050" s="1" t="s">
        <v>40</v>
      </c>
      <c r="H2050" s="1" t="s">
        <v>385</v>
      </c>
      <c r="I2050" s="1" t="s">
        <v>405</v>
      </c>
      <c r="J2050" s="1" t="s">
        <v>497</v>
      </c>
      <c r="K2050" s="1" t="s">
        <v>497</v>
      </c>
    </row>
    <row r="2051" spans="1:11" x14ac:dyDescent="0.3">
      <c r="A2051" s="1">
        <v>90</v>
      </c>
      <c r="B2051" s="1">
        <v>2025</v>
      </c>
      <c r="C2051" s="3">
        <v>45695</v>
      </c>
      <c r="E2051" s="1" t="s">
        <v>42</v>
      </c>
      <c r="F2051" s="1" t="s">
        <v>43</v>
      </c>
      <c r="G2051" s="1" t="s">
        <v>390</v>
      </c>
      <c r="H2051" s="1" t="s">
        <v>390</v>
      </c>
      <c r="I2051" s="1" t="s">
        <v>370</v>
      </c>
      <c r="J2051" s="1" t="s">
        <v>395</v>
      </c>
      <c r="K2051" s="1" t="s">
        <v>396</v>
      </c>
    </row>
    <row r="2052" spans="1:11" x14ac:dyDescent="0.3">
      <c r="A2052" s="1">
        <v>90</v>
      </c>
      <c r="B2052" s="1">
        <v>2025</v>
      </c>
      <c r="C2052" s="3">
        <v>45695</v>
      </c>
      <c r="E2052" s="1" t="s">
        <v>44</v>
      </c>
      <c r="F2052" s="1" t="s">
        <v>45</v>
      </c>
      <c r="G2052" s="1" t="s">
        <v>397</v>
      </c>
      <c r="H2052" s="1" t="s">
        <v>393</v>
      </c>
      <c r="I2052" s="1" t="s">
        <v>393</v>
      </c>
      <c r="J2052" s="1" t="s">
        <v>404</v>
      </c>
      <c r="K2052" s="1" t="s">
        <v>393</v>
      </c>
    </row>
    <row r="2053" spans="1:11" x14ac:dyDescent="0.3">
      <c r="A2053" s="1">
        <v>90</v>
      </c>
      <c r="B2053" s="1">
        <v>2025</v>
      </c>
      <c r="C2053" s="3">
        <v>45695</v>
      </c>
      <c r="E2053" s="1" t="s">
        <v>48</v>
      </c>
      <c r="F2053" s="1" t="s">
        <v>45</v>
      </c>
      <c r="H2053" s="1" t="s">
        <v>386</v>
      </c>
      <c r="I2053" s="1" t="s">
        <v>386</v>
      </c>
      <c r="J2053" s="1" t="s">
        <v>386</v>
      </c>
      <c r="K2053" s="1" t="s">
        <v>386</v>
      </c>
    </row>
    <row r="2054" spans="1:11" x14ac:dyDescent="0.3">
      <c r="A2054" s="1">
        <v>90</v>
      </c>
      <c r="B2054" s="1">
        <v>2025</v>
      </c>
      <c r="C2054" s="3">
        <v>45695</v>
      </c>
      <c r="E2054" s="1" t="s">
        <v>49</v>
      </c>
      <c r="F2054" s="1" t="s">
        <v>50</v>
      </c>
      <c r="G2054" s="1" t="s">
        <v>358</v>
      </c>
      <c r="H2054" s="1" t="s">
        <v>393</v>
      </c>
      <c r="I2054" s="1" t="s">
        <v>358</v>
      </c>
      <c r="J2054" s="1" t="s">
        <v>399</v>
      </c>
      <c r="K2054" s="1" t="s">
        <v>358</v>
      </c>
    </row>
    <row r="2055" spans="1:11" x14ac:dyDescent="0.3">
      <c r="A2055" s="1">
        <v>90</v>
      </c>
      <c r="B2055" s="1">
        <v>2025</v>
      </c>
      <c r="C2055" s="3">
        <v>45695</v>
      </c>
      <c r="E2055" s="1" t="s">
        <v>52</v>
      </c>
      <c r="F2055" s="1" t="s">
        <v>43</v>
      </c>
      <c r="G2055" s="1" t="s">
        <v>386</v>
      </c>
      <c r="H2055" s="1" t="s">
        <v>358</v>
      </c>
      <c r="I2055" s="1" t="s">
        <v>386</v>
      </c>
      <c r="J2055" s="1" t="s">
        <v>527</v>
      </c>
      <c r="K2055" s="1" t="s">
        <v>385</v>
      </c>
    </row>
    <row r="2056" spans="1:11" x14ac:dyDescent="0.3">
      <c r="A2056" s="1">
        <v>90</v>
      </c>
      <c r="B2056" s="1">
        <v>2025</v>
      </c>
      <c r="C2056" s="3">
        <v>45695</v>
      </c>
      <c r="E2056" s="1" t="s">
        <v>53</v>
      </c>
      <c r="F2056" s="1" t="s">
        <v>43</v>
      </c>
      <c r="G2056" s="1" t="s">
        <v>370</v>
      </c>
      <c r="H2056" s="1" t="s">
        <v>370</v>
      </c>
      <c r="I2056" s="1" t="s">
        <v>405</v>
      </c>
      <c r="J2056" s="1" t="s">
        <v>387</v>
      </c>
      <c r="K2056" s="1" t="s">
        <v>385</v>
      </c>
    </row>
    <row r="2057" spans="1:11" x14ac:dyDescent="0.3">
      <c r="A2057" s="1">
        <v>90</v>
      </c>
      <c r="B2057" s="1">
        <v>2025</v>
      </c>
      <c r="C2057" s="3">
        <v>45695</v>
      </c>
      <c r="E2057" s="1" t="s">
        <v>54</v>
      </c>
      <c r="F2057" s="1" t="s">
        <v>40</v>
      </c>
      <c r="G2057" s="1" t="s">
        <v>358</v>
      </c>
      <c r="H2057" s="1" t="s">
        <v>358</v>
      </c>
      <c r="I2057" s="1" t="s">
        <v>385</v>
      </c>
      <c r="J2057" s="1" t="s">
        <v>394</v>
      </c>
      <c r="K2057" s="1" t="s">
        <v>358</v>
      </c>
    </row>
    <row r="2058" spans="1:11" x14ac:dyDescent="0.3">
      <c r="A2058" s="1">
        <v>90</v>
      </c>
      <c r="B2058" s="1">
        <v>2025</v>
      </c>
      <c r="C2058" s="3">
        <v>45695</v>
      </c>
      <c r="E2058" s="1" t="s">
        <v>56</v>
      </c>
      <c r="F2058" s="1" t="s">
        <v>43</v>
      </c>
      <c r="H2058" s="1" t="s">
        <v>385</v>
      </c>
      <c r="I2058" s="1" t="s">
        <v>385</v>
      </c>
      <c r="J2058" s="1" t="s">
        <v>385</v>
      </c>
      <c r="K2058" s="1" t="s">
        <v>385</v>
      </c>
    </row>
    <row r="2059" spans="1:11" x14ac:dyDescent="0.3">
      <c r="A2059" s="1">
        <v>90</v>
      </c>
      <c r="B2059" s="1">
        <v>2025</v>
      </c>
      <c r="C2059" s="3">
        <v>45695</v>
      </c>
      <c r="E2059" s="1" t="s">
        <v>57</v>
      </c>
      <c r="F2059" s="1" t="s">
        <v>40</v>
      </c>
      <c r="H2059" s="1" t="s">
        <v>385</v>
      </c>
      <c r="I2059" s="1" t="s">
        <v>386</v>
      </c>
      <c r="J2059" s="1" t="s">
        <v>387</v>
      </c>
      <c r="K2059" s="1" t="s">
        <v>387</v>
      </c>
    </row>
    <row r="2060" spans="1:11" x14ac:dyDescent="0.3">
      <c r="A2060" s="1">
        <v>90</v>
      </c>
      <c r="B2060" s="1">
        <v>2025</v>
      </c>
      <c r="C2060" s="3">
        <v>45695</v>
      </c>
      <c r="E2060" s="1" t="s">
        <v>58</v>
      </c>
      <c r="F2060" s="1" t="s">
        <v>40</v>
      </c>
      <c r="H2060" s="1" t="s">
        <v>358</v>
      </c>
      <c r="I2060" s="1" t="s">
        <v>403</v>
      </c>
      <c r="J2060" s="1" t="s">
        <v>560</v>
      </c>
      <c r="K2060" s="1" t="s">
        <v>561</v>
      </c>
    </row>
    <row r="2061" spans="1:11" x14ac:dyDescent="0.3">
      <c r="A2061" s="1">
        <v>90</v>
      </c>
      <c r="B2061" s="1">
        <v>2025</v>
      </c>
      <c r="C2061" s="3">
        <v>45695</v>
      </c>
      <c r="E2061" s="1" t="s">
        <v>59</v>
      </c>
      <c r="F2061" s="1" t="s">
        <v>45</v>
      </c>
      <c r="H2061" s="1" t="s">
        <v>419</v>
      </c>
      <c r="I2061" s="1" t="s">
        <v>484</v>
      </c>
      <c r="J2061" s="1" t="s">
        <v>390</v>
      </c>
      <c r="K2061" s="1" t="s">
        <v>388</v>
      </c>
    </row>
    <row r="2062" spans="1:11" x14ac:dyDescent="0.3">
      <c r="A2062" s="1">
        <v>90</v>
      </c>
      <c r="B2062" s="1">
        <v>2025</v>
      </c>
      <c r="C2062" s="3">
        <v>45695</v>
      </c>
      <c r="E2062" s="1" t="s">
        <v>60</v>
      </c>
      <c r="F2062" s="1" t="s">
        <v>61</v>
      </c>
      <c r="G2062" s="1" t="s">
        <v>370</v>
      </c>
      <c r="H2062" s="1" t="s">
        <v>370</v>
      </c>
      <c r="I2062" s="1" t="s">
        <v>415</v>
      </c>
      <c r="J2062" s="1" t="s">
        <v>386</v>
      </c>
      <c r="K2062" s="1" t="s">
        <v>370</v>
      </c>
    </row>
    <row r="2063" spans="1:11" x14ac:dyDescent="0.3">
      <c r="A2063" s="1">
        <v>90</v>
      </c>
      <c r="B2063" s="1">
        <v>2025</v>
      </c>
      <c r="C2063" s="3">
        <v>45695</v>
      </c>
      <c r="E2063" s="1" t="s">
        <v>63</v>
      </c>
      <c r="F2063" s="1" t="s">
        <v>40</v>
      </c>
      <c r="H2063" s="1" t="s">
        <v>394</v>
      </c>
      <c r="I2063" s="1" t="s">
        <v>415</v>
      </c>
      <c r="J2063" s="1" t="s">
        <v>513</v>
      </c>
      <c r="K2063" s="1" t="s">
        <v>484</v>
      </c>
    </row>
    <row r="2064" spans="1:11" x14ac:dyDescent="0.3">
      <c r="A2064" s="1">
        <v>90</v>
      </c>
      <c r="B2064" s="1">
        <v>2025</v>
      </c>
      <c r="C2064" s="3">
        <v>45695</v>
      </c>
      <c r="E2064" s="1" t="s">
        <v>64</v>
      </c>
      <c r="F2064" s="1" t="s">
        <v>40</v>
      </c>
      <c r="H2064" s="1" t="s">
        <v>386</v>
      </c>
      <c r="I2064" s="1" t="s">
        <v>408</v>
      </c>
      <c r="J2064" s="1" t="s">
        <v>562</v>
      </c>
      <c r="K2064" s="1" t="s">
        <v>562</v>
      </c>
    </row>
    <row r="2065" spans="1:11" x14ac:dyDescent="0.3">
      <c r="A2065" s="1">
        <v>90</v>
      </c>
      <c r="B2065" s="1">
        <v>2025</v>
      </c>
      <c r="C2065" s="3">
        <v>45695</v>
      </c>
      <c r="E2065" s="12" t="s">
        <v>66</v>
      </c>
      <c r="F2065" s="13" t="s">
        <v>45</v>
      </c>
    </row>
    <row r="2066" spans="1:11" x14ac:dyDescent="0.3">
      <c r="A2066" s="1">
        <v>90</v>
      </c>
      <c r="B2066" s="1">
        <v>2025</v>
      </c>
      <c r="C2066" s="3">
        <v>45695</v>
      </c>
      <c r="E2066" s="12" t="s">
        <v>67</v>
      </c>
      <c r="F2066" s="13" t="s">
        <v>45</v>
      </c>
    </row>
    <row r="2067" spans="1:11" x14ac:dyDescent="0.3">
      <c r="A2067" s="1">
        <v>90</v>
      </c>
      <c r="B2067" s="1">
        <v>2025</v>
      </c>
      <c r="C2067" s="3">
        <v>45695</v>
      </c>
      <c r="E2067" s="12" t="s">
        <v>68</v>
      </c>
      <c r="F2067" s="13" t="s">
        <v>45</v>
      </c>
    </row>
    <row r="2068" spans="1:11" x14ac:dyDescent="0.3">
      <c r="A2068" s="1">
        <v>90</v>
      </c>
      <c r="B2068" s="1">
        <v>2025</v>
      </c>
      <c r="C2068" s="3">
        <v>45695</v>
      </c>
      <c r="E2068" s="12" t="s">
        <v>69</v>
      </c>
      <c r="F2068" s="13" t="s">
        <v>45</v>
      </c>
    </row>
    <row r="2069" spans="1:11" x14ac:dyDescent="0.3">
      <c r="A2069" s="1">
        <v>90</v>
      </c>
      <c r="B2069" s="1">
        <v>2025</v>
      </c>
      <c r="C2069" s="3">
        <v>45695</v>
      </c>
      <c r="E2069" s="12" t="s">
        <v>70</v>
      </c>
      <c r="F2069" s="13" t="s">
        <v>71</v>
      </c>
    </row>
    <row r="2070" spans="1:11" x14ac:dyDescent="0.3">
      <c r="A2070" s="1">
        <v>91</v>
      </c>
      <c r="B2070" s="1">
        <v>2025</v>
      </c>
      <c r="C2070" s="3">
        <v>45702</v>
      </c>
      <c r="E2070" s="1" t="s">
        <v>12</v>
      </c>
      <c r="F2070" s="1" t="s">
        <v>13</v>
      </c>
      <c r="H2070" s="1" t="s">
        <v>357</v>
      </c>
      <c r="I2070" s="1" t="s">
        <v>360</v>
      </c>
      <c r="J2070" s="1" t="s">
        <v>358</v>
      </c>
      <c r="K2070" s="1" t="s">
        <v>358</v>
      </c>
    </row>
    <row r="2071" spans="1:11" x14ac:dyDescent="0.3">
      <c r="A2071" s="1">
        <v>91</v>
      </c>
      <c r="B2071" s="1">
        <v>2025</v>
      </c>
      <c r="C2071" s="3">
        <v>45702</v>
      </c>
      <c r="E2071" s="1" t="s">
        <v>14</v>
      </c>
      <c r="F2071" s="1" t="s">
        <v>13</v>
      </c>
      <c r="G2071" s="1" t="s">
        <v>472</v>
      </c>
      <c r="H2071" s="1" t="s">
        <v>359</v>
      </c>
      <c r="I2071" s="1" t="s">
        <v>472</v>
      </c>
      <c r="J2071" s="1" t="s">
        <v>505</v>
      </c>
      <c r="K2071" s="1" t="s">
        <v>472</v>
      </c>
    </row>
    <row r="2072" spans="1:11" x14ac:dyDescent="0.3">
      <c r="A2072" s="1">
        <v>91</v>
      </c>
      <c r="B2072" s="1">
        <v>2025</v>
      </c>
      <c r="C2072" s="3">
        <v>45702</v>
      </c>
      <c r="E2072" s="1" t="s">
        <v>15</v>
      </c>
      <c r="F2072" s="1" t="s">
        <v>13</v>
      </c>
      <c r="G2072" s="1" t="s">
        <v>357</v>
      </c>
      <c r="H2072" s="1" t="s">
        <v>357</v>
      </c>
      <c r="I2072" s="1" t="s">
        <v>358</v>
      </c>
      <c r="J2072" s="1" t="s">
        <v>428</v>
      </c>
      <c r="K2072" s="1" t="s">
        <v>357</v>
      </c>
    </row>
    <row r="2073" spans="1:11" x14ac:dyDescent="0.3">
      <c r="A2073" s="1">
        <v>91</v>
      </c>
      <c r="B2073" s="1">
        <v>2025</v>
      </c>
      <c r="C2073" s="3">
        <v>45702</v>
      </c>
      <c r="E2073" s="1" t="s">
        <v>16</v>
      </c>
      <c r="F2073" s="1" t="s">
        <v>13</v>
      </c>
      <c r="H2073" s="1" t="s">
        <v>362</v>
      </c>
      <c r="I2073" s="1" t="s">
        <v>430</v>
      </c>
      <c r="J2073" s="1" t="s">
        <v>365</v>
      </c>
      <c r="K2073" s="1" t="s">
        <v>365</v>
      </c>
    </row>
    <row r="2074" spans="1:11" x14ac:dyDescent="0.3">
      <c r="A2074" s="1">
        <v>91</v>
      </c>
      <c r="B2074" s="1">
        <v>2025</v>
      </c>
      <c r="C2074" s="3">
        <v>45702</v>
      </c>
      <c r="E2074" s="1" t="s">
        <v>17</v>
      </c>
      <c r="F2074" s="1" t="s">
        <v>13</v>
      </c>
      <c r="G2074" s="1" t="s">
        <v>362</v>
      </c>
      <c r="H2074" s="1" t="s">
        <v>362</v>
      </c>
      <c r="I2074" s="1" t="s">
        <v>365</v>
      </c>
      <c r="J2074" s="1" t="s">
        <v>563</v>
      </c>
      <c r="K2074" s="1" t="s">
        <v>362</v>
      </c>
    </row>
    <row r="2075" spans="1:11" x14ac:dyDescent="0.3">
      <c r="A2075" s="1">
        <v>91</v>
      </c>
      <c r="B2075" s="1">
        <v>2025</v>
      </c>
      <c r="C2075" s="3">
        <v>45702</v>
      </c>
      <c r="E2075" s="1" t="s">
        <v>18</v>
      </c>
      <c r="F2075" s="1" t="s">
        <v>13</v>
      </c>
      <c r="G2075" s="1" t="s">
        <v>358</v>
      </c>
      <c r="H2075" s="1" t="s">
        <v>358</v>
      </c>
      <c r="I2075" s="1" t="s">
        <v>416</v>
      </c>
      <c r="J2075" s="1" t="s">
        <v>474</v>
      </c>
      <c r="K2075" s="1" t="s">
        <v>358</v>
      </c>
    </row>
    <row r="2076" spans="1:11" x14ac:dyDescent="0.3">
      <c r="A2076" s="1">
        <v>91</v>
      </c>
      <c r="B2076" s="1">
        <v>2025</v>
      </c>
      <c r="C2076" s="3">
        <v>45702</v>
      </c>
      <c r="E2076" s="1" t="s">
        <v>19</v>
      </c>
      <c r="F2076" s="1" t="s">
        <v>13</v>
      </c>
      <c r="H2076" s="1" t="s">
        <v>358</v>
      </c>
      <c r="I2076" s="1" t="s">
        <v>564</v>
      </c>
      <c r="J2076" s="1" t="s">
        <v>565</v>
      </c>
      <c r="K2076" s="1" t="s">
        <v>566</v>
      </c>
    </row>
    <row r="2077" spans="1:11" x14ac:dyDescent="0.3">
      <c r="A2077" s="1">
        <v>91</v>
      </c>
      <c r="B2077" s="1">
        <v>2025</v>
      </c>
      <c r="C2077" s="3">
        <v>45702</v>
      </c>
      <c r="E2077" s="1" t="s">
        <v>20</v>
      </c>
      <c r="F2077" s="1" t="s">
        <v>13</v>
      </c>
      <c r="H2077" s="1" t="s">
        <v>360</v>
      </c>
      <c r="I2077" s="1" t="s">
        <v>401</v>
      </c>
      <c r="J2077" s="1" t="s">
        <v>567</v>
      </c>
      <c r="K2077" s="1" t="s">
        <v>568</v>
      </c>
    </row>
    <row r="2078" spans="1:11" x14ac:dyDescent="0.3">
      <c r="A2078" s="1">
        <v>91</v>
      </c>
      <c r="B2078" s="1">
        <v>2025</v>
      </c>
      <c r="C2078" s="3">
        <v>45702</v>
      </c>
      <c r="E2078" s="1" t="s">
        <v>21</v>
      </c>
      <c r="F2078" s="1" t="s">
        <v>13</v>
      </c>
      <c r="H2078" s="1" t="s">
        <v>419</v>
      </c>
      <c r="I2078" s="1" t="s">
        <v>363</v>
      </c>
      <c r="J2078" s="1" t="s">
        <v>569</v>
      </c>
      <c r="K2078" s="1" t="s">
        <v>362</v>
      </c>
    </row>
    <row r="2079" spans="1:11" x14ac:dyDescent="0.3">
      <c r="A2079" s="1">
        <v>91</v>
      </c>
      <c r="B2079" s="1">
        <v>2025</v>
      </c>
      <c r="C2079" s="3">
        <v>45702</v>
      </c>
      <c r="E2079" s="1" t="s">
        <v>73</v>
      </c>
      <c r="F2079" s="1" t="s">
        <v>13</v>
      </c>
      <c r="G2079" s="1" t="s">
        <v>401</v>
      </c>
      <c r="H2079" s="1" t="s">
        <v>401</v>
      </c>
      <c r="I2079" s="1" t="s">
        <v>401</v>
      </c>
      <c r="J2079" s="1" t="s">
        <v>401</v>
      </c>
      <c r="K2079" s="1" t="s">
        <v>401</v>
      </c>
    </row>
    <row r="2080" spans="1:11" x14ac:dyDescent="0.3">
      <c r="A2080" s="1">
        <v>91</v>
      </c>
      <c r="B2080" s="1">
        <v>2025</v>
      </c>
      <c r="C2080" s="3">
        <v>45702</v>
      </c>
      <c r="E2080" s="1" t="s">
        <v>23</v>
      </c>
      <c r="F2080" s="1" t="s">
        <v>13</v>
      </c>
      <c r="H2080" s="1" t="s">
        <v>362</v>
      </c>
      <c r="I2080" s="1" t="s">
        <v>430</v>
      </c>
      <c r="J2080" s="1" t="s">
        <v>365</v>
      </c>
      <c r="K2080" s="1" t="s">
        <v>365</v>
      </c>
    </row>
    <row r="2081" spans="1:11" x14ac:dyDescent="0.3">
      <c r="A2081" s="1">
        <v>91</v>
      </c>
      <c r="B2081" s="1">
        <v>2025</v>
      </c>
      <c r="C2081" s="3">
        <v>45702</v>
      </c>
      <c r="E2081" s="1" t="s">
        <v>24</v>
      </c>
      <c r="F2081" s="1" t="s">
        <v>13</v>
      </c>
      <c r="G2081" s="1" t="s">
        <v>360</v>
      </c>
      <c r="H2081" s="1" t="s">
        <v>360</v>
      </c>
      <c r="I2081" s="1" t="s">
        <v>417</v>
      </c>
      <c r="J2081" s="1" t="s">
        <v>443</v>
      </c>
      <c r="K2081" s="1" t="s">
        <v>360</v>
      </c>
    </row>
    <row r="2082" spans="1:11" x14ac:dyDescent="0.3">
      <c r="A2082" s="1">
        <v>91</v>
      </c>
      <c r="B2082" s="1">
        <v>2025</v>
      </c>
      <c r="C2082" s="3">
        <v>45702</v>
      </c>
      <c r="E2082" s="1" t="s">
        <v>25</v>
      </c>
      <c r="F2082" s="1" t="s">
        <v>26</v>
      </c>
      <c r="G2082" s="1" t="s">
        <v>358</v>
      </c>
      <c r="H2082" s="1" t="s">
        <v>358</v>
      </c>
      <c r="I2082" s="1" t="s">
        <v>417</v>
      </c>
      <c r="J2082" s="1" t="s">
        <v>416</v>
      </c>
      <c r="K2082" s="1" t="s">
        <v>358</v>
      </c>
    </row>
    <row r="2083" spans="1:11" x14ac:dyDescent="0.3">
      <c r="A2083" s="1">
        <v>91</v>
      </c>
      <c r="B2083" s="1">
        <v>2025</v>
      </c>
      <c r="C2083" s="3">
        <v>45702</v>
      </c>
      <c r="E2083" s="1" t="s">
        <v>27</v>
      </c>
      <c r="F2083" s="1" t="s">
        <v>13</v>
      </c>
      <c r="G2083" s="1" t="s">
        <v>361</v>
      </c>
      <c r="H2083" s="1" t="s">
        <v>358</v>
      </c>
      <c r="I2083" s="1" t="s">
        <v>361</v>
      </c>
      <c r="J2083" s="1" t="s">
        <v>490</v>
      </c>
      <c r="K2083" s="1" t="s">
        <v>361</v>
      </c>
    </row>
    <row r="2084" spans="1:11" x14ac:dyDescent="0.3">
      <c r="A2084" s="1">
        <v>91</v>
      </c>
      <c r="B2084" s="1">
        <v>2025</v>
      </c>
      <c r="C2084" s="3">
        <v>45702</v>
      </c>
      <c r="E2084" s="1" t="s">
        <v>28</v>
      </c>
      <c r="F2084" s="1" t="s">
        <v>13</v>
      </c>
      <c r="H2084" s="1" t="s">
        <v>390</v>
      </c>
      <c r="I2084" s="1" t="s">
        <v>358</v>
      </c>
      <c r="J2084" s="1" t="s">
        <v>377</v>
      </c>
      <c r="K2084" s="1" t="s">
        <v>357</v>
      </c>
    </row>
    <row r="2085" spans="1:11" x14ac:dyDescent="0.3">
      <c r="A2085" s="1">
        <v>91</v>
      </c>
      <c r="B2085" s="1">
        <v>2025</v>
      </c>
      <c r="C2085" s="3">
        <v>45702</v>
      </c>
      <c r="E2085" s="1" t="s">
        <v>29</v>
      </c>
      <c r="F2085" s="1" t="s">
        <v>13</v>
      </c>
      <c r="G2085" s="1" t="s">
        <v>358</v>
      </c>
      <c r="H2085" s="1" t="s">
        <v>358</v>
      </c>
      <c r="I2085" s="1" t="s">
        <v>358</v>
      </c>
      <c r="J2085" s="1" t="s">
        <v>358</v>
      </c>
      <c r="K2085" s="1" t="s">
        <v>358</v>
      </c>
    </row>
    <row r="2086" spans="1:11" x14ac:dyDescent="0.3">
      <c r="A2086" s="1">
        <v>91</v>
      </c>
      <c r="B2086" s="1">
        <v>2025</v>
      </c>
      <c r="C2086" s="3">
        <v>45702</v>
      </c>
      <c r="E2086" s="1" t="s">
        <v>31</v>
      </c>
      <c r="F2086" s="1" t="s">
        <v>32</v>
      </c>
      <c r="G2086" s="1" t="s">
        <v>378</v>
      </c>
      <c r="H2086" s="1" t="s">
        <v>378</v>
      </c>
      <c r="I2086" s="1" t="s">
        <v>378</v>
      </c>
      <c r="J2086" s="1" t="s">
        <v>378</v>
      </c>
      <c r="K2086" s="1" t="s">
        <v>378</v>
      </c>
    </row>
    <row r="2087" spans="1:11" x14ac:dyDescent="0.3">
      <c r="A2087" s="1">
        <v>91</v>
      </c>
      <c r="B2087" s="1">
        <v>2025</v>
      </c>
      <c r="C2087" s="3">
        <v>45702</v>
      </c>
      <c r="E2087" s="1" t="s">
        <v>34</v>
      </c>
      <c r="F2087" s="1" t="s">
        <v>35</v>
      </c>
      <c r="H2087" s="1" t="s">
        <v>388</v>
      </c>
      <c r="I2087" s="1" t="s">
        <v>390</v>
      </c>
      <c r="J2087" s="1" t="s">
        <v>397</v>
      </c>
      <c r="K2087" s="1" t="s">
        <v>397</v>
      </c>
    </row>
    <row r="2088" spans="1:11" x14ac:dyDescent="0.3">
      <c r="A2088" s="1">
        <v>91</v>
      </c>
      <c r="B2088" s="1">
        <v>2025</v>
      </c>
      <c r="C2088" s="3">
        <v>45702</v>
      </c>
      <c r="E2088" s="1" t="s">
        <v>36</v>
      </c>
      <c r="F2088" s="1" t="s">
        <v>35</v>
      </c>
      <c r="G2088" s="1" t="s">
        <v>388</v>
      </c>
      <c r="H2088" s="1" t="s">
        <v>362</v>
      </c>
      <c r="I2088" s="1" t="s">
        <v>388</v>
      </c>
      <c r="J2088" s="1" t="s">
        <v>467</v>
      </c>
      <c r="K2088" s="1" t="s">
        <v>388</v>
      </c>
    </row>
    <row r="2089" spans="1:11" x14ac:dyDescent="0.3">
      <c r="A2089" s="1">
        <v>91</v>
      </c>
      <c r="B2089" s="1">
        <v>2025</v>
      </c>
      <c r="C2089" s="3">
        <v>45702</v>
      </c>
      <c r="E2089" s="1" t="s">
        <v>153</v>
      </c>
      <c r="F2089" s="1" t="s">
        <v>154</v>
      </c>
      <c r="G2089" s="1" t="s">
        <v>358</v>
      </c>
      <c r="H2089" s="1" t="s">
        <v>358</v>
      </c>
      <c r="I2089" s="1" t="s">
        <v>394</v>
      </c>
      <c r="J2089" s="1" t="s">
        <v>512</v>
      </c>
      <c r="K2089" s="1" t="s">
        <v>358</v>
      </c>
    </row>
    <row r="2090" spans="1:11" x14ac:dyDescent="0.3">
      <c r="A2090" s="1">
        <v>91</v>
      </c>
      <c r="B2090" s="1">
        <v>2025</v>
      </c>
      <c r="C2090" s="3">
        <v>45702</v>
      </c>
      <c r="E2090" s="1" t="s">
        <v>39</v>
      </c>
      <c r="F2090" s="1" t="s">
        <v>40</v>
      </c>
      <c r="G2090" s="1" t="s">
        <v>405</v>
      </c>
      <c r="H2090" s="1" t="s">
        <v>405</v>
      </c>
      <c r="I2090" s="1" t="s">
        <v>403</v>
      </c>
      <c r="J2090" s="1" t="s">
        <v>526</v>
      </c>
      <c r="K2090" s="1" t="s">
        <v>412</v>
      </c>
    </row>
    <row r="2091" spans="1:11" x14ac:dyDescent="0.3">
      <c r="A2091" s="1">
        <v>91</v>
      </c>
      <c r="B2091" s="1">
        <v>2025</v>
      </c>
      <c r="C2091" s="3">
        <v>45702</v>
      </c>
      <c r="E2091" s="1" t="s">
        <v>42</v>
      </c>
      <c r="F2091" s="1" t="s">
        <v>43</v>
      </c>
      <c r="H2091" s="1" t="s">
        <v>390</v>
      </c>
      <c r="I2091" s="1" t="s">
        <v>370</v>
      </c>
      <c r="J2091" s="1" t="s">
        <v>358</v>
      </c>
      <c r="K2091" s="1" t="s">
        <v>391</v>
      </c>
    </row>
    <row r="2092" spans="1:11" x14ac:dyDescent="0.3">
      <c r="A2092" s="1">
        <v>91</v>
      </c>
      <c r="B2092" s="1">
        <v>2025</v>
      </c>
      <c r="C2092" s="3">
        <v>45702</v>
      </c>
      <c r="E2092" s="1" t="s">
        <v>44</v>
      </c>
      <c r="F2092" s="1" t="s">
        <v>45</v>
      </c>
      <c r="G2092" s="1" t="s">
        <v>393</v>
      </c>
      <c r="H2092" s="1" t="s">
        <v>393</v>
      </c>
      <c r="I2092" s="1" t="s">
        <v>394</v>
      </c>
      <c r="J2092" s="1" t="s">
        <v>396</v>
      </c>
      <c r="K2092" s="1" t="s">
        <v>400</v>
      </c>
    </row>
    <row r="2093" spans="1:11" x14ac:dyDescent="0.3">
      <c r="A2093" s="1">
        <v>91</v>
      </c>
      <c r="B2093" s="1">
        <v>2025</v>
      </c>
      <c r="C2093" s="3">
        <v>45702</v>
      </c>
      <c r="E2093" s="1" t="s">
        <v>48</v>
      </c>
      <c r="F2093" s="1" t="s">
        <v>45</v>
      </c>
      <c r="H2093" s="1" t="s">
        <v>358</v>
      </c>
      <c r="I2093" s="1" t="s">
        <v>386</v>
      </c>
      <c r="J2093" s="1" t="s">
        <v>370</v>
      </c>
      <c r="K2093" s="1" t="s">
        <v>370</v>
      </c>
    </row>
    <row r="2094" spans="1:11" x14ac:dyDescent="0.3">
      <c r="A2094" s="1">
        <v>91</v>
      </c>
      <c r="B2094" s="1">
        <v>2025</v>
      </c>
      <c r="C2094" s="3">
        <v>45702</v>
      </c>
      <c r="E2094" s="1" t="s">
        <v>49</v>
      </c>
      <c r="F2094" s="1" t="s">
        <v>50</v>
      </c>
      <c r="G2094" s="1" t="s">
        <v>393</v>
      </c>
      <c r="H2094" s="1" t="s">
        <v>358</v>
      </c>
      <c r="I2094" s="1" t="s">
        <v>358</v>
      </c>
      <c r="J2094" s="1" t="s">
        <v>458</v>
      </c>
      <c r="K2094" s="1" t="s">
        <v>447</v>
      </c>
    </row>
    <row r="2095" spans="1:11" x14ac:dyDescent="0.3">
      <c r="A2095" s="1">
        <v>91</v>
      </c>
      <c r="B2095" s="1">
        <v>2025</v>
      </c>
      <c r="C2095" s="3">
        <v>45702</v>
      </c>
      <c r="E2095" s="1" t="s">
        <v>52</v>
      </c>
      <c r="F2095" s="1" t="s">
        <v>43</v>
      </c>
      <c r="G2095" s="1" t="s">
        <v>394</v>
      </c>
      <c r="H2095" s="1" t="s">
        <v>405</v>
      </c>
      <c r="I2095" s="1" t="s">
        <v>405</v>
      </c>
      <c r="J2095" s="1" t="s">
        <v>413</v>
      </c>
      <c r="K2095" s="1" t="s">
        <v>484</v>
      </c>
    </row>
    <row r="2096" spans="1:11" x14ac:dyDescent="0.3">
      <c r="A2096" s="1">
        <v>91</v>
      </c>
      <c r="B2096" s="1">
        <v>2025</v>
      </c>
      <c r="C2096" s="3">
        <v>45702</v>
      </c>
      <c r="E2096" s="1" t="s">
        <v>53</v>
      </c>
      <c r="F2096" s="1" t="s">
        <v>43</v>
      </c>
      <c r="G2096" s="1" t="s">
        <v>370</v>
      </c>
      <c r="H2096" s="1" t="s">
        <v>370</v>
      </c>
      <c r="I2096" s="1" t="s">
        <v>405</v>
      </c>
      <c r="J2096" s="1" t="s">
        <v>387</v>
      </c>
      <c r="K2096" s="1" t="s">
        <v>385</v>
      </c>
    </row>
    <row r="2097" spans="1:11" x14ac:dyDescent="0.3">
      <c r="A2097" s="1">
        <v>91</v>
      </c>
      <c r="B2097" s="1">
        <v>2025</v>
      </c>
      <c r="C2097" s="3">
        <v>45702</v>
      </c>
      <c r="E2097" s="1" t="s">
        <v>54</v>
      </c>
      <c r="F2097" s="1" t="s">
        <v>40</v>
      </c>
      <c r="H2097" s="1" t="s">
        <v>358</v>
      </c>
      <c r="I2097" s="1" t="s">
        <v>415</v>
      </c>
      <c r="J2097" s="1" t="s">
        <v>497</v>
      </c>
      <c r="K2097" s="1" t="s">
        <v>484</v>
      </c>
    </row>
    <row r="2098" spans="1:11" x14ac:dyDescent="0.3">
      <c r="A2098" s="1">
        <v>91</v>
      </c>
      <c r="B2098" s="1">
        <v>2025</v>
      </c>
      <c r="C2098" s="3">
        <v>45702</v>
      </c>
      <c r="E2098" s="1" t="s">
        <v>56</v>
      </c>
      <c r="F2098" s="1" t="s">
        <v>43</v>
      </c>
      <c r="H2098" s="1" t="s">
        <v>393</v>
      </c>
      <c r="I2098" s="1" t="s">
        <v>484</v>
      </c>
      <c r="J2098" s="1" t="s">
        <v>434</v>
      </c>
      <c r="K2098" s="1" t="s">
        <v>434</v>
      </c>
    </row>
    <row r="2099" spans="1:11" x14ac:dyDescent="0.3">
      <c r="A2099" s="1">
        <v>91</v>
      </c>
      <c r="B2099" s="1">
        <v>2025</v>
      </c>
      <c r="C2099" s="3">
        <v>45702</v>
      </c>
      <c r="E2099" s="1" t="s">
        <v>57</v>
      </c>
      <c r="F2099" s="1" t="s">
        <v>40</v>
      </c>
      <c r="G2099" s="1" t="s">
        <v>370</v>
      </c>
      <c r="H2099" s="1" t="s">
        <v>370</v>
      </c>
      <c r="I2099" s="1" t="s">
        <v>386</v>
      </c>
      <c r="J2099" s="1" t="s">
        <v>570</v>
      </c>
      <c r="K2099" s="1" t="s">
        <v>370</v>
      </c>
    </row>
    <row r="2100" spans="1:11" x14ac:dyDescent="0.3">
      <c r="A2100" s="1">
        <v>91</v>
      </c>
      <c r="B2100" s="1">
        <v>2025</v>
      </c>
      <c r="C2100" s="3">
        <v>45702</v>
      </c>
      <c r="E2100" s="1" t="s">
        <v>58</v>
      </c>
      <c r="F2100" s="1" t="s">
        <v>40</v>
      </c>
      <c r="G2100" s="1" t="s">
        <v>405</v>
      </c>
      <c r="H2100" s="1" t="s">
        <v>401</v>
      </c>
      <c r="I2100" s="1" t="s">
        <v>401</v>
      </c>
      <c r="J2100" s="1" t="s">
        <v>403</v>
      </c>
      <c r="K2100" s="1" t="s">
        <v>562</v>
      </c>
    </row>
    <row r="2101" spans="1:11" x14ac:dyDescent="0.3">
      <c r="A2101" s="1">
        <v>91</v>
      </c>
      <c r="B2101" s="1">
        <v>2025</v>
      </c>
      <c r="C2101" s="3">
        <v>45702</v>
      </c>
      <c r="E2101" s="1" t="s">
        <v>59</v>
      </c>
      <c r="F2101" s="1" t="s">
        <v>45</v>
      </c>
      <c r="G2101" s="1" t="s">
        <v>419</v>
      </c>
      <c r="H2101" s="1" t="s">
        <v>397</v>
      </c>
      <c r="I2101" s="1" t="s">
        <v>390</v>
      </c>
      <c r="J2101" s="1" t="s">
        <v>571</v>
      </c>
      <c r="K2101" s="1" t="s">
        <v>397</v>
      </c>
    </row>
    <row r="2102" spans="1:11" x14ac:dyDescent="0.3">
      <c r="A2102" s="1">
        <v>91</v>
      </c>
      <c r="B2102" s="1">
        <v>2025</v>
      </c>
      <c r="C2102" s="3">
        <v>45702</v>
      </c>
      <c r="E2102" s="1" t="s">
        <v>60</v>
      </c>
      <c r="F2102" s="1" t="s">
        <v>61</v>
      </c>
      <c r="H2102" s="1" t="s">
        <v>370</v>
      </c>
      <c r="I2102" s="1" t="s">
        <v>415</v>
      </c>
      <c r="J2102" s="1" t="s">
        <v>427</v>
      </c>
      <c r="K2102" s="1" t="s">
        <v>386</v>
      </c>
    </row>
    <row r="2103" spans="1:11" x14ac:dyDescent="0.3">
      <c r="A2103" s="1">
        <v>91</v>
      </c>
      <c r="B2103" s="1">
        <v>2025</v>
      </c>
      <c r="C2103" s="3">
        <v>45702</v>
      </c>
      <c r="E2103" s="1" t="s">
        <v>63</v>
      </c>
      <c r="F2103" s="1" t="s">
        <v>40</v>
      </c>
      <c r="G2103" s="1" t="s">
        <v>405</v>
      </c>
      <c r="H2103" s="1" t="s">
        <v>401</v>
      </c>
      <c r="I2103" s="1" t="s">
        <v>401</v>
      </c>
      <c r="J2103" s="1" t="s">
        <v>572</v>
      </c>
      <c r="K2103" s="1" t="s">
        <v>403</v>
      </c>
    </row>
    <row r="2104" spans="1:11" x14ac:dyDescent="0.3">
      <c r="A2104" s="1">
        <v>91</v>
      </c>
      <c r="B2104" s="1">
        <v>2025</v>
      </c>
      <c r="C2104" s="3">
        <v>45702</v>
      </c>
      <c r="E2104" s="1" t="s">
        <v>64</v>
      </c>
      <c r="F2104" s="1" t="s">
        <v>40</v>
      </c>
      <c r="H2104" s="1" t="s">
        <v>408</v>
      </c>
      <c r="I2104" s="1" t="s">
        <v>573</v>
      </c>
      <c r="J2104" s="1" t="s">
        <v>425</v>
      </c>
      <c r="K2104" s="1" t="s">
        <v>425</v>
      </c>
    </row>
    <row r="2105" spans="1:11" x14ac:dyDescent="0.3">
      <c r="A2105" s="1">
        <v>91</v>
      </c>
      <c r="B2105" s="1">
        <v>2025</v>
      </c>
      <c r="C2105" s="3">
        <v>45702</v>
      </c>
      <c r="E2105" s="12" t="s">
        <v>66</v>
      </c>
      <c r="F2105" s="13" t="s">
        <v>45</v>
      </c>
    </row>
    <row r="2106" spans="1:11" x14ac:dyDescent="0.3">
      <c r="A2106" s="1">
        <v>91</v>
      </c>
      <c r="B2106" s="1">
        <v>2025</v>
      </c>
      <c r="C2106" s="3">
        <v>45702</v>
      </c>
      <c r="E2106" s="12" t="s">
        <v>67</v>
      </c>
      <c r="F2106" s="13" t="s">
        <v>45</v>
      </c>
    </row>
    <row r="2107" spans="1:11" x14ac:dyDescent="0.3">
      <c r="A2107" s="1">
        <v>91</v>
      </c>
      <c r="B2107" s="1">
        <v>2025</v>
      </c>
      <c r="C2107" s="3">
        <v>45702</v>
      </c>
      <c r="E2107" s="12" t="s">
        <v>68</v>
      </c>
      <c r="F2107" s="13" t="s">
        <v>45</v>
      </c>
    </row>
    <row r="2108" spans="1:11" x14ac:dyDescent="0.3">
      <c r="A2108" s="1">
        <v>91</v>
      </c>
      <c r="B2108" s="1">
        <v>2025</v>
      </c>
      <c r="C2108" s="3">
        <v>45702</v>
      </c>
      <c r="E2108" s="12" t="s">
        <v>69</v>
      </c>
      <c r="F2108" s="13" t="s">
        <v>45</v>
      </c>
    </row>
    <row r="2109" spans="1:11" x14ac:dyDescent="0.3">
      <c r="A2109" s="1">
        <v>91</v>
      </c>
      <c r="B2109" s="1">
        <v>2025</v>
      </c>
      <c r="C2109" s="3">
        <v>45702</v>
      </c>
      <c r="E2109" s="12" t="s">
        <v>70</v>
      </c>
      <c r="F2109" s="13" t="s">
        <v>71</v>
      </c>
    </row>
    <row r="2110" spans="1:11" x14ac:dyDescent="0.3">
      <c r="A2110" s="1">
        <v>92</v>
      </c>
      <c r="B2110" s="1">
        <v>2025</v>
      </c>
      <c r="C2110" s="3">
        <v>45709</v>
      </c>
      <c r="E2110" s="1" t="s">
        <v>12</v>
      </c>
      <c r="F2110" s="1" t="s">
        <v>13</v>
      </c>
      <c r="H2110" s="1" t="s">
        <v>357</v>
      </c>
      <c r="I2110" s="1" t="s">
        <v>358</v>
      </c>
      <c r="J2110" s="1" t="s">
        <v>359</v>
      </c>
      <c r="K2110" s="1" t="s">
        <v>359</v>
      </c>
    </row>
    <row r="2111" spans="1:11" x14ac:dyDescent="0.3">
      <c r="A2111" s="1">
        <v>92</v>
      </c>
      <c r="B2111" s="1">
        <v>2025</v>
      </c>
      <c r="C2111" s="3">
        <v>45709</v>
      </c>
      <c r="E2111" s="1" t="s">
        <v>14</v>
      </c>
      <c r="F2111" s="1" t="s">
        <v>13</v>
      </c>
      <c r="G2111" s="1" t="s">
        <v>472</v>
      </c>
      <c r="H2111" s="1" t="s">
        <v>360</v>
      </c>
      <c r="I2111" s="1" t="s">
        <v>472</v>
      </c>
      <c r="J2111" s="1" t="s">
        <v>543</v>
      </c>
      <c r="K2111" s="1" t="s">
        <v>472</v>
      </c>
    </row>
    <row r="2112" spans="1:11" x14ac:dyDescent="0.3">
      <c r="A2112" s="1">
        <v>92</v>
      </c>
      <c r="B2112" s="1">
        <v>2025</v>
      </c>
      <c r="C2112" s="3">
        <v>45709</v>
      </c>
      <c r="E2112" s="1" t="s">
        <v>15</v>
      </c>
      <c r="F2112" s="1" t="s">
        <v>13</v>
      </c>
      <c r="G2112" s="1" t="s">
        <v>357</v>
      </c>
      <c r="H2112" s="1" t="s">
        <v>397</v>
      </c>
      <c r="I2112" s="1" t="s">
        <v>358</v>
      </c>
      <c r="J2112" s="1" t="s">
        <v>450</v>
      </c>
      <c r="K2112" s="1" t="s">
        <v>357</v>
      </c>
    </row>
    <row r="2113" spans="1:11" x14ac:dyDescent="0.3">
      <c r="A2113" s="1">
        <v>92</v>
      </c>
      <c r="B2113" s="1">
        <v>2025</v>
      </c>
      <c r="C2113" s="3">
        <v>45709</v>
      </c>
      <c r="E2113" s="1" t="s">
        <v>16</v>
      </c>
      <c r="F2113" s="1" t="s">
        <v>13</v>
      </c>
      <c r="G2113" s="1" t="s">
        <v>362</v>
      </c>
      <c r="H2113" s="1" t="s">
        <v>362</v>
      </c>
      <c r="I2113" s="1" t="s">
        <v>358</v>
      </c>
      <c r="J2113" s="1" t="s">
        <v>571</v>
      </c>
      <c r="K2113" s="1" t="s">
        <v>362</v>
      </c>
    </row>
    <row r="2114" spans="1:11" x14ac:dyDescent="0.3">
      <c r="A2114" s="1">
        <v>92</v>
      </c>
      <c r="B2114" s="1">
        <v>2025</v>
      </c>
      <c r="C2114" s="3">
        <v>45709</v>
      </c>
      <c r="E2114" s="1" t="s">
        <v>17</v>
      </c>
      <c r="F2114" s="1" t="s">
        <v>13</v>
      </c>
      <c r="G2114" s="1" t="s">
        <v>362</v>
      </c>
      <c r="H2114" s="1" t="s">
        <v>362</v>
      </c>
      <c r="I2114" s="1" t="s">
        <v>358</v>
      </c>
      <c r="J2114" s="1" t="s">
        <v>571</v>
      </c>
      <c r="K2114" s="1" t="s">
        <v>362</v>
      </c>
    </row>
    <row r="2115" spans="1:11" x14ac:dyDescent="0.3">
      <c r="A2115" s="1">
        <v>92</v>
      </c>
      <c r="B2115" s="1">
        <v>2025</v>
      </c>
      <c r="C2115" s="3">
        <v>45709</v>
      </c>
      <c r="E2115" s="1" t="s">
        <v>18</v>
      </c>
      <c r="F2115" s="1" t="s">
        <v>13</v>
      </c>
      <c r="G2115" s="1" t="s">
        <v>358</v>
      </c>
      <c r="H2115" s="1" t="s">
        <v>358</v>
      </c>
      <c r="I2115" s="1" t="s">
        <v>358</v>
      </c>
      <c r="J2115" s="1" t="s">
        <v>358</v>
      </c>
      <c r="K2115" s="1" t="s">
        <v>358</v>
      </c>
    </row>
    <row r="2116" spans="1:11" x14ac:dyDescent="0.3">
      <c r="A2116" s="1">
        <v>92</v>
      </c>
      <c r="B2116" s="1">
        <v>2025</v>
      </c>
      <c r="C2116" s="3">
        <v>45709</v>
      </c>
      <c r="E2116" s="1" t="s">
        <v>19</v>
      </c>
      <c r="F2116" s="1" t="s">
        <v>13</v>
      </c>
      <c r="G2116" s="1" t="s">
        <v>472</v>
      </c>
      <c r="H2116" s="1" t="s">
        <v>472</v>
      </c>
      <c r="I2116" s="1" t="s">
        <v>566</v>
      </c>
      <c r="J2116" s="1" t="s">
        <v>415</v>
      </c>
      <c r="K2116" s="1" t="s">
        <v>472</v>
      </c>
    </row>
    <row r="2117" spans="1:11" x14ac:dyDescent="0.3">
      <c r="A2117" s="1">
        <v>92</v>
      </c>
      <c r="B2117" s="1">
        <v>2025</v>
      </c>
      <c r="C2117" s="3">
        <v>45709</v>
      </c>
      <c r="E2117" s="1" t="s">
        <v>20</v>
      </c>
      <c r="F2117" s="1" t="s">
        <v>13</v>
      </c>
      <c r="G2117" s="1" t="s">
        <v>361</v>
      </c>
      <c r="H2117" s="1" t="s">
        <v>472</v>
      </c>
      <c r="I2117" s="1" t="s">
        <v>472</v>
      </c>
      <c r="J2117" s="1" t="s">
        <v>531</v>
      </c>
      <c r="K2117" s="1" t="s">
        <v>556</v>
      </c>
    </row>
    <row r="2118" spans="1:11" x14ac:dyDescent="0.3">
      <c r="A2118" s="1">
        <v>92</v>
      </c>
      <c r="B2118" s="1">
        <v>2025</v>
      </c>
      <c r="C2118" s="3">
        <v>45709</v>
      </c>
      <c r="E2118" s="1" t="s">
        <v>21</v>
      </c>
      <c r="F2118" s="1" t="s">
        <v>13</v>
      </c>
      <c r="G2118" s="1" t="s">
        <v>362</v>
      </c>
      <c r="H2118" s="1" t="s">
        <v>362</v>
      </c>
      <c r="I2118" s="1" t="s">
        <v>430</v>
      </c>
      <c r="J2118" s="1" t="s">
        <v>455</v>
      </c>
      <c r="K2118" s="1" t="s">
        <v>362</v>
      </c>
    </row>
    <row r="2119" spans="1:11" x14ac:dyDescent="0.3">
      <c r="A2119" s="1">
        <v>92</v>
      </c>
      <c r="B2119" s="1">
        <v>2025</v>
      </c>
      <c r="C2119" s="3">
        <v>45709</v>
      </c>
      <c r="E2119" s="1" t="s">
        <v>73</v>
      </c>
      <c r="F2119" s="1" t="s">
        <v>13</v>
      </c>
      <c r="H2119" s="1" t="s">
        <v>358</v>
      </c>
      <c r="I2119" s="1" t="s">
        <v>401</v>
      </c>
      <c r="J2119" s="1" t="s">
        <v>543</v>
      </c>
      <c r="K2119" s="1" t="s">
        <v>361</v>
      </c>
    </row>
    <row r="2120" spans="1:11" x14ac:dyDescent="0.3">
      <c r="A2120" s="1">
        <v>92</v>
      </c>
      <c r="B2120" s="1">
        <v>2025</v>
      </c>
      <c r="C2120" s="3">
        <v>45709</v>
      </c>
      <c r="E2120" s="1" t="s">
        <v>23</v>
      </c>
      <c r="F2120" s="1" t="s">
        <v>13</v>
      </c>
      <c r="G2120" s="1" t="s">
        <v>362</v>
      </c>
      <c r="H2120" s="1" t="s">
        <v>362</v>
      </c>
      <c r="I2120" s="1" t="s">
        <v>358</v>
      </c>
      <c r="J2120" s="1" t="s">
        <v>571</v>
      </c>
      <c r="K2120" s="1" t="s">
        <v>362</v>
      </c>
    </row>
    <row r="2121" spans="1:11" x14ac:dyDescent="0.3">
      <c r="A2121" s="1">
        <v>92</v>
      </c>
      <c r="B2121" s="1">
        <v>2025</v>
      </c>
      <c r="C2121" s="3">
        <v>45709</v>
      </c>
      <c r="E2121" s="1" t="s">
        <v>24</v>
      </c>
      <c r="F2121" s="1" t="s">
        <v>13</v>
      </c>
      <c r="G2121" s="1" t="s">
        <v>358</v>
      </c>
      <c r="H2121" s="1" t="s">
        <v>358</v>
      </c>
      <c r="I2121" s="1" t="s">
        <v>361</v>
      </c>
      <c r="J2121" s="1" t="s">
        <v>429</v>
      </c>
      <c r="K2121" s="1" t="s">
        <v>358</v>
      </c>
    </row>
    <row r="2122" spans="1:11" x14ac:dyDescent="0.3">
      <c r="A2122" s="1">
        <v>92</v>
      </c>
      <c r="B2122" s="1">
        <v>2025</v>
      </c>
      <c r="C2122" s="3">
        <v>45709</v>
      </c>
      <c r="E2122" s="1" t="s">
        <v>25</v>
      </c>
      <c r="F2122" s="1" t="s">
        <v>26</v>
      </c>
      <c r="G2122" s="1" t="s">
        <v>358</v>
      </c>
      <c r="H2122" s="1" t="s">
        <v>358</v>
      </c>
      <c r="I2122" s="1" t="s">
        <v>358</v>
      </c>
      <c r="J2122" s="1" t="s">
        <v>358</v>
      </c>
      <c r="K2122" s="1" t="s">
        <v>358</v>
      </c>
    </row>
    <row r="2123" spans="1:11" x14ac:dyDescent="0.3">
      <c r="A2123" s="1">
        <v>92</v>
      </c>
      <c r="B2123" s="1">
        <v>2025</v>
      </c>
      <c r="C2123" s="3">
        <v>45709</v>
      </c>
      <c r="E2123" s="1" t="s">
        <v>27</v>
      </c>
      <c r="F2123" s="1" t="s">
        <v>13</v>
      </c>
      <c r="H2123" s="1" t="s">
        <v>357</v>
      </c>
      <c r="I2123" s="1" t="s">
        <v>361</v>
      </c>
      <c r="J2123" s="1" t="s">
        <v>574</v>
      </c>
      <c r="K2123" s="1" t="s">
        <v>396</v>
      </c>
    </row>
    <row r="2124" spans="1:11" x14ac:dyDescent="0.3">
      <c r="A2124" s="1">
        <v>92</v>
      </c>
      <c r="B2124" s="1">
        <v>2025</v>
      </c>
      <c r="C2124" s="3">
        <v>45709</v>
      </c>
      <c r="E2124" s="1" t="s">
        <v>28</v>
      </c>
      <c r="F2124" s="1" t="s">
        <v>13</v>
      </c>
      <c r="G2124" s="1" t="s">
        <v>358</v>
      </c>
      <c r="H2124" s="1" t="s">
        <v>390</v>
      </c>
      <c r="I2124" s="1" t="s">
        <v>358</v>
      </c>
      <c r="J2124" s="1" t="s">
        <v>551</v>
      </c>
      <c r="K2124" s="1" t="s">
        <v>396</v>
      </c>
    </row>
    <row r="2125" spans="1:11" x14ac:dyDescent="0.3">
      <c r="A2125" s="1">
        <v>92</v>
      </c>
      <c r="B2125" s="1">
        <v>2025</v>
      </c>
      <c r="C2125" s="3">
        <v>45709</v>
      </c>
      <c r="E2125" s="1" t="s">
        <v>29</v>
      </c>
      <c r="F2125" s="1" t="s">
        <v>13</v>
      </c>
      <c r="G2125" s="1" t="s">
        <v>358</v>
      </c>
      <c r="H2125" s="1" t="s">
        <v>359</v>
      </c>
      <c r="I2125" s="1" t="s">
        <v>360</v>
      </c>
      <c r="J2125" s="1" t="s">
        <v>456</v>
      </c>
      <c r="K2125" s="1" t="s">
        <v>358</v>
      </c>
    </row>
    <row r="2126" spans="1:11" x14ac:dyDescent="0.3">
      <c r="A2126" s="1">
        <v>92</v>
      </c>
      <c r="B2126" s="1">
        <v>2025</v>
      </c>
      <c r="C2126" s="3">
        <v>45709</v>
      </c>
      <c r="E2126" s="1" t="s">
        <v>31</v>
      </c>
      <c r="F2126" s="1" t="s">
        <v>32</v>
      </c>
      <c r="G2126" s="1" t="s">
        <v>378</v>
      </c>
      <c r="H2126" s="1" t="s">
        <v>378</v>
      </c>
      <c r="I2126" s="1" t="s">
        <v>378</v>
      </c>
      <c r="J2126" s="1" t="s">
        <v>378</v>
      </c>
      <c r="K2126" s="1" t="s">
        <v>378</v>
      </c>
    </row>
    <row r="2127" spans="1:11" x14ac:dyDescent="0.3">
      <c r="A2127" s="1">
        <v>92</v>
      </c>
      <c r="B2127" s="1">
        <v>2025</v>
      </c>
      <c r="C2127" s="3">
        <v>45709</v>
      </c>
      <c r="E2127" s="1" t="s">
        <v>34</v>
      </c>
      <c r="F2127" s="1" t="s">
        <v>35</v>
      </c>
      <c r="G2127" s="1" t="s">
        <v>390</v>
      </c>
      <c r="H2127" s="1" t="s">
        <v>397</v>
      </c>
      <c r="I2127" s="1" t="s">
        <v>357</v>
      </c>
      <c r="J2127" s="1" t="s">
        <v>575</v>
      </c>
      <c r="K2127" s="1" t="s">
        <v>390</v>
      </c>
    </row>
    <row r="2128" spans="1:11" x14ac:dyDescent="0.3">
      <c r="A2128" s="1">
        <v>92</v>
      </c>
      <c r="B2128" s="1">
        <v>2025</v>
      </c>
      <c r="C2128" s="3">
        <v>45709</v>
      </c>
      <c r="E2128" s="1" t="s">
        <v>36</v>
      </c>
      <c r="F2128" s="1" t="s">
        <v>35</v>
      </c>
      <c r="G2128" s="1" t="s">
        <v>362</v>
      </c>
      <c r="H2128" s="1" t="s">
        <v>362</v>
      </c>
      <c r="I2128" s="1" t="s">
        <v>390</v>
      </c>
      <c r="J2128" s="1" t="s">
        <v>529</v>
      </c>
      <c r="K2128" s="1" t="s">
        <v>388</v>
      </c>
    </row>
    <row r="2129" spans="1:11" x14ac:dyDescent="0.3">
      <c r="A2129" s="1">
        <v>92</v>
      </c>
      <c r="B2129" s="1">
        <v>2025</v>
      </c>
      <c r="C2129" s="3">
        <v>45709</v>
      </c>
      <c r="E2129" s="1" t="s">
        <v>153</v>
      </c>
      <c r="F2129" s="1" t="s">
        <v>154</v>
      </c>
      <c r="H2129" s="1" t="s">
        <v>396</v>
      </c>
      <c r="I2129" s="1" t="s">
        <v>358</v>
      </c>
      <c r="J2129" s="1" t="s">
        <v>399</v>
      </c>
      <c r="K2129" s="1" t="s">
        <v>399</v>
      </c>
    </row>
    <row r="2130" spans="1:11" x14ac:dyDescent="0.3">
      <c r="A2130" s="1">
        <v>92</v>
      </c>
      <c r="B2130" s="1">
        <v>2025</v>
      </c>
      <c r="C2130" s="3">
        <v>45709</v>
      </c>
      <c r="E2130" s="1" t="s">
        <v>39</v>
      </c>
      <c r="F2130" s="1" t="s">
        <v>40</v>
      </c>
      <c r="G2130" s="1" t="s">
        <v>370</v>
      </c>
      <c r="H2130" s="1" t="s">
        <v>370</v>
      </c>
      <c r="I2130" s="1" t="s">
        <v>370</v>
      </c>
      <c r="J2130" s="1" t="s">
        <v>370</v>
      </c>
      <c r="K2130" s="1" t="s">
        <v>370</v>
      </c>
    </row>
    <row r="2131" spans="1:11" x14ac:dyDescent="0.3">
      <c r="A2131" s="1">
        <v>92</v>
      </c>
      <c r="B2131" s="1">
        <v>2025</v>
      </c>
      <c r="C2131" s="3">
        <v>45709</v>
      </c>
      <c r="E2131" s="1" t="s">
        <v>42</v>
      </c>
      <c r="F2131" s="1" t="s">
        <v>43</v>
      </c>
      <c r="H2131" s="1" t="s">
        <v>390</v>
      </c>
      <c r="I2131" s="1" t="s">
        <v>394</v>
      </c>
      <c r="J2131" s="1" t="s">
        <v>396</v>
      </c>
      <c r="K2131" s="1" t="s">
        <v>396</v>
      </c>
    </row>
    <row r="2132" spans="1:11" x14ac:dyDescent="0.3">
      <c r="A2132" s="1">
        <v>92</v>
      </c>
      <c r="B2132" s="1">
        <v>2025</v>
      </c>
      <c r="C2132" s="3">
        <v>45709</v>
      </c>
      <c r="E2132" s="1" t="s">
        <v>44</v>
      </c>
      <c r="F2132" s="1" t="s">
        <v>45</v>
      </c>
      <c r="G2132" s="1" t="s">
        <v>393</v>
      </c>
      <c r="H2132" s="1" t="s">
        <v>393</v>
      </c>
      <c r="I2132" s="1" t="s">
        <v>396</v>
      </c>
      <c r="J2132" s="1" t="s">
        <v>498</v>
      </c>
      <c r="K2132" s="1" t="s">
        <v>393</v>
      </c>
    </row>
    <row r="2133" spans="1:11" x14ac:dyDescent="0.3">
      <c r="A2133" s="1">
        <v>92</v>
      </c>
      <c r="B2133" s="1">
        <v>2025</v>
      </c>
      <c r="C2133" s="3">
        <v>45709</v>
      </c>
      <c r="E2133" s="1" t="s">
        <v>48</v>
      </c>
      <c r="F2133" s="1" t="s">
        <v>45</v>
      </c>
      <c r="H2133" s="1" t="s">
        <v>386</v>
      </c>
      <c r="I2133" s="1" t="s">
        <v>386</v>
      </c>
      <c r="J2133" s="1" t="s">
        <v>386</v>
      </c>
      <c r="K2133" s="1" t="s">
        <v>386</v>
      </c>
    </row>
    <row r="2134" spans="1:11" x14ac:dyDescent="0.3">
      <c r="A2134" s="1">
        <v>92</v>
      </c>
      <c r="B2134" s="1">
        <v>2025</v>
      </c>
      <c r="C2134" s="3">
        <v>45709</v>
      </c>
      <c r="E2134" s="1" t="s">
        <v>49</v>
      </c>
      <c r="F2134" s="1" t="s">
        <v>50</v>
      </c>
      <c r="G2134" s="1" t="s">
        <v>396</v>
      </c>
      <c r="H2134" s="1" t="s">
        <v>358</v>
      </c>
      <c r="I2134" s="1" t="s">
        <v>394</v>
      </c>
      <c r="J2134" s="1" t="s">
        <v>358</v>
      </c>
      <c r="K2134" s="1" t="s">
        <v>358</v>
      </c>
    </row>
    <row r="2135" spans="1:11" x14ac:dyDescent="0.3">
      <c r="A2135" s="1">
        <v>92</v>
      </c>
      <c r="B2135" s="1">
        <v>2025</v>
      </c>
      <c r="C2135" s="3">
        <v>45709</v>
      </c>
      <c r="E2135" s="1" t="s">
        <v>52</v>
      </c>
      <c r="F2135" s="1" t="s">
        <v>43</v>
      </c>
      <c r="G2135" s="1" t="s">
        <v>370</v>
      </c>
      <c r="H2135" s="1" t="s">
        <v>370</v>
      </c>
      <c r="I2135" s="1" t="s">
        <v>446</v>
      </c>
      <c r="J2135" s="1" t="s">
        <v>576</v>
      </c>
      <c r="K2135" s="1" t="s">
        <v>370</v>
      </c>
    </row>
    <row r="2136" spans="1:11" x14ac:dyDescent="0.3">
      <c r="A2136" s="1">
        <v>92</v>
      </c>
      <c r="B2136" s="1">
        <v>2025</v>
      </c>
      <c r="C2136" s="3">
        <v>45709</v>
      </c>
      <c r="E2136" s="1" t="s">
        <v>53</v>
      </c>
      <c r="F2136" s="1" t="s">
        <v>43</v>
      </c>
      <c r="G2136" s="1" t="s">
        <v>370</v>
      </c>
      <c r="H2136" s="1" t="s">
        <v>370</v>
      </c>
      <c r="I2136" s="1" t="s">
        <v>405</v>
      </c>
      <c r="J2136" s="1" t="s">
        <v>387</v>
      </c>
      <c r="K2136" s="1" t="s">
        <v>385</v>
      </c>
    </row>
    <row r="2137" spans="1:11" x14ac:dyDescent="0.3">
      <c r="A2137" s="1">
        <v>92</v>
      </c>
      <c r="B2137" s="1">
        <v>2025</v>
      </c>
      <c r="C2137" s="3">
        <v>45709</v>
      </c>
      <c r="E2137" s="1" t="s">
        <v>54</v>
      </c>
      <c r="F2137" s="1" t="s">
        <v>40</v>
      </c>
      <c r="G2137" s="1" t="s">
        <v>358</v>
      </c>
      <c r="H2137" s="1" t="s">
        <v>386</v>
      </c>
      <c r="I2137" s="1" t="s">
        <v>386</v>
      </c>
      <c r="J2137" s="1" t="s">
        <v>570</v>
      </c>
      <c r="K2137" s="1" t="s">
        <v>386</v>
      </c>
    </row>
    <row r="2138" spans="1:11" x14ac:dyDescent="0.3">
      <c r="A2138" s="1">
        <v>92</v>
      </c>
      <c r="B2138" s="1">
        <v>2025</v>
      </c>
      <c r="C2138" s="3">
        <v>45709</v>
      </c>
      <c r="E2138" s="1" t="s">
        <v>56</v>
      </c>
      <c r="F2138" s="1" t="s">
        <v>43</v>
      </c>
      <c r="H2138" s="1" t="s">
        <v>385</v>
      </c>
      <c r="I2138" s="1" t="s">
        <v>385</v>
      </c>
      <c r="J2138" s="1" t="s">
        <v>385</v>
      </c>
      <c r="K2138" s="1" t="s">
        <v>385</v>
      </c>
    </row>
    <row r="2139" spans="1:11" x14ac:dyDescent="0.3">
      <c r="A2139" s="1">
        <v>92</v>
      </c>
      <c r="B2139" s="1">
        <v>2025</v>
      </c>
      <c r="C2139" s="3">
        <v>45709</v>
      </c>
      <c r="E2139" s="1" t="s">
        <v>57</v>
      </c>
      <c r="F2139" s="1" t="s">
        <v>40</v>
      </c>
      <c r="H2139" s="1" t="s">
        <v>358</v>
      </c>
      <c r="I2139" s="1" t="s">
        <v>370</v>
      </c>
      <c r="J2139" s="1" t="s">
        <v>394</v>
      </c>
      <c r="K2139" s="1" t="s">
        <v>394</v>
      </c>
    </row>
    <row r="2140" spans="1:11" x14ac:dyDescent="0.3">
      <c r="A2140" s="1">
        <v>92</v>
      </c>
      <c r="B2140" s="1">
        <v>2025</v>
      </c>
      <c r="C2140" s="3">
        <v>45709</v>
      </c>
      <c r="E2140" s="1" t="s">
        <v>58</v>
      </c>
      <c r="F2140" s="1" t="s">
        <v>40</v>
      </c>
      <c r="G2140" s="1" t="s">
        <v>386</v>
      </c>
      <c r="H2140" s="1" t="s">
        <v>386</v>
      </c>
      <c r="I2140" s="1" t="s">
        <v>562</v>
      </c>
      <c r="J2140" s="1" t="s">
        <v>552</v>
      </c>
      <c r="K2140" s="1" t="s">
        <v>412</v>
      </c>
    </row>
    <row r="2141" spans="1:11" x14ac:dyDescent="0.3">
      <c r="A2141" s="1">
        <v>92</v>
      </c>
      <c r="B2141" s="1">
        <v>2025</v>
      </c>
      <c r="C2141" s="3">
        <v>45709</v>
      </c>
      <c r="E2141" s="1" t="s">
        <v>59</v>
      </c>
      <c r="F2141" s="1" t="s">
        <v>45</v>
      </c>
      <c r="G2141" s="1" t="s">
        <v>382</v>
      </c>
      <c r="H2141" s="1" t="s">
        <v>362</v>
      </c>
      <c r="I2141" s="1" t="s">
        <v>385</v>
      </c>
      <c r="J2141" s="1" t="s">
        <v>577</v>
      </c>
      <c r="K2141" s="1" t="s">
        <v>362</v>
      </c>
    </row>
    <row r="2142" spans="1:11" x14ac:dyDescent="0.3">
      <c r="A2142" s="1">
        <v>92</v>
      </c>
      <c r="B2142" s="1">
        <v>2025</v>
      </c>
      <c r="C2142" s="3">
        <v>45709</v>
      </c>
      <c r="E2142" s="1" t="s">
        <v>60</v>
      </c>
      <c r="F2142" s="1" t="s">
        <v>61</v>
      </c>
      <c r="H2142" s="1" t="s">
        <v>394</v>
      </c>
      <c r="I2142" s="1" t="s">
        <v>415</v>
      </c>
      <c r="J2142" s="1" t="s">
        <v>578</v>
      </c>
      <c r="K2142" s="1" t="s">
        <v>385</v>
      </c>
    </row>
    <row r="2143" spans="1:11" x14ac:dyDescent="0.3">
      <c r="A2143" s="1">
        <v>92</v>
      </c>
      <c r="B2143" s="1">
        <v>2025</v>
      </c>
      <c r="C2143" s="3">
        <v>45709</v>
      </c>
      <c r="E2143" s="1" t="s">
        <v>63</v>
      </c>
      <c r="F2143" s="1" t="s">
        <v>40</v>
      </c>
      <c r="H2143" s="1" t="s">
        <v>370</v>
      </c>
      <c r="I2143" s="1" t="s">
        <v>403</v>
      </c>
      <c r="J2143" s="1" t="s">
        <v>530</v>
      </c>
      <c r="K2143" s="1" t="s">
        <v>561</v>
      </c>
    </row>
    <row r="2144" spans="1:11" x14ac:dyDescent="0.3">
      <c r="A2144" s="1">
        <v>92</v>
      </c>
      <c r="B2144" s="1">
        <v>2025</v>
      </c>
      <c r="C2144" s="3">
        <v>45709</v>
      </c>
      <c r="E2144" s="1" t="s">
        <v>64</v>
      </c>
      <c r="F2144" s="1" t="s">
        <v>40</v>
      </c>
      <c r="H2144" s="1" t="s">
        <v>370</v>
      </c>
      <c r="I2144" s="1" t="s">
        <v>499</v>
      </c>
      <c r="J2144" s="1" t="s">
        <v>403</v>
      </c>
      <c r="K2144" s="1" t="s">
        <v>401</v>
      </c>
    </row>
    <row r="2145" spans="1:11" x14ac:dyDescent="0.3">
      <c r="A2145" s="1">
        <v>92</v>
      </c>
      <c r="B2145" s="1">
        <v>2025</v>
      </c>
      <c r="C2145" s="3">
        <v>45709</v>
      </c>
      <c r="E2145" s="12" t="s">
        <v>66</v>
      </c>
      <c r="F2145" s="13" t="s">
        <v>45</v>
      </c>
    </row>
    <row r="2146" spans="1:11" x14ac:dyDescent="0.3">
      <c r="A2146" s="1">
        <v>92</v>
      </c>
      <c r="B2146" s="1">
        <v>2025</v>
      </c>
      <c r="C2146" s="3">
        <v>45709</v>
      </c>
      <c r="E2146" s="12" t="s">
        <v>67</v>
      </c>
      <c r="F2146" s="13" t="s">
        <v>45</v>
      </c>
    </row>
    <row r="2147" spans="1:11" x14ac:dyDescent="0.3">
      <c r="A2147" s="1">
        <v>92</v>
      </c>
      <c r="B2147" s="1">
        <v>2025</v>
      </c>
      <c r="C2147" s="3">
        <v>45709</v>
      </c>
      <c r="E2147" s="12" t="s">
        <v>68</v>
      </c>
      <c r="F2147" s="13" t="s">
        <v>45</v>
      </c>
    </row>
    <row r="2148" spans="1:11" x14ac:dyDescent="0.3">
      <c r="A2148" s="1">
        <v>92</v>
      </c>
      <c r="B2148" s="1">
        <v>2025</v>
      </c>
      <c r="C2148" s="3">
        <v>45709</v>
      </c>
      <c r="E2148" s="12" t="s">
        <v>69</v>
      </c>
      <c r="F2148" s="13" t="s">
        <v>45</v>
      </c>
    </row>
    <row r="2149" spans="1:11" x14ac:dyDescent="0.3">
      <c r="A2149" s="1">
        <v>92</v>
      </c>
      <c r="B2149" s="1">
        <v>2025</v>
      </c>
      <c r="C2149" s="3">
        <v>45709</v>
      </c>
      <c r="E2149" s="12" t="s">
        <v>70</v>
      </c>
      <c r="F2149" s="13" t="s">
        <v>71</v>
      </c>
    </row>
    <row r="2150" spans="1:11" x14ac:dyDescent="0.3">
      <c r="A2150" s="1">
        <v>93</v>
      </c>
      <c r="B2150" s="1">
        <v>2025</v>
      </c>
      <c r="C2150" s="3">
        <v>45716</v>
      </c>
      <c r="E2150" s="1" t="s">
        <v>12</v>
      </c>
      <c r="F2150" s="1" t="s">
        <v>13</v>
      </c>
      <c r="G2150" s="1" t="s">
        <v>358</v>
      </c>
      <c r="H2150" s="1" t="s">
        <v>358</v>
      </c>
      <c r="I2150" s="1" t="s">
        <v>358</v>
      </c>
      <c r="J2150" s="1" t="s">
        <v>358</v>
      </c>
      <c r="K2150" s="1" t="s">
        <v>358</v>
      </c>
    </row>
    <row r="2151" spans="1:11" x14ac:dyDescent="0.3">
      <c r="A2151" s="1">
        <v>93</v>
      </c>
      <c r="B2151" s="1">
        <v>2025</v>
      </c>
      <c r="C2151" s="3">
        <v>45716</v>
      </c>
      <c r="E2151" s="1" t="s">
        <v>14</v>
      </c>
      <c r="F2151" s="1" t="s">
        <v>13</v>
      </c>
      <c r="G2151" s="1" t="s">
        <v>472</v>
      </c>
      <c r="H2151" s="1" t="s">
        <v>358</v>
      </c>
      <c r="I2151" s="1" t="s">
        <v>472</v>
      </c>
      <c r="J2151" s="1" t="s">
        <v>361</v>
      </c>
      <c r="K2151" s="1" t="s">
        <v>472</v>
      </c>
    </row>
    <row r="2152" spans="1:11" x14ac:dyDescent="0.3">
      <c r="A2152" s="1">
        <v>93</v>
      </c>
      <c r="B2152" s="1">
        <v>2025</v>
      </c>
      <c r="C2152" s="3">
        <v>45716</v>
      </c>
      <c r="E2152" s="1" t="s">
        <v>15</v>
      </c>
      <c r="F2152" s="1" t="s">
        <v>13</v>
      </c>
      <c r="G2152" s="1" t="s">
        <v>357</v>
      </c>
      <c r="H2152" s="1" t="s">
        <v>357</v>
      </c>
      <c r="I2152" s="1" t="s">
        <v>359</v>
      </c>
      <c r="J2152" s="1" t="s">
        <v>393</v>
      </c>
      <c r="K2152" s="1" t="s">
        <v>357</v>
      </c>
    </row>
    <row r="2153" spans="1:11" x14ac:dyDescent="0.3">
      <c r="A2153" s="1">
        <v>93</v>
      </c>
      <c r="B2153" s="1">
        <v>2025</v>
      </c>
      <c r="C2153" s="3">
        <v>45716</v>
      </c>
      <c r="E2153" s="1" t="s">
        <v>16</v>
      </c>
      <c r="F2153" s="1" t="s">
        <v>13</v>
      </c>
      <c r="G2153" s="1" t="s">
        <v>362</v>
      </c>
      <c r="H2153" s="1" t="s">
        <v>362</v>
      </c>
      <c r="I2153" s="1" t="s">
        <v>362</v>
      </c>
      <c r="J2153" s="1" t="s">
        <v>362</v>
      </c>
      <c r="K2153" s="1" t="s">
        <v>362</v>
      </c>
    </row>
    <row r="2154" spans="1:11" x14ac:dyDescent="0.3">
      <c r="A2154" s="1">
        <v>93</v>
      </c>
      <c r="B2154" s="1">
        <v>2025</v>
      </c>
      <c r="C2154" s="3">
        <v>45716</v>
      </c>
      <c r="E2154" s="1" t="s">
        <v>17</v>
      </c>
      <c r="F2154" s="1" t="s">
        <v>13</v>
      </c>
      <c r="G2154" s="1" t="s">
        <v>362</v>
      </c>
      <c r="H2154" s="1" t="s">
        <v>362</v>
      </c>
      <c r="I2154" s="1" t="s">
        <v>362</v>
      </c>
      <c r="J2154" s="1" t="s">
        <v>362</v>
      </c>
      <c r="K2154" s="1" t="s">
        <v>362</v>
      </c>
    </row>
    <row r="2155" spans="1:11" x14ac:dyDescent="0.3">
      <c r="A2155" s="1">
        <v>93</v>
      </c>
      <c r="B2155" s="1">
        <v>2025</v>
      </c>
      <c r="C2155" s="3">
        <v>45716</v>
      </c>
      <c r="E2155" s="1" t="s">
        <v>18</v>
      </c>
      <c r="F2155" s="1" t="s">
        <v>13</v>
      </c>
      <c r="G2155" s="1" t="s">
        <v>360</v>
      </c>
      <c r="H2155" s="1" t="s">
        <v>358</v>
      </c>
      <c r="I2155" s="1" t="s">
        <v>360</v>
      </c>
      <c r="J2155" s="1" t="s">
        <v>429</v>
      </c>
      <c r="K2155" s="1" t="s">
        <v>360</v>
      </c>
    </row>
    <row r="2156" spans="1:11" x14ac:dyDescent="0.3">
      <c r="A2156" s="1">
        <v>93</v>
      </c>
      <c r="B2156" s="1">
        <v>2025</v>
      </c>
      <c r="C2156" s="3">
        <v>45716</v>
      </c>
      <c r="E2156" s="1" t="s">
        <v>19</v>
      </c>
      <c r="F2156" s="1" t="s">
        <v>13</v>
      </c>
      <c r="H2156" s="1" t="s">
        <v>412</v>
      </c>
      <c r="I2156" s="1" t="s">
        <v>566</v>
      </c>
      <c r="J2156" s="1" t="s">
        <v>579</v>
      </c>
      <c r="K2156" s="1" t="s">
        <v>472</v>
      </c>
    </row>
    <row r="2157" spans="1:11" x14ac:dyDescent="0.3">
      <c r="A2157" s="1">
        <v>93</v>
      </c>
      <c r="B2157" s="1">
        <v>2025</v>
      </c>
      <c r="C2157" s="3">
        <v>45716</v>
      </c>
      <c r="E2157" s="1" t="s">
        <v>20</v>
      </c>
      <c r="F2157" s="1" t="s">
        <v>13</v>
      </c>
      <c r="H2157" s="1" t="s">
        <v>361</v>
      </c>
      <c r="I2157" s="1" t="s">
        <v>568</v>
      </c>
      <c r="J2157" s="1" t="s">
        <v>580</v>
      </c>
      <c r="K2157" s="1" t="s">
        <v>415</v>
      </c>
    </row>
    <row r="2158" spans="1:11" x14ac:dyDescent="0.3">
      <c r="A2158" s="1">
        <v>93</v>
      </c>
      <c r="B2158" s="1">
        <v>2025</v>
      </c>
      <c r="C2158" s="3">
        <v>45716</v>
      </c>
      <c r="E2158" s="1" t="s">
        <v>21</v>
      </c>
      <c r="F2158" s="1" t="s">
        <v>13</v>
      </c>
      <c r="H2158" s="1" t="s">
        <v>362</v>
      </c>
      <c r="I2158" s="1" t="s">
        <v>430</v>
      </c>
      <c r="J2158" s="1" t="s">
        <v>581</v>
      </c>
      <c r="K2158" s="1" t="s">
        <v>582</v>
      </c>
    </row>
    <row r="2159" spans="1:11" x14ac:dyDescent="0.3">
      <c r="A2159" s="1">
        <v>93</v>
      </c>
      <c r="B2159" s="1">
        <v>2025</v>
      </c>
      <c r="C2159" s="3">
        <v>45716</v>
      </c>
      <c r="E2159" s="1" t="s">
        <v>73</v>
      </c>
      <c r="F2159" s="1" t="s">
        <v>13</v>
      </c>
      <c r="H2159" s="1" t="s">
        <v>446</v>
      </c>
      <c r="I2159" s="1" t="s">
        <v>401</v>
      </c>
      <c r="J2159" s="1" t="s">
        <v>583</v>
      </c>
      <c r="K2159" s="1" t="s">
        <v>566</v>
      </c>
    </row>
    <row r="2160" spans="1:11" x14ac:dyDescent="0.3">
      <c r="A2160" s="1">
        <v>93</v>
      </c>
      <c r="B2160" s="1">
        <v>2025</v>
      </c>
      <c r="C2160" s="3">
        <v>45716</v>
      </c>
      <c r="E2160" s="1" t="s">
        <v>23</v>
      </c>
      <c r="F2160" s="1" t="s">
        <v>13</v>
      </c>
      <c r="G2160" s="1" t="s">
        <v>362</v>
      </c>
      <c r="H2160" s="1" t="s">
        <v>362</v>
      </c>
      <c r="I2160" s="1" t="s">
        <v>362</v>
      </c>
      <c r="J2160" s="1" t="s">
        <v>362</v>
      </c>
      <c r="K2160" s="1" t="s">
        <v>362</v>
      </c>
    </row>
    <row r="2161" spans="1:11" x14ac:dyDescent="0.3">
      <c r="A2161" s="1">
        <v>93</v>
      </c>
      <c r="B2161" s="1">
        <v>2025</v>
      </c>
      <c r="C2161" s="3">
        <v>45716</v>
      </c>
      <c r="E2161" s="1" t="s">
        <v>24</v>
      </c>
      <c r="F2161" s="1" t="s">
        <v>13</v>
      </c>
      <c r="G2161" s="1" t="s">
        <v>370</v>
      </c>
      <c r="H2161" s="1" t="s">
        <v>358</v>
      </c>
      <c r="I2161" s="1" t="s">
        <v>370</v>
      </c>
      <c r="J2161" s="1" t="s">
        <v>528</v>
      </c>
      <c r="K2161" s="1" t="s">
        <v>370</v>
      </c>
    </row>
    <row r="2162" spans="1:11" x14ac:dyDescent="0.3">
      <c r="A2162" s="1">
        <v>93</v>
      </c>
      <c r="B2162" s="1">
        <v>2025</v>
      </c>
      <c r="C2162" s="3">
        <v>45716</v>
      </c>
      <c r="E2162" s="1" t="s">
        <v>25</v>
      </c>
      <c r="F2162" s="1" t="s">
        <v>26</v>
      </c>
      <c r="G2162" s="1" t="s">
        <v>358</v>
      </c>
      <c r="H2162" s="1" t="s">
        <v>358</v>
      </c>
      <c r="I2162" s="1" t="s">
        <v>358</v>
      </c>
      <c r="J2162" s="1" t="s">
        <v>358</v>
      </c>
      <c r="K2162" s="1" t="s">
        <v>358</v>
      </c>
    </row>
    <row r="2163" spans="1:11" x14ac:dyDescent="0.3">
      <c r="A2163" s="1">
        <v>93</v>
      </c>
      <c r="B2163" s="1">
        <v>2025</v>
      </c>
      <c r="C2163" s="3">
        <v>45716</v>
      </c>
      <c r="E2163" s="1" t="s">
        <v>27</v>
      </c>
      <c r="F2163" s="1" t="s">
        <v>13</v>
      </c>
      <c r="G2163" s="1" t="s">
        <v>361</v>
      </c>
      <c r="H2163" s="1" t="s">
        <v>361</v>
      </c>
      <c r="I2163" s="1" t="s">
        <v>584</v>
      </c>
      <c r="J2163" s="1" t="s">
        <v>585</v>
      </c>
      <c r="K2163" s="1" t="s">
        <v>361</v>
      </c>
    </row>
    <row r="2164" spans="1:11" x14ac:dyDescent="0.3">
      <c r="A2164" s="1">
        <v>93</v>
      </c>
      <c r="B2164" s="1">
        <v>2025</v>
      </c>
      <c r="C2164" s="3">
        <v>45716</v>
      </c>
      <c r="E2164" s="1" t="s">
        <v>28</v>
      </c>
      <c r="F2164" s="1" t="s">
        <v>13</v>
      </c>
      <c r="G2164" s="1" t="s">
        <v>405</v>
      </c>
      <c r="H2164" s="1" t="s">
        <v>358</v>
      </c>
      <c r="I2164" s="1" t="s">
        <v>405</v>
      </c>
      <c r="J2164" s="1" t="s">
        <v>386</v>
      </c>
      <c r="K2164" s="1" t="s">
        <v>405</v>
      </c>
    </row>
    <row r="2165" spans="1:11" x14ac:dyDescent="0.3">
      <c r="A2165" s="1">
        <v>93</v>
      </c>
      <c r="B2165" s="1">
        <v>2025</v>
      </c>
      <c r="C2165" s="3">
        <v>45716</v>
      </c>
      <c r="E2165" s="1" t="s">
        <v>29</v>
      </c>
      <c r="F2165" s="1" t="s">
        <v>13</v>
      </c>
      <c r="G2165" s="1" t="s">
        <v>358</v>
      </c>
      <c r="H2165" s="1" t="s">
        <v>358</v>
      </c>
      <c r="I2165" s="1" t="s">
        <v>421</v>
      </c>
      <c r="J2165" s="1" t="s">
        <v>586</v>
      </c>
      <c r="K2165" s="1" t="s">
        <v>358</v>
      </c>
    </row>
    <row r="2166" spans="1:11" x14ac:dyDescent="0.3">
      <c r="A2166" s="1">
        <v>93</v>
      </c>
      <c r="B2166" s="1">
        <v>2025</v>
      </c>
      <c r="C2166" s="3">
        <v>45716</v>
      </c>
      <c r="E2166" s="1" t="s">
        <v>31</v>
      </c>
      <c r="F2166" s="1" t="s">
        <v>32</v>
      </c>
      <c r="G2166" s="1" t="s">
        <v>378</v>
      </c>
      <c r="H2166" s="1" t="s">
        <v>378</v>
      </c>
      <c r="I2166" s="1" t="s">
        <v>378</v>
      </c>
      <c r="J2166" s="1" t="s">
        <v>378</v>
      </c>
      <c r="K2166" s="1" t="s">
        <v>378</v>
      </c>
    </row>
    <row r="2167" spans="1:11" x14ac:dyDescent="0.3">
      <c r="A2167" s="1">
        <v>93</v>
      </c>
      <c r="B2167" s="1">
        <v>2025</v>
      </c>
      <c r="C2167" s="3">
        <v>45716</v>
      </c>
      <c r="E2167" s="1" t="s">
        <v>34</v>
      </c>
      <c r="F2167" s="1" t="s">
        <v>35</v>
      </c>
      <c r="G2167" s="1" t="s">
        <v>388</v>
      </c>
      <c r="H2167" s="1" t="s">
        <v>388</v>
      </c>
      <c r="I2167" s="1" t="s">
        <v>397</v>
      </c>
      <c r="J2167" s="1" t="s">
        <v>587</v>
      </c>
      <c r="K2167" s="1" t="s">
        <v>388</v>
      </c>
    </row>
    <row r="2168" spans="1:11" x14ac:dyDescent="0.3">
      <c r="A2168" s="1">
        <v>93</v>
      </c>
      <c r="B2168" s="1">
        <v>2025</v>
      </c>
      <c r="C2168" s="3">
        <v>45716</v>
      </c>
      <c r="E2168" s="1" t="s">
        <v>36</v>
      </c>
      <c r="F2168" s="1" t="s">
        <v>35</v>
      </c>
      <c r="G2168" s="1" t="s">
        <v>390</v>
      </c>
      <c r="H2168" s="1" t="s">
        <v>362</v>
      </c>
      <c r="I2168" s="1" t="s">
        <v>390</v>
      </c>
      <c r="J2168" s="1" t="s">
        <v>397</v>
      </c>
      <c r="K2168" s="1" t="s">
        <v>390</v>
      </c>
    </row>
    <row r="2169" spans="1:11" x14ac:dyDescent="0.3">
      <c r="A2169" s="1">
        <v>93</v>
      </c>
      <c r="B2169" s="1">
        <v>2025</v>
      </c>
      <c r="C2169" s="3">
        <v>45716</v>
      </c>
      <c r="E2169" s="1" t="s">
        <v>153</v>
      </c>
      <c r="F2169" s="1" t="s">
        <v>154</v>
      </c>
      <c r="H2169" s="1" t="s">
        <v>396</v>
      </c>
      <c r="I2169" s="1" t="s">
        <v>394</v>
      </c>
      <c r="J2169" s="1" t="s">
        <v>358</v>
      </c>
      <c r="K2169" s="1" t="s">
        <v>358</v>
      </c>
    </row>
    <row r="2170" spans="1:11" x14ac:dyDescent="0.3">
      <c r="A2170" s="1">
        <v>93</v>
      </c>
      <c r="B2170" s="1">
        <v>2025</v>
      </c>
      <c r="C2170" s="3">
        <v>45716</v>
      </c>
      <c r="E2170" s="1" t="s">
        <v>39</v>
      </c>
      <c r="F2170" s="1" t="s">
        <v>40</v>
      </c>
      <c r="G2170" s="1" t="s">
        <v>370</v>
      </c>
      <c r="H2170" s="1" t="s">
        <v>397</v>
      </c>
      <c r="I2170" s="1" t="s">
        <v>370</v>
      </c>
      <c r="J2170" s="1" t="s">
        <v>421</v>
      </c>
      <c r="K2170" s="1" t="s">
        <v>370</v>
      </c>
    </row>
    <row r="2171" spans="1:11" x14ac:dyDescent="0.3">
      <c r="A2171" s="1">
        <v>93</v>
      </c>
      <c r="B2171" s="1">
        <v>2025</v>
      </c>
      <c r="C2171" s="3">
        <v>45716</v>
      </c>
      <c r="E2171" s="1" t="s">
        <v>42</v>
      </c>
      <c r="F2171" s="1" t="s">
        <v>43</v>
      </c>
      <c r="G2171" s="1" t="s">
        <v>358</v>
      </c>
      <c r="H2171" s="1" t="s">
        <v>390</v>
      </c>
      <c r="I2171" s="1" t="s">
        <v>370</v>
      </c>
      <c r="J2171" s="1" t="s">
        <v>447</v>
      </c>
      <c r="K2171" s="1" t="s">
        <v>358</v>
      </c>
    </row>
    <row r="2172" spans="1:11" x14ac:dyDescent="0.3">
      <c r="A2172" s="1">
        <v>93</v>
      </c>
      <c r="B2172" s="1">
        <v>2025</v>
      </c>
      <c r="C2172" s="3">
        <v>45716</v>
      </c>
      <c r="E2172" s="1" t="s">
        <v>44</v>
      </c>
      <c r="F2172" s="1" t="s">
        <v>45</v>
      </c>
      <c r="H2172" s="1" t="s">
        <v>390</v>
      </c>
      <c r="I2172" s="1" t="s">
        <v>370</v>
      </c>
      <c r="J2172" s="1" t="s">
        <v>433</v>
      </c>
      <c r="K2172" s="1" t="s">
        <v>396</v>
      </c>
    </row>
    <row r="2173" spans="1:11" x14ac:dyDescent="0.3">
      <c r="A2173" s="1">
        <v>93</v>
      </c>
      <c r="B2173" s="1">
        <v>2025</v>
      </c>
      <c r="C2173" s="3">
        <v>45716</v>
      </c>
      <c r="E2173" s="1" t="s">
        <v>48</v>
      </c>
      <c r="F2173" s="1" t="s">
        <v>45</v>
      </c>
      <c r="H2173" s="1" t="s">
        <v>386</v>
      </c>
      <c r="I2173" s="1" t="s">
        <v>405</v>
      </c>
      <c r="J2173" s="1" t="s">
        <v>484</v>
      </c>
      <c r="K2173" s="1" t="s">
        <v>484</v>
      </c>
    </row>
    <row r="2174" spans="1:11" x14ac:dyDescent="0.3">
      <c r="A2174" s="1">
        <v>93</v>
      </c>
      <c r="B2174" s="1">
        <v>2025</v>
      </c>
      <c r="C2174" s="3">
        <v>45716</v>
      </c>
      <c r="E2174" s="1" t="s">
        <v>49</v>
      </c>
      <c r="F2174" s="1" t="s">
        <v>50</v>
      </c>
      <c r="G2174" s="1" t="s">
        <v>358</v>
      </c>
      <c r="H2174" s="1" t="s">
        <v>396</v>
      </c>
      <c r="I2174" s="1" t="s">
        <v>394</v>
      </c>
      <c r="J2174" s="1" t="s">
        <v>358</v>
      </c>
      <c r="K2174" s="1" t="s">
        <v>358</v>
      </c>
    </row>
    <row r="2175" spans="1:11" x14ac:dyDescent="0.3">
      <c r="A2175" s="1">
        <v>93</v>
      </c>
      <c r="B2175" s="1">
        <v>2025</v>
      </c>
      <c r="C2175" s="3">
        <v>45716</v>
      </c>
      <c r="E2175" s="1" t="s">
        <v>52</v>
      </c>
      <c r="F2175" s="1" t="s">
        <v>43</v>
      </c>
      <c r="H2175" s="1" t="s">
        <v>358</v>
      </c>
      <c r="I2175" s="1" t="s">
        <v>403</v>
      </c>
      <c r="J2175" s="1" t="s">
        <v>484</v>
      </c>
      <c r="K2175" s="1" t="s">
        <v>405</v>
      </c>
    </row>
    <row r="2176" spans="1:11" x14ac:dyDescent="0.3">
      <c r="A2176" s="1">
        <v>93</v>
      </c>
      <c r="B2176" s="1">
        <v>2025</v>
      </c>
      <c r="C2176" s="3">
        <v>45716</v>
      </c>
      <c r="E2176" s="1" t="s">
        <v>53</v>
      </c>
      <c r="F2176" s="1" t="s">
        <v>43</v>
      </c>
      <c r="H2176" s="1" t="s">
        <v>393</v>
      </c>
      <c r="I2176" s="1" t="s">
        <v>386</v>
      </c>
      <c r="J2176" s="1" t="s">
        <v>588</v>
      </c>
      <c r="K2176" s="1" t="s">
        <v>391</v>
      </c>
    </row>
    <row r="2177" spans="1:11" x14ac:dyDescent="0.3">
      <c r="A2177" s="1">
        <v>93</v>
      </c>
      <c r="B2177" s="1">
        <v>2025</v>
      </c>
      <c r="C2177" s="3">
        <v>45716</v>
      </c>
      <c r="E2177" s="1" t="s">
        <v>54</v>
      </c>
      <c r="F2177" s="1" t="s">
        <v>40</v>
      </c>
      <c r="G2177" s="1" t="s">
        <v>405</v>
      </c>
      <c r="H2177" s="1" t="s">
        <v>370</v>
      </c>
      <c r="I2177" s="1" t="s">
        <v>405</v>
      </c>
      <c r="J2177" s="1" t="s">
        <v>497</v>
      </c>
      <c r="K2177" s="1" t="s">
        <v>484</v>
      </c>
    </row>
    <row r="2178" spans="1:11" x14ac:dyDescent="0.3">
      <c r="A2178" s="1">
        <v>93</v>
      </c>
      <c r="B2178" s="1">
        <v>2025</v>
      </c>
      <c r="C2178" s="3">
        <v>45716</v>
      </c>
      <c r="E2178" s="1" t="s">
        <v>56</v>
      </c>
      <c r="F2178" s="1" t="s">
        <v>43</v>
      </c>
      <c r="H2178" s="1" t="s">
        <v>370</v>
      </c>
      <c r="I2178" s="1" t="s">
        <v>385</v>
      </c>
      <c r="J2178" s="1" t="s">
        <v>527</v>
      </c>
      <c r="K2178" s="1" t="s">
        <v>527</v>
      </c>
    </row>
    <row r="2179" spans="1:11" x14ac:dyDescent="0.3">
      <c r="A2179" s="1">
        <v>93</v>
      </c>
      <c r="B2179" s="1">
        <v>2025</v>
      </c>
      <c r="C2179" s="3">
        <v>45716</v>
      </c>
      <c r="E2179" s="1" t="s">
        <v>57</v>
      </c>
      <c r="F2179" s="1" t="s">
        <v>40</v>
      </c>
      <c r="H2179" s="1" t="s">
        <v>370</v>
      </c>
      <c r="I2179" s="1" t="s">
        <v>386</v>
      </c>
      <c r="J2179" s="1" t="s">
        <v>385</v>
      </c>
      <c r="K2179" s="1" t="s">
        <v>385</v>
      </c>
    </row>
    <row r="2180" spans="1:11" x14ac:dyDescent="0.3">
      <c r="A2180" s="1">
        <v>93</v>
      </c>
      <c r="B2180" s="1">
        <v>2025</v>
      </c>
      <c r="C2180" s="3">
        <v>45716</v>
      </c>
      <c r="E2180" s="1" t="s">
        <v>58</v>
      </c>
      <c r="F2180" s="1" t="s">
        <v>40</v>
      </c>
      <c r="G2180" s="1" t="s">
        <v>415</v>
      </c>
      <c r="H2180" s="1" t="s">
        <v>386</v>
      </c>
      <c r="I2180" s="1" t="s">
        <v>401</v>
      </c>
      <c r="J2180" s="1" t="s">
        <v>567</v>
      </c>
      <c r="K2180" s="1" t="s">
        <v>415</v>
      </c>
    </row>
    <row r="2181" spans="1:11" x14ac:dyDescent="0.3">
      <c r="A2181" s="1">
        <v>93</v>
      </c>
      <c r="B2181" s="1">
        <v>2025</v>
      </c>
      <c r="C2181" s="3">
        <v>45716</v>
      </c>
      <c r="E2181" s="1" t="s">
        <v>59</v>
      </c>
      <c r="F2181" s="1" t="s">
        <v>45</v>
      </c>
      <c r="G2181" s="1" t="s">
        <v>362</v>
      </c>
      <c r="H2181" s="1" t="s">
        <v>362</v>
      </c>
      <c r="I2181" s="1" t="s">
        <v>370</v>
      </c>
      <c r="J2181" s="1" t="s">
        <v>390</v>
      </c>
      <c r="K2181" s="1" t="s">
        <v>397</v>
      </c>
    </row>
    <row r="2182" spans="1:11" x14ac:dyDescent="0.3">
      <c r="A2182" s="1">
        <v>93</v>
      </c>
      <c r="B2182" s="1">
        <v>2025</v>
      </c>
      <c r="C2182" s="3">
        <v>45716</v>
      </c>
      <c r="E2182" s="1" t="s">
        <v>60</v>
      </c>
      <c r="F2182" s="1" t="s">
        <v>61</v>
      </c>
      <c r="G2182" s="1" t="s">
        <v>358</v>
      </c>
      <c r="H2182" s="1" t="s">
        <v>358</v>
      </c>
      <c r="I2182" s="1" t="s">
        <v>415</v>
      </c>
      <c r="J2182" s="1" t="s">
        <v>370</v>
      </c>
      <c r="K2182" s="1" t="s">
        <v>358</v>
      </c>
    </row>
    <row r="2183" spans="1:11" x14ac:dyDescent="0.3">
      <c r="A2183" s="1">
        <v>93</v>
      </c>
      <c r="B2183" s="1">
        <v>2025</v>
      </c>
      <c r="C2183" s="3">
        <v>45716</v>
      </c>
      <c r="E2183" s="1" t="s">
        <v>63</v>
      </c>
      <c r="F2183" s="1" t="s">
        <v>40</v>
      </c>
      <c r="H2183" s="1" t="s">
        <v>394</v>
      </c>
      <c r="I2183" s="1" t="s">
        <v>401</v>
      </c>
      <c r="J2183" s="1" t="s">
        <v>589</v>
      </c>
      <c r="K2183" s="1" t="s">
        <v>405</v>
      </c>
    </row>
    <row r="2184" spans="1:11" x14ac:dyDescent="0.3">
      <c r="A2184" s="1">
        <v>93</v>
      </c>
      <c r="B2184" s="1">
        <v>2025</v>
      </c>
      <c r="C2184" s="3">
        <v>45716</v>
      </c>
      <c r="E2184" s="1" t="s">
        <v>64</v>
      </c>
      <c r="F2184" s="1" t="s">
        <v>40</v>
      </c>
      <c r="G2184" s="1" t="s">
        <v>408</v>
      </c>
      <c r="H2184" s="1" t="s">
        <v>405</v>
      </c>
      <c r="I2184" s="1" t="s">
        <v>408</v>
      </c>
      <c r="J2184" s="1" t="s">
        <v>590</v>
      </c>
      <c r="K2184" s="1" t="s">
        <v>591</v>
      </c>
    </row>
    <row r="2185" spans="1:11" x14ac:dyDescent="0.3">
      <c r="A2185" s="1">
        <v>93</v>
      </c>
      <c r="B2185" s="1">
        <v>2025</v>
      </c>
      <c r="C2185" s="3">
        <v>45716</v>
      </c>
      <c r="E2185" s="12" t="s">
        <v>66</v>
      </c>
      <c r="F2185" s="13" t="s">
        <v>45</v>
      </c>
    </row>
    <row r="2186" spans="1:11" x14ac:dyDescent="0.3">
      <c r="A2186" s="1">
        <v>93</v>
      </c>
      <c r="B2186" s="1">
        <v>2025</v>
      </c>
      <c r="C2186" s="3">
        <v>45716</v>
      </c>
      <c r="E2186" s="12" t="s">
        <v>67</v>
      </c>
      <c r="F2186" s="13" t="s">
        <v>45</v>
      </c>
    </row>
    <row r="2187" spans="1:11" x14ac:dyDescent="0.3">
      <c r="A2187" s="1">
        <v>93</v>
      </c>
      <c r="B2187" s="1">
        <v>2025</v>
      </c>
      <c r="C2187" s="3">
        <v>45716</v>
      </c>
      <c r="E2187" s="12" t="s">
        <v>68</v>
      </c>
      <c r="F2187" s="13" t="s">
        <v>45</v>
      </c>
    </row>
    <row r="2188" spans="1:11" x14ac:dyDescent="0.3">
      <c r="A2188" s="1">
        <v>93</v>
      </c>
      <c r="B2188" s="1">
        <v>2025</v>
      </c>
      <c r="C2188" s="3">
        <v>45716</v>
      </c>
      <c r="E2188" s="12" t="s">
        <v>69</v>
      </c>
      <c r="F2188" s="13" t="s">
        <v>45</v>
      </c>
    </row>
    <row r="2189" spans="1:11" x14ac:dyDescent="0.3">
      <c r="A2189" s="1">
        <v>93</v>
      </c>
      <c r="B2189" s="1">
        <v>2025</v>
      </c>
      <c r="C2189" s="3">
        <v>45716</v>
      </c>
      <c r="E2189" s="12" t="s">
        <v>70</v>
      </c>
      <c r="F2189" s="13" t="s">
        <v>71</v>
      </c>
    </row>
    <row r="2190" spans="1:11" x14ac:dyDescent="0.3">
      <c r="A2190" s="1">
        <v>94</v>
      </c>
      <c r="B2190" s="1">
        <v>2025</v>
      </c>
      <c r="C2190" s="3">
        <v>45723</v>
      </c>
      <c r="E2190" s="1" t="s">
        <v>12</v>
      </c>
      <c r="F2190" s="1" t="s">
        <v>13</v>
      </c>
      <c r="G2190" s="1" t="s">
        <v>358</v>
      </c>
      <c r="H2190" s="1" t="s">
        <v>357</v>
      </c>
      <c r="I2190" s="1" t="s">
        <v>358</v>
      </c>
      <c r="J2190" s="1" t="s">
        <v>433</v>
      </c>
      <c r="K2190" s="1" t="s">
        <v>358</v>
      </c>
    </row>
    <row r="2191" spans="1:11" x14ac:dyDescent="0.3">
      <c r="A2191" s="1">
        <v>94</v>
      </c>
      <c r="B2191" s="1">
        <v>2025</v>
      </c>
      <c r="C2191" s="3">
        <v>45723</v>
      </c>
      <c r="E2191" s="1" t="s">
        <v>14</v>
      </c>
      <c r="F2191" s="1" t="s">
        <v>13</v>
      </c>
      <c r="H2191" s="1" t="s">
        <v>361</v>
      </c>
      <c r="I2191" s="1" t="s">
        <v>472</v>
      </c>
      <c r="J2191" s="1" t="s">
        <v>405</v>
      </c>
      <c r="K2191" s="1" t="s">
        <v>405</v>
      </c>
    </row>
    <row r="2192" spans="1:11" x14ac:dyDescent="0.3">
      <c r="A2192" s="1">
        <v>94</v>
      </c>
      <c r="B2192" s="1">
        <v>2025</v>
      </c>
      <c r="C2192" s="3">
        <v>45723</v>
      </c>
      <c r="E2192" s="1" t="s">
        <v>15</v>
      </c>
      <c r="F2192" s="1" t="s">
        <v>13</v>
      </c>
      <c r="G2192" s="1" t="s">
        <v>357</v>
      </c>
      <c r="H2192" s="1" t="s">
        <v>357</v>
      </c>
      <c r="I2192" s="1" t="s">
        <v>357</v>
      </c>
      <c r="J2192" s="1" t="s">
        <v>357</v>
      </c>
      <c r="K2192" s="1" t="s">
        <v>357</v>
      </c>
    </row>
    <row r="2193" spans="1:11" x14ac:dyDescent="0.3">
      <c r="A2193" s="1">
        <v>94</v>
      </c>
      <c r="B2193" s="1">
        <v>2025</v>
      </c>
      <c r="C2193" s="3">
        <v>45723</v>
      </c>
      <c r="E2193" s="1" t="s">
        <v>16</v>
      </c>
      <c r="F2193" s="1" t="s">
        <v>13</v>
      </c>
      <c r="G2193" s="1" t="s">
        <v>362</v>
      </c>
      <c r="H2193" s="1" t="s">
        <v>362</v>
      </c>
      <c r="I2193" s="1" t="s">
        <v>362</v>
      </c>
      <c r="J2193" s="1" t="s">
        <v>362</v>
      </c>
      <c r="K2193" s="1" t="s">
        <v>362</v>
      </c>
    </row>
    <row r="2194" spans="1:11" x14ac:dyDescent="0.3">
      <c r="A2194" s="1">
        <v>94</v>
      </c>
      <c r="B2194" s="1">
        <v>2025</v>
      </c>
      <c r="C2194" s="3">
        <v>45723</v>
      </c>
      <c r="E2194" s="1" t="s">
        <v>17</v>
      </c>
      <c r="F2194" s="1" t="s">
        <v>13</v>
      </c>
      <c r="G2194" s="1" t="s">
        <v>362</v>
      </c>
      <c r="H2194" s="1" t="s">
        <v>362</v>
      </c>
      <c r="I2194" s="1" t="s">
        <v>362</v>
      </c>
      <c r="J2194" s="1" t="s">
        <v>362</v>
      </c>
      <c r="K2194" s="1" t="s">
        <v>362</v>
      </c>
    </row>
    <row r="2195" spans="1:11" x14ac:dyDescent="0.3">
      <c r="A2195" s="1">
        <v>94</v>
      </c>
      <c r="B2195" s="1">
        <v>2025</v>
      </c>
      <c r="C2195" s="3">
        <v>45723</v>
      </c>
      <c r="E2195" s="1" t="s">
        <v>18</v>
      </c>
      <c r="F2195" s="1" t="s">
        <v>13</v>
      </c>
      <c r="H2195" s="1" t="s">
        <v>360</v>
      </c>
      <c r="I2195" s="1" t="s">
        <v>401</v>
      </c>
      <c r="J2195" s="1" t="s">
        <v>472</v>
      </c>
      <c r="K2195" s="1" t="s">
        <v>472</v>
      </c>
    </row>
    <row r="2196" spans="1:11" x14ac:dyDescent="0.3">
      <c r="A2196" s="1">
        <v>94</v>
      </c>
      <c r="B2196" s="1">
        <v>2025</v>
      </c>
      <c r="C2196" s="3">
        <v>45723</v>
      </c>
      <c r="E2196" s="1" t="s">
        <v>19</v>
      </c>
      <c r="F2196" s="1" t="s">
        <v>13</v>
      </c>
      <c r="H2196" s="1" t="s">
        <v>417</v>
      </c>
      <c r="I2196" s="1" t="s">
        <v>361</v>
      </c>
      <c r="J2196" s="1" t="s">
        <v>502</v>
      </c>
      <c r="K2196" s="1" t="s">
        <v>502</v>
      </c>
    </row>
    <row r="2197" spans="1:11" x14ac:dyDescent="0.3">
      <c r="A2197" s="1">
        <v>94</v>
      </c>
      <c r="B2197" s="1">
        <v>2025</v>
      </c>
      <c r="C2197" s="3">
        <v>45723</v>
      </c>
      <c r="E2197" s="1" t="s">
        <v>20</v>
      </c>
      <c r="F2197" s="1" t="s">
        <v>13</v>
      </c>
      <c r="H2197" s="1" t="s">
        <v>360</v>
      </c>
      <c r="I2197" s="1" t="s">
        <v>568</v>
      </c>
      <c r="J2197" s="1" t="s">
        <v>543</v>
      </c>
      <c r="K2197" s="1" t="s">
        <v>405</v>
      </c>
    </row>
    <row r="2198" spans="1:11" x14ac:dyDescent="0.3">
      <c r="A2198" s="1">
        <v>94</v>
      </c>
      <c r="B2198" s="1">
        <v>2025</v>
      </c>
      <c r="C2198" s="3">
        <v>45723</v>
      </c>
      <c r="E2198" s="1" t="s">
        <v>21</v>
      </c>
      <c r="F2198" s="1" t="s">
        <v>13</v>
      </c>
      <c r="H2198" s="1" t="s">
        <v>366</v>
      </c>
      <c r="I2198" s="1" t="s">
        <v>430</v>
      </c>
      <c r="J2198" s="1" t="s">
        <v>525</v>
      </c>
      <c r="K2198" s="1" t="s">
        <v>366</v>
      </c>
    </row>
    <row r="2199" spans="1:11" x14ac:dyDescent="0.3">
      <c r="A2199" s="1">
        <v>94</v>
      </c>
      <c r="B2199" s="1">
        <v>2025</v>
      </c>
      <c r="C2199" s="3">
        <v>45723</v>
      </c>
      <c r="E2199" s="1" t="s">
        <v>73</v>
      </c>
      <c r="F2199" s="1" t="s">
        <v>13</v>
      </c>
      <c r="H2199" s="1" t="s">
        <v>361</v>
      </c>
      <c r="I2199" s="1" t="s">
        <v>401</v>
      </c>
      <c r="J2199" s="1" t="s">
        <v>568</v>
      </c>
      <c r="K2199" s="1" t="s">
        <v>568</v>
      </c>
    </row>
    <row r="2200" spans="1:11" x14ac:dyDescent="0.3">
      <c r="A2200" s="1">
        <v>94</v>
      </c>
      <c r="B2200" s="1">
        <v>2025</v>
      </c>
      <c r="C2200" s="3">
        <v>45723</v>
      </c>
      <c r="E2200" s="1" t="s">
        <v>23</v>
      </c>
      <c r="F2200" s="1" t="s">
        <v>13</v>
      </c>
      <c r="H2200" s="1" t="s">
        <v>362</v>
      </c>
      <c r="I2200" s="1" t="s">
        <v>362</v>
      </c>
      <c r="J2200" s="1" t="s">
        <v>525</v>
      </c>
      <c r="K2200" s="1" t="s">
        <v>362</v>
      </c>
    </row>
    <row r="2201" spans="1:11" x14ac:dyDescent="0.3">
      <c r="A2201" s="1">
        <v>94</v>
      </c>
      <c r="B2201" s="1">
        <v>2025</v>
      </c>
      <c r="C2201" s="3">
        <v>45723</v>
      </c>
      <c r="E2201" s="1" t="s">
        <v>24</v>
      </c>
      <c r="F2201" s="1" t="s">
        <v>13</v>
      </c>
      <c r="H2201" s="1" t="s">
        <v>360</v>
      </c>
      <c r="I2201" s="1" t="s">
        <v>401</v>
      </c>
      <c r="J2201" s="1" t="s">
        <v>472</v>
      </c>
      <c r="K2201" s="1" t="s">
        <v>472</v>
      </c>
    </row>
    <row r="2202" spans="1:11" x14ac:dyDescent="0.3">
      <c r="A2202" s="1">
        <v>94</v>
      </c>
      <c r="B2202" s="1">
        <v>2025</v>
      </c>
      <c r="C2202" s="3">
        <v>45723</v>
      </c>
      <c r="E2202" s="1" t="s">
        <v>25</v>
      </c>
      <c r="F2202" s="1" t="s">
        <v>26</v>
      </c>
      <c r="H2202" s="1" t="s">
        <v>358</v>
      </c>
      <c r="I2202" s="1" t="s">
        <v>360</v>
      </c>
      <c r="J2202" s="1" t="s">
        <v>369</v>
      </c>
      <c r="K2202" s="1" t="s">
        <v>358</v>
      </c>
    </row>
    <row r="2203" spans="1:11" x14ac:dyDescent="0.3">
      <c r="A2203" s="1">
        <v>94</v>
      </c>
      <c r="B2203" s="1">
        <v>2025</v>
      </c>
      <c r="C2203" s="3">
        <v>45723</v>
      </c>
      <c r="E2203" s="1" t="s">
        <v>27</v>
      </c>
      <c r="F2203" s="1" t="s">
        <v>13</v>
      </c>
      <c r="H2203" s="1" t="s">
        <v>361</v>
      </c>
      <c r="I2203" s="1" t="s">
        <v>361</v>
      </c>
      <c r="J2203" s="1" t="s">
        <v>361</v>
      </c>
      <c r="K2203" s="1" t="s">
        <v>361</v>
      </c>
    </row>
    <row r="2204" spans="1:11" x14ac:dyDescent="0.3">
      <c r="A2204" s="1">
        <v>94</v>
      </c>
      <c r="B2204" s="1">
        <v>2025</v>
      </c>
      <c r="C2204" s="3">
        <v>45723</v>
      </c>
      <c r="E2204" s="1" t="s">
        <v>28</v>
      </c>
      <c r="F2204" s="1" t="s">
        <v>13</v>
      </c>
      <c r="H2204" s="1" t="s">
        <v>393</v>
      </c>
      <c r="I2204" s="1" t="s">
        <v>358</v>
      </c>
      <c r="J2204" s="1" t="s">
        <v>592</v>
      </c>
      <c r="K2204" s="1" t="s">
        <v>358</v>
      </c>
    </row>
    <row r="2205" spans="1:11" x14ac:dyDescent="0.3">
      <c r="A2205" s="1">
        <v>94</v>
      </c>
      <c r="B2205" s="1">
        <v>2025</v>
      </c>
      <c r="C2205" s="3">
        <v>45723</v>
      </c>
      <c r="E2205" s="1" t="s">
        <v>29</v>
      </c>
      <c r="F2205" s="1" t="s">
        <v>13</v>
      </c>
      <c r="G2205" s="1" t="s">
        <v>359</v>
      </c>
      <c r="H2205" s="1" t="s">
        <v>358</v>
      </c>
      <c r="I2205" s="1" t="s">
        <v>358</v>
      </c>
      <c r="J2205" s="1" t="s">
        <v>423</v>
      </c>
      <c r="K2205" s="1" t="s">
        <v>358</v>
      </c>
    </row>
    <row r="2206" spans="1:11" x14ac:dyDescent="0.3">
      <c r="A2206" s="1">
        <v>94</v>
      </c>
      <c r="B2206" s="1">
        <v>2025</v>
      </c>
      <c r="C2206" s="3">
        <v>45723</v>
      </c>
      <c r="E2206" s="1" t="s">
        <v>31</v>
      </c>
      <c r="F2206" s="1" t="s">
        <v>32</v>
      </c>
      <c r="G2206" s="1" t="s">
        <v>358</v>
      </c>
      <c r="H2206" s="1" t="s">
        <v>357</v>
      </c>
      <c r="I2206" s="1" t="s">
        <v>358</v>
      </c>
      <c r="J2206" s="1" t="s">
        <v>433</v>
      </c>
      <c r="K2206" s="1" t="s">
        <v>358</v>
      </c>
    </row>
    <row r="2207" spans="1:11" x14ac:dyDescent="0.3">
      <c r="A2207" s="1">
        <v>94</v>
      </c>
      <c r="B2207" s="1">
        <v>2025</v>
      </c>
      <c r="C2207" s="3">
        <v>45723</v>
      </c>
      <c r="E2207" s="1" t="s">
        <v>34</v>
      </c>
      <c r="F2207" s="1" t="s">
        <v>35</v>
      </c>
      <c r="H2207" s="1" t="s">
        <v>361</v>
      </c>
      <c r="I2207" s="1" t="s">
        <v>472</v>
      </c>
      <c r="J2207" s="1" t="s">
        <v>405</v>
      </c>
      <c r="K2207" s="1" t="s">
        <v>405</v>
      </c>
    </row>
    <row r="2208" spans="1:11" x14ac:dyDescent="0.3">
      <c r="A2208" s="1">
        <v>94</v>
      </c>
      <c r="B2208" s="1">
        <v>2025</v>
      </c>
      <c r="C2208" s="3">
        <v>45723</v>
      </c>
      <c r="E2208" s="1" t="s">
        <v>36</v>
      </c>
      <c r="F2208" s="1" t="s">
        <v>35</v>
      </c>
      <c r="G2208" s="1" t="s">
        <v>357</v>
      </c>
      <c r="H2208" s="1" t="s">
        <v>357</v>
      </c>
      <c r="I2208" s="1" t="s">
        <v>357</v>
      </c>
      <c r="J2208" s="1" t="s">
        <v>357</v>
      </c>
      <c r="K2208" s="1" t="s">
        <v>357</v>
      </c>
    </row>
    <row r="2209" spans="1:11" x14ac:dyDescent="0.3">
      <c r="A2209" s="1">
        <v>94</v>
      </c>
      <c r="B2209" s="1">
        <v>2025</v>
      </c>
      <c r="C2209" s="3">
        <v>45723</v>
      </c>
      <c r="E2209" s="1" t="s">
        <v>153</v>
      </c>
      <c r="F2209" s="1" t="s">
        <v>154</v>
      </c>
      <c r="G2209" s="1" t="s">
        <v>358</v>
      </c>
      <c r="H2209" s="1" t="s">
        <v>358</v>
      </c>
      <c r="I2209" s="1" t="s">
        <v>370</v>
      </c>
      <c r="J2209" s="1" t="s">
        <v>374</v>
      </c>
      <c r="K2209" s="1" t="s">
        <v>358</v>
      </c>
    </row>
    <row r="2210" spans="1:11" x14ac:dyDescent="0.3">
      <c r="A2210" s="1">
        <v>94</v>
      </c>
      <c r="B2210" s="1">
        <v>2025</v>
      </c>
      <c r="C2210" s="3">
        <v>45723</v>
      </c>
      <c r="E2210" s="1" t="s">
        <v>39</v>
      </c>
      <c r="F2210" s="1" t="s">
        <v>40</v>
      </c>
      <c r="G2210" s="1" t="s">
        <v>397</v>
      </c>
      <c r="H2210" s="1" t="s">
        <v>393</v>
      </c>
      <c r="I2210" s="1" t="s">
        <v>358</v>
      </c>
      <c r="J2210" s="1" t="s">
        <v>393</v>
      </c>
      <c r="K2210" s="1" t="s">
        <v>393</v>
      </c>
    </row>
    <row r="2211" spans="1:11" x14ac:dyDescent="0.3">
      <c r="A2211" s="1">
        <v>94</v>
      </c>
      <c r="B2211" s="1">
        <v>2025</v>
      </c>
      <c r="C2211" s="3">
        <v>45723</v>
      </c>
      <c r="E2211" s="1" t="s">
        <v>42</v>
      </c>
      <c r="F2211" s="1" t="s">
        <v>43</v>
      </c>
      <c r="G2211" s="1" t="s">
        <v>358</v>
      </c>
      <c r="H2211" s="1" t="s">
        <v>362</v>
      </c>
      <c r="I2211" s="1" t="s">
        <v>394</v>
      </c>
      <c r="J2211" s="1" t="s">
        <v>428</v>
      </c>
      <c r="K2211" s="1" t="s">
        <v>358</v>
      </c>
    </row>
    <row r="2212" spans="1:11" x14ac:dyDescent="0.3">
      <c r="A2212" s="1">
        <v>94</v>
      </c>
      <c r="B2212" s="1">
        <v>2025</v>
      </c>
      <c r="C2212" s="3">
        <v>45723</v>
      </c>
      <c r="E2212" s="1" t="s">
        <v>44</v>
      </c>
      <c r="F2212" s="1" t="s">
        <v>45</v>
      </c>
      <c r="G2212" s="1" t="s">
        <v>396</v>
      </c>
      <c r="H2212" s="1" t="s">
        <v>388</v>
      </c>
      <c r="I2212" s="1" t="s">
        <v>396</v>
      </c>
      <c r="J2212" s="1" t="s">
        <v>404</v>
      </c>
      <c r="K2212" s="1" t="s">
        <v>393</v>
      </c>
    </row>
    <row r="2213" spans="1:11" x14ac:dyDescent="0.3">
      <c r="A2213" s="1">
        <v>94</v>
      </c>
      <c r="B2213" s="1">
        <v>2025</v>
      </c>
      <c r="C2213" s="3">
        <v>45723</v>
      </c>
      <c r="E2213" s="1" t="s">
        <v>48</v>
      </c>
      <c r="F2213" s="1" t="s">
        <v>45</v>
      </c>
      <c r="G2213" s="1" t="s">
        <v>386</v>
      </c>
      <c r="H2213" s="1" t="s">
        <v>386</v>
      </c>
      <c r="I2213" s="1" t="s">
        <v>386</v>
      </c>
      <c r="J2213" s="1" t="s">
        <v>386</v>
      </c>
      <c r="K2213" s="1" t="s">
        <v>386</v>
      </c>
    </row>
    <row r="2214" spans="1:11" x14ac:dyDescent="0.3">
      <c r="A2214" s="1">
        <v>94</v>
      </c>
      <c r="B2214" s="1">
        <v>2025</v>
      </c>
      <c r="C2214" s="3">
        <v>45723</v>
      </c>
      <c r="E2214" s="1" t="s">
        <v>49</v>
      </c>
      <c r="F2214" s="1" t="s">
        <v>50</v>
      </c>
      <c r="G2214" s="1" t="s">
        <v>393</v>
      </c>
      <c r="H2214" s="1" t="s">
        <v>393</v>
      </c>
      <c r="I2214" s="1" t="s">
        <v>394</v>
      </c>
      <c r="J2214" s="1" t="s">
        <v>458</v>
      </c>
      <c r="K2214" s="1" t="s">
        <v>396</v>
      </c>
    </row>
    <row r="2215" spans="1:11" x14ac:dyDescent="0.3">
      <c r="A2215" s="1">
        <v>94</v>
      </c>
      <c r="B2215" s="1">
        <v>2025</v>
      </c>
      <c r="C2215" s="3">
        <v>45723</v>
      </c>
      <c r="E2215" s="1" t="s">
        <v>52</v>
      </c>
      <c r="F2215" s="1" t="s">
        <v>43</v>
      </c>
      <c r="G2215" s="1" t="s">
        <v>393</v>
      </c>
      <c r="H2215" s="1" t="s">
        <v>390</v>
      </c>
      <c r="I2215" s="1" t="s">
        <v>415</v>
      </c>
      <c r="J2215" s="1" t="s">
        <v>387</v>
      </c>
      <c r="K2215" s="1" t="s">
        <v>386</v>
      </c>
    </row>
    <row r="2216" spans="1:11" x14ac:dyDescent="0.3">
      <c r="A2216" s="1">
        <v>94</v>
      </c>
      <c r="B2216" s="1">
        <v>2025</v>
      </c>
      <c r="C2216" s="3">
        <v>45723</v>
      </c>
      <c r="E2216" s="1" t="s">
        <v>53</v>
      </c>
      <c r="F2216" s="1" t="s">
        <v>43</v>
      </c>
      <c r="G2216" s="1" t="s">
        <v>370</v>
      </c>
      <c r="H2216" s="1" t="s">
        <v>405</v>
      </c>
      <c r="I2216" s="1" t="s">
        <v>386</v>
      </c>
      <c r="J2216" s="1" t="s">
        <v>394</v>
      </c>
      <c r="K2216" s="1" t="s">
        <v>370</v>
      </c>
    </row>
    <row r="2217" spans="1:11" x14ac:dyDescent="0.3">
      <c r="A2217" s="1">
        <v>94</v>
      </c>
      <c r="B2217" s="1">
        <v>2025</v>
      </c>
      <c r="C2217" s="3">
        <v>45723</v>
      </c>
      <c r="E2217" s="1" t="s">
        <v>54</v>
      </c>
      <c r="F2217" s="1" t="s">
        <v>40</v>
      </c>
      <c r="H2217" s="1" t="s">
        <v>358</v>
      </c>
      <c r="I2217" s="1" t="s">
        <v>415</v>
      </c>
      <c r="J2217" s="1" t="s">
        <v>576</v>
      </c>
      <c r="K2217" s="1" t="s">
        <v>484</v>
      </c>
    </row>
    <row r="2218" spans="1:11" x14ac:dyDescent="0.3">
      <c r="A2218" s="1">
        <v>94</v>
      </c>
      <c r="B2218" s="1">
        <v>2025</v>
      </c>
      <c r="C2218" s="3">
        <v>45723</v>
      </c>
      <c r="E2218" s="1" t="s">
        <v>56</v>
      </c>
      <c r="F2218" s="1" t="s">
        <v>43</v>
      </c>
      <c r="H2218" s="1" t="s">
        <v>390</v>
      </c>
      <c r="I2218" s="1" t="s">
        <v>386</v>
      </c>
      <c r="J2218" s="1" t="s">
        <v>528</v>
      </c>
      <c r="K2218" s="1" t="s">
        <v>385</v>
      </c>
    </row>
    <row r="2219" spans="1:11" x14ac:dyDescent="0.3">
      <c r="A2219" s="1">
        <v>94</v>
      </c>
      <c r="B2219" s="1">
        <v>2025</v>
      </c>
      <c r="C2219" s="3">
        <v>45723</v>
      </c>
      <c r="E2219" s="1" t="s">
        <v>57</v>
      </c>
      <c r="F2219" s="1" t="s">
        <v>40</v>
      </c>
      <c r="G2219" s="1" t="s">
        <v>370</v>
      </c>
      <c r="H2219" s="1" t="s">
        <v>370</v>
      </c>
      <c r="I2219" s="1" t="s">
        <v>370</v>
      </c>
      <c r="J2219" s="1" t="s">
        <v>370</v>
      </c>
      <c r="K2219" s="1" t="s">
        <v>370</v>
      </c>
    </row>
    <row r="2220" spans="1:11" x14ac:dyDescent="0.3">
      <c r="A2220" s="1">
        <v>94</v>
      </c>
      <c r="B2220" s="1">
        <v>2025</v>
      </c>
      <c r="C2220" s="3">
        <v>45723</v>
      </c>
      <c r="E2220" s="1" t="s">
        <v>58</v>
      </c>
      <c r="F2220" s="1" t="s">
        <v>40</v>
      </c>
      <c r="H2220" s="1" t="s">
        <v>370</v>
      </c>
      <c r="I2220" s="1" t="s">
        <v>415</v>
      </c>
      <c r="J2220" s="1" t="s">
        <v>593</v>
      </c>
      <c r="K2220" s="1" t="s">
        <v>385</v>
      </c>
    </row>
    <row r="2221" spans="1:11" x14ac:dyDescent="0.3">
      <c r="A2221" s="1">
        <v>94</v>
      </c>
      <c r="B2221" s="1">
        <v>2025</v>
      </c>
      <c r="C2221" s="3">
        <v>45723</v>
      </c>
      <c r="E2221" s="1" t="s">
        <v>59</v>
      </c>
      <c r="F2221" s="1" t="s">
        <v>45</v>
      </c>
      <c r="G2221" s="1" t="s">
        <v>358</v>
      </c>
      <c r="H2221" s="1" t="s">
        <v>358</v>
      </c>
      <c r="I2221" s="1" t="s">
        <v>358</v>
      </c>
      <c r="J2221" s="1" t="s">
        <v>464</v>
      </c>
      <c r="K2221" s="1" t="s">
        <v>440</v>
      </c>
    </row>
    <row r="2222" spans="1:11" x14ac:dyDescent="0.3">
      <c r="A2222" s="1">
        <v>94</v>
      </c>
      <c r="B2222" s="1">
        <v>2025</v>
      </c>
      <c r="C2222" s="3">
        <v>45723</v>
      </c>
      <c r="E2222" s="1" t="s">
        <v>60</v>
      </c>
      <c r="F2222" s="1" t="s">
        <v>61</v>
      </c>
      <c r="G2222" s="1" t="s">
        <v>388</v>
      </c>
      <c r="H2222" s="1" t="s">
        <v>388</v>
      </c>
      <c r="I2222" s="1" t="s">
        <v>370</v>
      </c>
      <c r="J2222" s="1" t="s">
        <v>358</v>
      </c>
      <c r="K2222" s="1" t="s">
        <v>358</v>
      </c>
    </row>
    <row r="2223" spans="1:11" x14ac:dyDescent="0.3">
      <c r="A2223" s="1">
        <v>94</v>
      </c>
      <c r="B2223" s="1">
        <v>2025</v>
      </c>
      <c r="C2223" s="3">
        <v>45723</v>
      </c>
      <c r="E2223" s="1" t="s">
        <v>63</v>
      </c>
      <c r="F2223" s="1" t="s">
        <v>40</v>
      </c>
      <c r="G2223" s="1" t="s">
        <v>358</v>
      </c>
      <c r="H2223" s="1" t="s">
        <v>393</v>
      </c>
      <c r="I2223" s="1" t="s">
        <v>451</v>
      </c>
      <c r="J2223" s="1" t="s">
        <v>594</v>
      </c>
      <c r="K2223" s="1" t="s">
        <v>403</v>
      </c>
    </row>
    <row r="2224" spans="1:11" x14ac:dyDescent="0.3">
      <c r="A2224" s="1">
        <v>94</v>
      </c>
      <c r="B2224" s="1">
        <v>2025</v>
      </c>
      <c r="C2224" s="3">
        <v>45723</v>
      </c>
      <c r="E2224" s="1" t="s">
        <v>64</v>
      </c>
      <c r="F2224" s="1" t="s">
        <v>40</v>
      </c>
      <c r="H2224" s="1" t="s">
        <v>386</v>
      </c>
      <c r="I2224" s="1" t="s">
        <v>408</v>
      </c>
      <c r="J2224" s="1" t="s">
        <v>500</v>
      </c>
      <c r="K2224" s="1" t="s">
        <v>415</v>
      </c>
    </row>
    <row r="2225" spans="1:11" x14ac:dyDescent="0.3">
      <c r="A2225" s="1">
        <v>94</v>
      </c>
      <c r="B2225" s="1">
        <v>2025</v>
      </c>
      <c r="C2225" s="3">
        <v>45723</v>
      </c>
      <c r="E2225" s="12" t="s">
        <v>66</v>
      </c>
      <c r="F2225" s="13" t="s">
        <v>45</v>
      </c>
    </row>
    <row r="2226" spans="1:11" x14ac:dyDescent="0.3">
      <c r="A2226" s="1">
        <v>94</v>
      </c>
      <c r="B2226" s="1">
        <v>2025</v>
      </c>
      <c r="C2226" s="3">
        <v>45723</v>
      </c>
      <c r="E2226" s="12" t="s">
        <v>67</v>
      </c>
      <c r="F2226" s="13" t="s">
        <v>45</v>
      </c>
    </row>
    <row r="2227" spans="1:11" x14ac:dyDescent="0.3">
      <c r="A2227" s="1">
        <v>94</v>
      </c>
      <c r="B2227" s="1">
        <v>2025</v>
      </c>
      <c r="C2227" s="3">
        <v>45723</v>
      </c>
      <c r="E2227" s="12" t="s">
        <v>68</v>
      </c>
      <c r="F2227" s="13" t="s">
        <v>45</v>
      </c>
    </row>
    <row r="2228" spans="1:11" x14ac:dyDescent="0.3">
      <c r="A2228" s="1">
        <v>94</v>
      </c>
      <c r="B2228" s="1">
        <v>2025</v>
      </c>
      <c r="C2228" s="3">
        <v>45723</v>
      </c>
      <c r="E2228" s="12" t="s">
        <v>69</v>
      </c>
      <c r="F2228" s="13" t="s">
        <v>45</v>
      </c>
    </row>
    <row r="2229" spans="1:11" x14ac:dyDescent="0.3">
      <c r="A2229" s="1">
        <v>94</v>
      </c>
      <c r="B2229" s="1">
        <v>2025</v>
      </c>
      <c r="C2229" s="3">
        <v>45723</v>
      </c>
      <c r="E2229" s="12" t="s">
        <v>70</v>
      </c>
      <c r="F2229" s="13" t="s">
        <v>71</v>
      </c>
    </row>
    <row r="2230" spans="1:11" x14ac:dyDescent="0.3">
      <c r="A2230" s="1">
        <v>95</v>
      </c>
      <c r="B2230" s="1">
        <v>2025</v>
      </c>
      <c r="C2230" s="3">
        <v>45730</v>
      </c>
      <c r="E2230" s="1" t="s">
        <v>12</v>
      </c>
      <c r="F2230" s="1" t="s">
        <v>13</v>
      </c>
      <c r="H2230" s="1" t="s">
        <v>358</v>
      </c>
      <c r="I2230" s="1" t="s">
        <v>416</v>
      </c>
      <c r="J2230" s="1" t="s">
        <v>416</v>
      </c>
      <c r="K2230" s="1" t="s">
        <v>360</v>
      </c>
    </row>
    <row r="2231" spans="1:11" x14ac:dyDescent="0.3">
      <c r="A2231" s="1">
        <v>95</v>
      </c>
      <c r="B2231" s="1">
        <v>2025</v>
      </c>
      <c r="C2231" s="3">
        <v>45730</v>
      </c>
      <c r="E2231" s="1" t="s">
        <v>14</v>
      </c>
      <c r="F2231" s="1" t="s">
        <v>13</v>
      </c>
      <c r="H2231" s="1" t="s">
        <v>357</v>
      </c>
      <c r="I2231" s="1" t="s">
        <v>360</v>
      </c>
      <c r="J2231" s="1" t="s">
        <v>360</v>
      </c>
      <c r="K2231" s="1" t="s">
        <v>472</v>
      </c>
    </row>
    <row r="2232" spans="1:11" x14ac:dyDescent="0.3">
      <c r="A2232" s="1">
        <v>95</v>
      </c>
      <c r="B2232" s="1">
        <v>2025</v>
      </c>
      <c r="C2232" s="3">
        <v>45730</v>
      </c>
      <c r="E2232" s="1" t="s">
        <v>15</v>
      </c>
      <c r="F2232" s="1" t="s">
        <v>13</v>
      </c>
      <c r="G2232" s="1" t="s">
        <v>357</v>
      </c>
      <c r="H2232" s="1" t="s">
        <v>363</v>
      </c>
      <c r="I2232" s="1" t="s">
        <v>485</v>
      </c>
      <c r="J2232" s="1" t="s">
        <v>357</v>
      </c>
      <c r="K2232" s="1" t="s">
        <v>357</v>
      </c>
    </row>
    <row r="2233" spans="1:11" x14ac:dyDescent="0.3">
      <c r="A2233" s="1">
        <v>95</v>
      </c>
      <c r="B2233" s="1">
        <v>2025</v>
      </c>
      <c r="C2233" s="3">
        <v>45730</v>
      </c>
      <c r="E2233" s="1" t="s">
        <v>16</v>
      </c>
      <c r="F2233" s="1" t="s">
        <v>13</v>
      </c>
      <c r="G2233" s="1" t="s">
        <v>362</v>
      </c>
      <c r="H2233" s="1" t="s">
        <v>362</v>
      </c>
      <c r="I2233" s="1" t="s">
        <v>582</v>
      </c>
      <c r="J2233" s="1" t="s">
        <v>430</v>
      </c>
      <c r="K2233" s="1" t="s">
        <v>362</v>
      </c>
    </row>
    <row r="2234" spans="1:11" x14ac:dyDescent="0.3">
      <c r="A2234" s="1">
        <v>95</v>
      </c>
      <c r="B2234" s="1">
        <v>2025</v>
      </c>
      <c r="C2234" s="3">
        <v>45730</v>
      </c>
      <c r="E2234" s="1" t="s">
        <v>17</v>
      </c>
      <c r="F2234" s="1" t="s">
        <v>13</v>
      </c>
      <c r="G2234" s="1" t="s">
        <v>362</v>
      </c>
      <c r="H2234" s="1" t="s">
        <v>362</v>
      </c>
      <c r="I2234" s="1" t="s">
        <v>362</v>
      </c>
      <c r="J2234" s="1" t="s">
        <v>362</v>
      </c>
      <c r="K2234" s="1" t="s">
        <v>362</v>
      </c>
    </row>
    <row r="2235" spans="1:11" x14ac:dyDescent="0.3">
      <c r="A2235" s="1">
        <v>95</v>
      </c>
      <c r="B2235" s="1">
        <v>2025</v>
      </c>
      <c r="C2235" s="3">
        <v>45730</v>
      </c>
      <c r="E2235" s="1" t="s">
        <v>18</v>
      </c>
      <c r="F2235" s="1" t="s">
        <v>13</v>
      </c>
      <c r="H2235" s="1" t="s">
        <v>358</v>
      </c>
      <c r="I2235" s="1" t="s">
        <v>360</v>
      </c>
      <c r="J2235" s="1" t="s">
        <v>360</v>
      </c>
      <c r="K2235" s="1" t="s">
        <v>361</v>
      </c>
    </row>
    <row r="2236" spans="1:11" x14ac:dyDescent="0.3">
      <c r="A2236" s="1">
        <v>95</v>
      </c>
      <c r="B2236" s="1">
        <v>2025</v>
      </c>
      <c r="C2236" s="3">
        <v>45730</v>
      </c>
      <c r="E2236" s="1" t="s">
        <v>19</v>
      </c>
      <c r="F2236" s="1" t="s">
        <v>13</v>
      </c>
      <c r="H2236" s="1" t="s">
        <v>405</v>
      </c>
      <c r="I2236" s="1" t="s">
        <v>566</v>
      </c>
      <c r="J2236" s="1" t="s">
        <v>595</v>
      </c>
      <c r="K2236" s="1" t="s">
        <v>595</v>
      </c>
    </row>
    <row r="2237" spans="1:11" x14ac:dyDescent="0.3">
      <c r="A2237" s="1">
        <v>95</v>
      </c>
      <c r="B2237" s="1">
        <v>2025</v>
      </c>
      <c r="C2237" s="3">
        <v>45730</v>
      </c>
      <c r="E2237" s="1" t="s">
        <v>20</v>
      </c>
      <c r="F2237" s="1" t="s">
        <v>13</v>
      </c>
      <c r="H2237" s="1" t="s">
        <v>361</v>
      </c>
      <c r="I2237" s="1" t="s">
        <v>405</v>
      </c>
      <c r="J2237" s="1" t="s">
        <v>568</v>
      </c>
      <c r="K2237" s="1" t="s">
        <v>468</v>
      </c>
    </row>
    <row r="2238" spans="1:11" x14ac:dyDescent="0.3">
      <c r="A2238" s="1">
        <v>95</v>
      </c>
      <c r="B2238" s="1">
        <v>2025</v>
      </c>
      <c r="C2238" s="3">
        <v>45730</v>
      </c>
      <c r="E2238" s="1" t="s">
        <v>21</v>
      </c>
      <c r="F2238" s="1" t="s">
        <v>13</v>
      </c>
      <c r="G2238" s="1" t="s">
        <v>362</v>
      </c>
      <c r="H2238" s="1" t="s">
        <v>362</v>
      </c>
      <c r="I2238" s="1" t="s">
        <v>430</v>
      </c>
      <c r="J2238" s="1" t="s">
        <v>582</v>
      </c>
      <c r="K2238" s="1" t="s">
        <v>362</v>
      </c>
    </row>
    <row r="2239" spans="1:11" x14ac:dyDescent="0.3">
      <c r="A2239" s="1">
        <v>95</v>
      </c>
      <c r="B2239" s="1">
        <v>2025</v>
      </c>
      <c r="C2239" s="3">
        <v>45730</v>
      </c>
      <c r="E2239" s="1" t="s">
        <v>73</v>
      </c>
      <c r="F2239" s="1" t="s">
        <v>13</v>
      </c>
      <c r="H2239" s="1" t="s">
        <v>472</v>
      </c>
      <c r="I2239" s="1" t="s">
        <v>401</v>
      </c>
      <c r="J2239" s="1" t="s">
        <v>566</v>
      </c>
      <c r="K2239" s="1" t="s">
        <v>566</v>
      </c>
    </row>
    <row r="2240" spans="1:11" x14ac:dyDescent="0.3">
      <c r="A2240" s="1">
        <v>95</v>
      </c>
      <c r="B2240" s="1">
        <v>2025</v>
      </c>
      <c r="C2240" s="3">
        <v>45730</v>
      </c>
      <c r="E2240" s="1" t="s">
        <v>23</v>
      </c>
      <c r="F2240" s="1" t="s">
        <v>13</v>
      </c>
      <c r="G2240" s="1" t="s">
        <v>362</v>
      </c>
      <c r="H2240" s="1" t="s">
        <v>362</v>
      </c>
      <c r="I2240" s="1" t="s">
        <v>362</v>
      </c>
      <c r="J2240" s="1" t="s">
        <v>362</v>
      </c>
      <c r="K2240" s="1" t="s">
        <v>362</v>
      </c>
    </row>
    <row r="2241" spans="1:11" x14ac:dyDescent="0.3">
      <c r="A2241" s="1">
        <v>95</v>
      </c>
      <c r="B2241" s="1">
        <v>2025</v>
      </c>
      <c r="C2241" s="3">
        <v>45730</v>
      </c>
      <c r="E2241" s="1" t="s">
        <v>24</v>
      </c>
      <c r="F2241" s="1" t="s">
        <v>13</v>
      </c>
      <c r="H2241" s="1" t="s">
        <v>360</v>
      </c>
      <c r="I2241" s="1" t="s">
        <v>472</v>
      </c>
      <c r="J2241" s="1" t="s">
        <v>361</v>
      </c>
      <c r="K2241" s="1" t="s">
        <v>361</v>
      </c>
    </row>
    <row r="2242" spans="1:11" x14ac:dyDescent="0.3">
      <c r="A2242" s="1">
        <v>95</v>
      </c>
      <c r="B2242" s="1">
        <v>2025</v>
      </c>
      <c r="C2242" s="3">
        <v>45730</v>
      </c>
      <c r="E2242" s="1" t="s">
        <v>25</v>
      </c>
      <c r="F2242" s="1" t="s">
        <v>26</v>
      </c>
      <c r="G2242" s="1" t="s">
        <v>358</v>
      </c>
      <c r="H2242" s="1" t="s">
        <v>358</v>
      </c>
      <c r="I2242" s="1" t="s">
        <v>360</v>
      </c>
      <c r="J2242" s="1" t="s">
        <v>369</v>
      </c>
      <c r="K2242" s="1" t="s">
        <v>358</v>
      </c>
    </row>
    <row r="2243" spans="1:11" x14ac:dyDescent="0.3">
      <c r="A2243" s="1">
        <v>95</v>
      </c>
      <c r="B2243" s="1">
        <v>2025</v>
      </c>
      <c r="C2243" s="3">
        <v>45730</v>
      </c>
      <c r="E2243" s="1" t="s">
        <v>27</v>
      </c>
      <c r="F2243" s="1" t="s">
        <v>13</v>
      </c>
      <c r="H2243" s="1" t="s">
        <v>358</v>
      </c>
      <c r="I2243" s="1" t="s">
        <v>472</v>
      </c>
      <c r="J2243" s="1" t="s">
        <v>417</v>
      </c>
      <c r="K2243" s="1" t="s">
        <v>417</v>
      </c>
    </row>
    <row r="2244" spans="1:11" x14ac:dyDescent="0.3">
      <c r="A2244" s="1">
        <v>95</v>
      </c>
      <c r="B2244" s="1">
        <v>2025</v>
      </c>
      <c r="C2244" s="3">
        <v>45730</v>
      </c>
      <c r="E2244" s="1" t="s">
        <v>28</v>
      </c>
      <c r="F2244" s="1" t="s">
        <v>13</v>
      </c>
      <c r="H2244" s="1" t="s">
        <v>393</v>
      </c>
      <c r="I2244" s="1" t="s">
        <v>394</v>
      </c>
      <c r="J2244" s="1" t="s">
        <v>596</v>
      </c>
      <c r="K2244" s="1" t="s">
        <v>361</v>
      </c>
    </row>
    <row r="2245" spans="1:11" x14ac:dyDescent="0.3">
      <c r="A2245" s="1">
        <v>95</v>
      </c>
      <c r="B2245" s="1">
        <v>2025</v>
      </c>
      <c r="C2245" s="3">
        <v>45730</v>
      </c>
      <c r="E2245" s="1" t="s">
        <v>29</v>
      </c>
      <c r="F2245" s="1" t="s">
        <v>13</v>
      </c>
      <c r="H2245" s="1" t="s">
        <v>357</v>
      </c>
      <c r="I2245" s="1" t="s">
        <v>423</v>
      </c>
      <c r="J2245" s="1" t="s">
        <v>359</v>
      </c>
      <c r="K2245" s="1" t="s">
        <v>360</v>
      </c>
    </row>
    <row r="2246" spans="1:11" x14ac:dyDescent="0.3">
      <c r="A2246" s="1">
        <v>95</v>
      </c>
      <c r="B2246" s="1">
        <v>2025</v>
      </c>
      <c r="C2246" s="3">
        <v>45730</v>
      </c>
      <c r="E2246" s="1" t="s">
        <v>31</v>
      </c>
      <c r="F2246" s="1" t="s">
        <v>32</v>
      </c>
      <c r="G2246" s="1" t="s">
        <v>378</v>
      </c>
      <c r="H2246" s="1" t="s">
        <v>378</v>
      </c>
      <c r="I2246" s="1" t="s">
        <v>597</v>
      </c>
      <c r="J2246" s="1" t="s">
        <v>378</v>
      </c>
      <c r="K2246" s="1" t="s">
        <v>598</v>
      </c>
    </row>
    <row r="2247" spans="1:11" x14ac:dyDescent="0.3">
      <c r="A2247" s="1">
        <v>95</v>
      </c>
      <c r="B2247" s="1">
        <v>2025</v>
      </c>
      <c r="C2247" s="3">
        <v>45730</v>
      </c>
      <c r="E2247" s="1" t="s">
        <v>34</v>
      </c>
      <c r="F2247" s="1" t="s">
        <v>35</v>
      </c>
      <c r="G2247" s="1" t="s">
        <v>390</v>
      </c>
      <c r="H2247" s="1" t="s">
        <v>390</v>
      </c>
      <c r="I2247" s="1" t="s">
        <v>390</v>
      </c>
      <c r="J2247" s="1" t="s">
        <v>390</v>
      </c>
      <c r="K2247" s="1" t="s">
        <v>390</v>
      </c>
    </row>
    <row r="2248" spans="1:11" x14ac:dyDescent="0.3">
      <c r="A2248" s="1">
        <v>95</v>
      </c>
      <c r="B2248" s="1">
        <v>2025</v>
      </c>
      <c r="C2248" s="3">
        <v>45730</v>
      </c>
      <c r="E2248" s="1" t="s">
        <v>36</v>
      </c>
      <c r="F2248" s="1" t="s">
        <v>35</v>
      </c>
      <c r="H2248" s="1" t="s">
        <v>362</v>
      </c>
      <c r="I2248" s="1" t="s">
        <v>397</v>
      </c>
      <c r="J2248" s="1" t="s">
        <v>388</v>
      </c>
      <c r="K2248" s="1" t="s">
        <v>388</v>
      </c>
    </row>
    <row r="2249" spans="1:11" x14ac:dyDescent="0.3">
      <c r="A2249" s="1">
        <v>95</v>
      </c>
      <c r="B2249" s="1">
        <v>2025</v>
      </c>
      <c r="C2249" s="3">
        <v>45730</v>
      </c>
      <c r="E2249" s="1" t="s">
        <v>153</v>
      </c>
      <c r="F2249" s="1" t="s">
        <v>154</v>
      </c>
      <c r="G2249" s="1" t="s">
        <v>396</v>
      </c>
      <c r="H2249" s="1" t="s">
        <v>358</v>
      </c>
      <c r="I2249" s="1" t="s">
        <v>358</v>
      </c>
      <c r="J2249" s="1" t="s">
        <v>474</v>
      </c>
      <c r="K2249" s="1" t="s">
        <v>370</v>
      </c>
    </row>
    <row r="2250" spans="1:11" x14ac:dyDescent="0.3">
      <c r="A2250" s="1">
        <v>95</v>
      </c>
      <c r="B2250" s="1">
        <v>2025</v>
      </c>
      <c r="C2250" s="3">
        <v>45730</v>
      </c>
      <c r="E2250" s="1" t="s">
        <v>39</v>
      </c>
      <c r="F2250" s="1" t="s">
        <v>40</v>
      </c>
      <c r="G2250" s="1" t="s">
        <v>393</v>
      </c>
      <c r="H2250" s="1" t="s">
        <v>393</v>
      </c>
      <c r="I2250" s="1" t="s">
        <v>359</v>
      </c>
      <c r="J2250" s="1" t="s">
        <v>393</v>
      </c>
      <c r="K2250" s="1" t="s">
        <v>358</v>
      </c>
    </row>
    <row r="2251" spans="1:11" x14ac:dyDescent="0.3">
      <c r="A2251" s="1">
        <v>95</v>
      </c>
      <c r="B2251" s="1">
        <v>2025</v>
      </c>
      <c r="C2251" s="3">
        <v>45730</v>
      </c>
      <c r="E2251" s="1" t="s">
        <v>42</v>
      </c>
      <c r="F2251" s="1" t="s">
        <v>43</v>
      </c>
      <c r="G2251" s="1" t="s">
        <v>358</v>
      </c>
      <c r="H2251" s="1" t="s">
        <v>394</v>
      </c>
      <c r="I2251" s="1" t="s">
        <v>375</v>
      </c>
      <c r="J2251" s="1" t="s">
        <v>394</v>
      </c>
      <c r="K2251" s="1" t="s">
        <v>394</v>
      </c>
    </row>
    <row r="2252" spans="1:11" x14ac:dyDescent="0.3">
      <c r="A2252" s="1">
        <v>95</v>
      </c>
      <c r="B2252" s="1">
        <v>2025</v>
      </c>
      <c r="C2252" s="3">
        <v>45730</v>
      </c>
      <c r="E2252" s="1" t="s">
        <v>44</v>
      </c>
      <c r="F2252" s="1" t="s">
        <v>45</v>
      </c>
      <c r="G2252" s="1" t="s">
        <v>358</v>
      </c>
      <c r="H2252" s="1" t="s">
        <v>393</v>
      </c>
      <c r="I2252" s="1" t="s">
        <v>394</v>
      </c>
      <c r="J2252" s="1" t="s">
        <v>466</v>
      </c>
      <c r="K2252" s="1" t="s">
        <v>358</v>
      </c>
    </row>
    <row r="2253" spans="1:11" x14ac:dyDescent="0.3">
      <c r="A2253" s="1">
        <v>95</v>
      </c>
      <c r="B2253" s="1">
        <v>2025</v>
      </c>
      <c r="C2253" s="3">
        <v>45730</v>
      </c>
      <c r="E2253" s="1" t="s">
        <v>48</v>
      </c>
      <c r="F2253" s="1" t="s">
        <v>45</v>
      </c>
      <c r="G2253" s="1" t="s">
        <v>386</v>
      </c>
      <c r="H2253" s="1" t="s">
        <v>386</v>
      </c>
      <c r="I2253" s="1" t="s">
        <v>599</v>
      </c>
      <c r="J2253" s="1" t="s">
        <v>401</v>
      </c>
      <c r="K2253" s="1" t="s">
        <v>484</v>
      </c>
    </row>
    <row r="2254" spans="1:11" x14ac:dyDescent="0.3">
      <c r="A2254" s="1">
        <v>95</v>
      </c>
      <c r="B2254" s="1">
        <v>2025</v>
      </c>
      <c r="C2254" s="3">
        <v>45730</v>
      </c>
      <c r="E2254" s="1" t="s">
        <v>49</v>
      </c>
      <c r="F2254" s="1" t="s">
        <v>50</v>
      </c>
      <c r="G2254" s="1" t="s">
        <v>396</v>
      </c>
      <c r="H2254" s="1" t="s">
        <v>358</v>
      </c>
      <c r="I2254" s="1" t="s">
        <v>421</v>
      </c>
      <c r="J2254" s="1" t="s">
        <v>394</v>
      </c>
      <c r="K2254" s="1" t="s">
        <v>358</v>
      </c>
    </row>
    <row r="2255" spans="1:11" x14ac:dyDescent="0.3">
      <c r="A2255" s="1">
        <v>95</v>
      </c>
      <c r="B2255" s="1">
        <v>2025</v>
      </c>
      <c r="C2255" s="3">
        <v>45730</v>
      </c>
      <c r="E2255" s="1" t="s">
        <v>52</v>
      </c>
      <c r="F2255" s="1" t="s">
        <v>43</v>
      </c>
      <c r="G2255" s="1" t="s">
        <v>405</v>
      </c>
      <c r="H2255" s="1" t="s">
        <v>386</v>
      </c>
      <c r="I2255" s="1" t="s">
        <v>448</v>
      </c>
      <c r="J2255" s="1" t="s">
        <v>403</v>
      </c>
      <c r="K2255" s="1" t="s">
        <v>405</v>
      </c>
    </row>
    <row r="2256" spans="1:11" x14ac:dyDescent="0.3">
      <c r="A2256" s="1">
        <v>95</v>
      </c>
      <c r="B2256" s="1">
        <v>2025</v>
      </c>
      <c r="C2256" s="3">
        <v>45730</v>
      </c>
      <c r="E2256" s="1" t="s">
        <v>53</v>
      </c>
      <c r="F2256" s="1" t="s">
        <v>43</v>
      </c>
      <c r="G2256" s="1" t="s">
        <v>358</v>
      </c>
      <c r="H2256" s="1" t="s">
        <v>358</v>
      </c>
      <c r="I2256" s="1" t="s">
        <v>386</v>
      </c>
      <c r="J2256" s="1" t="s">
        <v>434</v>
      </c>
      <c r="K2256" s="1" t="s">
        <v>394</v>
      </c>
    </row>
    <row r="2257" spans="1:11" x14ac:dyDescent="0.3">
      <c r="A2257" s="1">
        <v>95</v>
      </c>
      <c r="B2257" s="1">
        <v>2025</v>
      </c>
      <c r="C2257" s="3">
        <v>45730</v>
      </c>
      <c r="E2257" s="1" t="s">
        <v>54</v>
      </c>
      <c r="F2257" s="1" t="s">
        <v>40</v>
      </c>
      <c r="G2257" s="1" t="s">
        <v>370</v>
      </c>
      <c r="H2257" s="1" t="s">
        <v>370</v>
      </c>
      <c r="I2257" s="1" t="s">
        <v>415</v>
      </c>
      <c r="J2257" s="1" t="s">
        <v>505</v>
      </c>
      <c r="K2257" s="1" t="s">
        <v>386</v>
      </c>
    </row>
    <row r="2258" spans="1:11" x14ac:dyDescent="0.3">
      <c r="A2258" s="1">
        <v>95</v>
      </c>
      <c r="B2258" s="1">
        <v>2025</v>
      </c>
      <c r="C2258" s="3">
        <v>45730</v>
      </c>
      <c r="E2258" s="1" t="s">
        <v>56</v>
      </c>
      <c r="F2258" s="1" t="s">
        <v>43</v>
      </c>
      <c r="H2258" s="1" t="s">
        <v>393</v>
      </c>
      <c r="I2258" s="1" t="s">
        <v>386</v>
      </c>
      <c r="J2258" s="1" t="s">
        <v>600</v>
      </c>
      <c r="K2258" s="1" t="s">
        <v>385</v>
      </c>
    </row>
    <row r="2259" spans="1:11" x14ac:dyDescent="0.3">
      <c r="A2259" s="1">
        <v>95</v>
      </c>
      <c r="B2259" s="1">
        <v>2025</v>
      </c>
      <c r="C2259" s="3">
        <v>45730</v>
      </c>
      <c r="E2259" s="1" t="s">
        <v>57</v>
      </c>
      <c r="F2259" s="1" t="s">
        <v>40</v>
      </c>
      <c r="H2259" s="1" t="s">
        <v>390</v>
      </c>
      <c r="I2259" s="1" t="s">
        <v>386</v>
      </c>
      <c r="J2259" s="1" t="s">
        <v>391</v>
      </c>
      <c r="K2259" s="1" t="s">
        <v>391</v>
      </c>
    </row>
    <row r="2260" spans="1:11" x14ac:dyDescent="0.3">
      <c r="A2260" s="1">
        <v>95</v>
      </c>
      <c r="B2260" s="1">
        <v>2025</v>
      </c>
      <c r="C2260" s="3">
        <v>45730</v>
      </c>
      <c r="E2260" s="1" t="s">
        <v>58</v>
      </c>
      <c r="F2260" s="1" t="s">
        <v>40</v>
      </c>
      <c r="G2260" s="1" t="s">
        <v>386</v>
      </c>
      <c r="H2260" s="1" t="s">
        <v>415</v>
      </c>
      <c r="I2260" s="1" t="s">
        <v>415</v>
      </c>
      <c r="J2260" s="1" t="s">
        <v>403</v>
      </c>
      <c r="K2260" s="1" t="s">
        <v>601</v>
      </c>
    </row>
    <row r="2261" spans="1:11" x14ac:dyDescent="0.3">
      <c r="A2261" s="1">
        <v>95</v>
      </c>
      <c r="B2261" s="1">
        <v>2025</v>
      </c>
      <c r="C2261" s="3">
        <v>45730</v>
      </c>
      <c r="E2261" s="1" t="s">
        <v>59</v>
      </c>
      <c r="F2261" s="1" t="s">
        <v>45</v>
      </c>
      <c r="G2261" s="1" t="s">
        <v>358</v>
      </c>
      <c r="H2261" s="1" t="s">
        <v>397</v>
      </c>
      <c r="I2261" s="1" t="s">
        <v>433</v>
      </c>
      <c r="J2261" s="1" t="s">
        <v>370</v>
      </c>
      <c r="K2261" s="1" t="s">
        <v>358</v>
      </c>
    </row>
    <row r="2262" spans="1:11" x14ac:dyDescent="0.3">
      <c r="A2262" s="1">
        <v>95</v>
      </c>
      <c r="B2262" s="1">
        <v>2025</v>
      </c>
      <c r="C2262" s="3">
        <v>45730</v>
      </c>
      <c r="E2262" s="1" t="s">
        <v>60</v>
      </c>
      <c r="F2262" s="1" t="s">
        <v>61</v>
      </c>
      <c r="G2262" s="1" t="s">
        <v>415</v>
      </c>
      <c r="H2262" s="1" t="s">
        <v>386</v>
      </c>
      <c r="I2262" s="1" t="s">
        <v>415</v>
      </c>
      <c r="J2262" s="1" t="s">
        <v>572</v>
      </c>
      <c r="K2262" s="1" t="s">
        <v>408</v>
      </c>
    </row>
    <row r="2263" spans="1:11" x14ac:dyDescent="0.3">
      <c r="A2263" s="1">
        <v>95</v>
      </c>
      <c r="B2263" s="1">
        <v>2025</v>
      </c>
      <c r="C2263" s="3">
        <v>45730</v>
      </c>
      <c r="E2263" s="1" t="s">
        <v>63</v>
      </c>
      <c r="F2263" s="1" t="s">
        <v>40</v>
      </c>
      <c r="H2263" s="1" t="s">
        <v>499</v>
      </c>
      <c r="I2263" s="1" t="s">
        <v>411</v>
      </c>
      <c r="J2263" s="1" t="s">
        <v>409</v>
      </c>
      <c r="K2263" s="1" t="s">
        <v>411</v>
      </c>
    </row>
    <row r="2264" spans="1:11" x14ac:dyDescent="0.3">
      <c r="A2264" s="1">
        <v>95</v>
      </c>
      <c r="B2264" s="1">
        <v>2025</v>
      </c>
      <c r="C2264" s="3">
        <v>45730</v>
      </c>
      <c r="E2264" s="1" t="s">
        <v>64</v>
      </c>
      <c r="F2264" s="1" t="s">
        <v>40</v>
      </c>
      <c r="G2264" s="1" t="s">
        <v>415</v>
      </c>
      <c r="H2264" s="1" t="s">
        <v>415</v>
      </c>
      <c r="I2264" s="1" t="s">
        <v>562</v>
      </c>
      <c r="J2264" s="1" t="s">
        <v>499</v>
      </c>
      <c r="K2264" s="1" t="s">
        <v>403</v>
      </c>
    </row>
    <row r="2265" spans="1:11" x14ac:dyDescent="0.3">
      <c r="A2265" s="1">
        <v>95</v>
      </c>
      <c r="B2265" s="1">
        <v>2025</v>
      </c>
      <c r="C2265" s="3">
        <v>45730</v>
      </c>
      <c r="E2265" s="12" t="s">
        <v>66</v>
      </c>
      <c r="F2265" s="13" t="s">
        <v>45</v>
      </c>
    </row>
    <row r="2266" spans="1:11" x14ac:dyDescent="0.3">
      <c r="A2266" s="1">
        <v>95</v>
      </c>
      <c r="B2266" s="1">
        <v>2025</v>
      </c>
      <c r="C2266" s="3">
        <v>45730</v>
      </c>
      <c r="E2266" s="12" t="s">
        <v>67</v>
      </c>
      <c r="F2266" s="13" t="s">
        <v>45</v>
      </c>
    </row>
    <row r="2267" spans="1:11" x14ac:dyDescent="0.3">
      <c r="A2267" s="1">
        <v>95</v>
      </c>
      <c r="B2267" s="1">
        <v>2025</v>
      </c>
      <c r="C2267" s="3">
        <v>45730</v>
      </c>
      <c r="E2267" s="12" t="s">
        <v>68</v>
      </c>
      <c r="F2267" s="13" t="s">
        <v>45</v>
      </c>
    </row>
    <row r="2268" spans="1:11" x14ac:dyDescent="0.3">
      <c r="A2268" s="1">
        <v>95</v>
      </c>
      <c r="B2268" s="1">
        <v>2025</v>
      </c>
      <c r="C2268" s="3">
        <v>45730</v>
      </c>
      <c r="E2268" s="12" t="s">
        <v>69</v>
      </c>
      <c r="F2268" s="13" t="s">
        <v>45</v>
      </c>
    </row>
    <row r="2269" spans="1:11" x14ac:dyDescent="0.3">
      <c r="A2269" s="1">
        <v>95</v>
      </c>
      <c r="B2269" s="1">
        <v>2025</v>
      </c>
      <c r="C2269" s="3">
        <v>45730</v>
      </c>
      <c r="E2269" s="12" t="s">
        <v>70</v>
      </c>
      <c r="F2269" s="13" t="s">
        <v>71</v>
      </c>
    </row>
    <row r="2270" spans="1:11" x14ac:dyDescent="0.3">
      <c r="A2270" s="1">
        <v>96</v>
      </c>
      <c r="B2270" s="1">
        <v>2025</v>
      </c>
      <c r="C2270" s="3">
        <v>45737</v>
      </c>
      <c r="E2270" s="1" t="s">
        <v>12</v>
      </c>
      <c r="F2270" s="1" t="s">
        <v>13</v>
      </c>
      <c r="H2270" s="1" t="s">
        <v>358</v>
      </c>
      <c r="I2270" s="1" t="s">
        <v>360</v>
      </c>
      <c r="J2270" s="1" t="s">
        <v>416</v>
      </c>
      <c r="K2270" s="1" t="s">
        <v>416</v>
      </c>
    </row>
    <row r="2271" spans="1:11" x14ac:dyDescent="0.3">
      <c r="A2271" s="1">
        <v>96</v>
      </c>
      <c r="B2271" s="1">
        <v>2025</v>
      </c>
      <c r="C2271" s="3">
        <v>45737</v>
      </c>
      <c r="E2271" s="1" t="s">
        <v>14</v>
      </c>
      <c r="F2271" s="1" t="s">
        <v>13</v>
      </c>
      <c r="H2271" s="1" t="s">
        <v>358</v>
      </c>
      <c r="I2271" s="1" t="s">
        <v>472</v>
      </c>
      <c r="J2271" s="1" t="s">
        <v>417</v>
      </c>
      <c r="K2271" s="1" t="s">
        <v>417</v>
      </c>
    </row>
    <row r="2272" spans="1:11" x14ac:dyDescent="0.3">
      <c r="A2272" s="1">
        <v>96</v>
      </c>
      <c r="B2272" s="1">
        <v>2025</v>
      </c>
      <c r="C2272" s="3">
        <v>45737</v>
      </c>
      <c r="E2272" s="1" t="s">
        <v>15</v>
      </c>
      <c r="F2272" s="1" t="s">
        <v>13</v>
      </c>
      <c r="H2272" s="1" t="s">
        <v>358</v>
      </c>
      <c r="I2272" s="1" t="s">
        <v>363</v>
      </c>
      <c r="J2272" s="1" t="s">
        <v>428</v>
      </c>
      <c r="K2272" s="1" t="s">
        <v>359</v>
      </c>
    </row>
    <row r="2273" spans="1:11" x14ac:dyDescent="0.3">
      <c r="A2273" s="1">
        <v>96</v>
      </c>
      <c r="B2273" s="1">
        <v>2025</v>
      </c>
      <c r="C2273" s="3">
        <v>45737</v>
      </c>
      <c r="E2273" s="1" t="s">
        <v>16</v>
      </c>
      <c r="F2273" s="1" t="s">
        <v>13</v>
      </c>
      <c r="G2273" s="1" t="s">
        <v>362</v>
      </c>
      <c r="H2273" s="1" t="s">
        <v>362</v>
      </c>
      <c r="I2273" s="1" t="s">
        <v>365</v>
      </c>
      <c r="J2273" s="1" t="s">
        <v>563</v>
      </c>
      <c r="K2273" s="1" t="s">
        <v>362</v>
      </c>
    </row>
    <row r="2274" spans="1:11" x14ac:dyDescent="0.3">
      <c r="A2274" s="1">
        <v>96</v>
      </c>
      <c r="B2274" s="1">
        <v>2025</v>
      </c>
      <c r="C2274" s="3">
        <v>45737</v>
      </c>
      <c r="E2274" s="1" t="s">
        <v>17</v>
      </c>
      <c r="F2274" s="1" t="s">
        <v>13</v>
      </c>
      <c r="G2274" s="1" t="s">
        <v>362</v>
      </c>
      <c r="H2274" s="1" t="s">
        <v>365</v>
      </c>
      <c r="I2274" s="1" t="s">
        <v>362</v>
      </c>
      <c r="J2274" s="1" t="s">
        <v>563</v>
      </c>
      <c r="K2274" s="1" t="s">
        <v>362</v>
      </c>
    </row>
    <row r="2275" spans="1:11" x14ac:dyDescent="0.3">
      <c r="A2275" s="1">
        <v>96</v>
      </c>
      <c r="B2275" s="1">
        <v>2025</v>
      </c>
      <c r="C2275" s="3">
        <v>45737</v>
      </c>
      <c r="E2275" s="1" t="s">
        <v>18</v>
      </c>
      <c r="F2275" s="1" t="s">
        <v>13</v>
      </c>
      <c r="H2275" s="1" t="s">
        <v>472</v>
      </c>
      <c r="I2275" s="1" t="s">
        <v>416</v>
      </c>
      <c r="J2275" s="1" t="s">
        <v>502</v>
      </c>
      <c r="K2275" s="1" t="s">
        <v>502</v>
      </c>
    </row>
    <row r="2276" spans="1:11" x14ac:dyDescent="0.3">
      <c r="A2276" s="1">
        <v>96</v>
      </c>
      <c r="B2276" s="1">
        <v>2025</v>
      </c>
      <c r="C2276" s="3">
        <v>45737</v>
      </c>
      <c r="E2276" s="1" t="s">
        <v>19</v>
      </c>
      <c r="F2276" s="1" t="s">
        <v>13</v>
      </c>
      <c r="H2276" s="1" t="s">
        <v>472</v>
      </c>
      <c r="I2276" s="1" t="s">
        <v>602</v>
      </c>
      <c r="J2276" s="1" t="s">
        <v>446</v>
      </c>
      <c r="K2276" s="1" t="s">
        <v>446</v>
      </c>
    </row>
    <row r="2277" spans="1:11" x14ac:dyDescent="0.3">
      <c r="A2277" s="1">
        <v>96</v>
      </c>
      <c r="B2277" s="1">
        <v>2025</v>
      </c>
      <c r="C2277" s="3">
        <v>45737</v>
      </c>
      <c r="E2277" s="1" t="s">
        <v>20</v>
      </c>
      <c r="F2277" s="1" t="s">
        <v>13</v>
      </c>
      <c r="H2277" s="1" t="s">
        <v>401</v>
      </c>
      <c r="I2277" s="1" t="s">
        <v>361</v>
      </c>
      <c r="J2277" s="1" t="s">
        <v>415</v>
      </c>
      <c r="K2277" s="1" t="s">
        <v>472</v>
      </c>
    </row>
    <row r="2278" spans="1:11" x14ac:dyDescent="0.3">
      <c r="A2278" s="1">
        <v>96</v>
      </c>
      <c r="B2278" s="1">
        <v>2025</v>
      </c>
      <c r="C2278" s="3">
        <v>45737</v>
      </c>
      <c r="E2278" s="1" t="s">
        <v>21</v>
      </c>
      <c r="F2278" s="1" t="s">
        <v>13</v>
      </c>
      <c r="H2278" s="1" t="s">
        <v>366</v>
      </c>
      <c r="I2278" s="1" t="s">
        <v>363</v>
      </c>
      <c r="J2278" s="1" t="s">
        <v>582</v>
      </c>
      <c r="K2278" s="1" t="s">
        <v>362</v>
      </c>
    </row>
    <row r="2279" spans="1:11" x14ac:dyDescent="0.3">
      <c r="A2279" s="1">
        <v>96</v>
      </c>
      <c r="B2279" s="1">
        <v>2025</v>
      </c>
      <c r="C2279" s="3">
        <v>45737</v>
      </c>
      <c r="E2279" s="1" t="s">
        <v>73</v>
      </c>
      <c r="F2279" s="1" t="s">
        <v>13</v>
      </c>
      <c r="H2279" s="1" t="s">
        <v>472</v>
      </c>
      <c r="I2279" s="1" t="s">
        <v>401</v>
      </c>
      <c r="J2279" s="1" t="s">
        <v>566</v>
      </c>
      <c r="K2279" s="1" t="s">
        <v>566</v>
      </c>
    </row>
    <row r="2280" spans="1:11" x14ac:dyDescent="0.3">
      <c r="A2280" s="1">
        <v>96</v>
      </c>
      <c r="B2280" s="1">
        <v>2025</v>
      </c>
      <c r="C2280" s="3">
        <v>45737</v>
      </c>
      <c r="E2280" s="1" t="s">
        <v>23</v>
      </c>
      <c r="F2280" s="1" t="s">
        <v>13</v>
      </c>
      <c r="G2280" s="1" t="s">
        <v>362</v>
      </c>
      <c r="H2280" s="1" t="s">
        <v>362</v>
      </c>
      <c r="I2280" s="1" t="s">
        <v>365</v>
      </c>
      <c r="J2280" s="1" t="s">
        <v>563</v>
      </c>
      <c r="K2280" s="1" t="s">
        <v>362</v>
      </c>
    </row>
    <row r="2281" spans="1:11" x14ac:dyDescent="0.3">
      <c r="A2281" s="1">
        <v>96</v>
      </c>
      <c r="B2281" s="1">
        <v>2025</v>
      </c>
      <c r="C2281" s="3">
        <v>45737</v>
      </c>
      <c r="E2281" s="1" t="s">
        <v>24</v>
      </c>
      <c r="F2281" s="1" t="s">
        <v>13</v>
      </c>
      <c r="H2281" s="1" t="s">
        <v>360</v>
      </c>
      <c r="I2281" s="1" t="s">
        <v>472</v>
      </c>
      <c r="J2281" s="1" t="s">
        <v>361</v>
      </c>
      <c r="K2281" s="1" t="s">
        <v>361</v>
      </c>
    </row>
    <row r="2282" spans="1:11" x14ac:dyDescent="0.3">
      <c r="A2282" s="1">
        <v>96</v>
      </c>
      <c r="B2282" s="1">
        <v>2025</v>
      </c>
      <c r="C2282" s="3">
        <v>45737</v>
      </c>
      <c r="E2282" s="1" t="s">
        <v>25</v>
      </c>
      <c r="F2282" s="1" t="s">
        <v>26</v>
      </c>
      <c r="G2282" s="1" t="s">
        <v>358</v>
      </c>
      <c r="H2282" s="1" t="s">
        <v>358</v>
      </c>
      <c r="I2282" s="1" t="s">
        <v>360</v>
      </c>
      <c r="J2282" s="1" t="s">
        <v>369</v>
      </c>
      <c r="K2282" s="1" t="s">
        <v>358</v>
      </c>
    </row>
    <row r="2283" spans="1:11" x14ac:dyDescent="0.3">
      <c r="A2283" s="1">
        <v>96</v>
      </c>
      <c r="B2283" s="1">
        <v>2025</v>
      </c>
      <c r="C2283" s="3">
        <v>45737</v>
      </c>
      <c r="E2283" s="1" t="s">
        <v>27</v>
      </c>
      <c r="F2283" s="1" t="s">
        <v>13</v>
      </c>
      <c r="H2283" s="1" t="s">
        <v>472</v>
      </c>
      <c r="I2283" s="1" t="s">
        <v>361</v>
      </c>
      <c r="J2283" s="1" t="s">
        <v>405</v>
      </c>
      <c r="K2283" s="1" t="s">
        <v>405</v>
      </c>
    </row>
    <row r="2284" spans="1:11" x14ac:dyDescent="0.3">
      <c r="A2284" s="1">
        <v>96</v>
      </c>
      <c r="B2284" s="1">
        <v>2025</v>
      </c>
      <c r="C2284" s="3">
        <v>45737</v>
      </c>
      <c r="E2284" s="1" t="s">
        <v>28</v>
      </c>
      <c r="F2284" s="1" t="s">
        <v>13</v>
      </c>
      <c r="H2284" s="1" t="s">
        <v>390</v>
      </c>
      <c r="I2284" s="1" t="s">
        <v>361</v>
      </c>
      <c r="J2284" s="1" t="s">
        <v>385</v>
      </c>
      <c r="K2284" s="1" t="s">
        <v>429</v>
      </c>
    </row>
    <row r="2285" spans="1:11" x14ac:dyDescent="0.3">
      <c r="A2285" s="1">
        <v>96</v>
      </c>
      <c r="B2285" s="1">
        <v>2025</v>
      </c>
      <c r="C2285" s="3">
        <v>45737</v>
      </c>
      <c r="E2285" s="1" t="s">
        <v>29</v>
      </c>
      <c r="F2285" s="1" t="s">
        <v>13</v>
      </c>
      <c r="G2285" s="1" t="s">
        <v>358</v>
      </c>
      <c r="H2285" s="1" t="s">
        <v>358</v>
      </c>
      <c r="I2285" s="1" t="s">
        <v>358</v>
      </c>
      <c r="J2285" s="1" t="s">
        <v>358</v>
      </c>
      <c r="K2285" s="1" t="s">
        <v>358</v>
      </c>
    </row>
    <row r="2286" spans="1:11" x14ac:dyDescent="0.3">
      <c r="A2286" s="1">
        <v>96</v>
      </c>
      <c r="B2286" s="1">
        <v>2025</v>
      </c>
      <c r="C2286" s="3">
        <v>45737</v>
      </c>
      <c r="E2286" s="1" t="s">
        <v>31</v>
      </c>
      <c r="F2286" s="1" t="s">
        <v>32</v>
      </c>
      <c r="G2286" s="1" t="s">
        <v>597</v>
      </c>
      <c r="H2286" s="1" t="s">
        <v>378</v>
      </c>
      <c r="I2286" s="1" t="s">
        <v>378</v>
      </c>
      <c r="J2286" s="1" t="s">
        <v>378</v>
      </c>
      <c r="K2286" s="1" t="s">
        <v>598</v>
      </c>
    </row>
    <row r="2287" spans="1:11" x14ac:dyDescent="0.3">
      <c r="A2287" s="1">
        <v>96</v>
      </c>
      <c r="B2287" s="1">
        <v>2025</v>
      </c>
      <c r="C2287" s="3">
        <v>45737</v>
      </c>
      <c r="E2287" s="1" t="s">
        <v>34</v>
      </c>
      <c r="F2287" s="1" t="s">
        <v>35</v>
      </c>
      <c r="G2287" s="1" t="s">
        <v>390</v>
      </c>
      <c r="H2287" s="1" t="s">
        <v>603</v>
      </c>
      <c r="I2287" s="1" t="s">
        <v>390</v>
      </c>
      <c r="J2287" s="1" t="s">
        <v>390</v>
      </c>
      <c r="K2287" s="1" t="s">
        <v>604</v>
      </c>
    </row>
    <row r="2288" spans="1:11" x14ac:dyDescent="0.3">
      <c r="A2288" s="1">
        <v>96</v>
      </c>
      <c r="B2288" s="1">
        <v>2025</v>
      </c>
      <c r="C2288" s="3">
        <v>45737</v>
      </c>
      <c r="E2288" s="1" t="s">
        <v>36</v>
      </c>
      <c r="F2288" s="1" t="s">
        <v>35</v>
      </c>
      <c r="H2288" s="1" t="s">
        <v>419</v>
      </c>
      <c r="I2288" s="1" t="s">
        <v>397</v>
      </c>
      <c r="J2288" s="1" t="s">
        <v>467</v>
      </c>
      <c r="K2288" s="1" t="s">
        <v>388</v>
      </c>
    </row>
    <row r="2289" spans="1:11" x14ac:dyDescent="0.3">
      <c r="A2289" s="1">
        <v>96</v>
      </c>
      <c r="B2289" s="1">
        <v>2025</v>
      </c>
      <c r="C2289" s="3">
        <v>45737</v>
      </c>
      <c r="E2289" s="1" t="s">
        <v>153</v>
      </c>
      <c r="F2289" s="1" t="s">
        <v>154</v>
      </c>
      <c r="H2289" s="1" t="s">
        <v>358</v>
      </c>
      <c r="I2289" s="1" t="s">
        <v>396</v>
      </c>
      <c r="J2289" s="1" t="s">
        <v>399</v>
      </c>
      <c r="K2289" s="1" t="s">
        <v>399</v>
      </c>
    </row>
    <row r="2290" spans="1:11" x14ac:dyDescent="0.3">
      <c r="A2290" s="1">
        <v>96</v>
      </c>
      <c r="B2290" s="1">
        <v>2025</v>
      </c>
      <c r="C2290" s="3">
        <v>45737</v>
      </c>
      <c r="E2290" s="1" t="s">
        <v>39</v>
      </c>
      <c r="F2290" s="1" t="s">
        <v>40</v>
      </c>
      <c r="G2290" s="1" t="s">
        <v>370</v>
      </c>
      <c r="H2290" s="1" t="s">
        <v>370</v>
      </c>
      <c r="I2290" s="1" t="s">
        <v>385</v>
      </c>
      <c r="J2290" s="1" t="s">
        <v>370</v>
      </c>
      <c r="K2290" s="1" t="s">
        <v>483</v>
      </c>
    </row>
    <row r="2291" spans="1:11" x14ac:dyDescent="0.3">
      <c r="A2291" s="1">
        <v>96</v>
      </c>
      <c r="B2291" s="1">
        <v>2025</v>
      </c>
      <c r="C2291" s="3">
        <v>45737</v>
      </c>
      <c r="E2291" s="1" t="s">
        <v>42</v>
      </c>
      <c r="F2291" s="1" t="s">
        <v>43</v>
      </c>
      <c r="H2291" s="1" t="s">
        <v>390</v>
      </c>
      <c r="I2291" s="1" t="s">
        <v>370</v>
      </c>
      <c r="J2291" s="1" t="s">
        <v>358</v>
      </c>
      <c r="K2291" s="1" t="s">
        <v>394</v>
      </c>
    </row>
    <row r="2292" spans="1:11" x14ac:dyDescent="0.3">
      <c r="A2292" s="1">
        <v>96</v>
      </c>
      <c r="B2292" s="1">
        <v>2025</v>
      </c>
      <c r="C2292" s="3">
        <v>45737</v>
      </c>
      <c r="E2292" s="1" t="s">
        <v>44</v>
      </c>
      <c r="F2292" s="1" t="s">
        <v>45</v>
      </c>
      <c r="H2292" s="1" t="s">
        <v>394</v>
      </c>
      <c r="I2292" s="1" t="s">
        <v>397</v>
      </c>
      <c r="J2292" s="1" t="s">
        <v>396</v>
      </c>
      <c r="K2292" s="1" t="s">
        <v>358</v>
      </c>
    </row>
    <row r="2293" spans="1:11" x14ac:dyDescent="0.3">
      <c r="A2293" s="1">
        <v>96</v>
      </c>
      <c r="B2293" s="1">
        <v>2025</v>
      </c>
      <c r="C2293" s="3">
        <v>45737</v>
      </c>
      <c r="E2293" s="1" t="s">
        <v>48</v>
      </c>
      <c r="F2293" s="1" t="s">
        <v>45</v>
      </c>
      <c r="H2293" s="1" t="s">
        <v>386</v>
      </c>
      <c r="I2293" s="1" t="s">
        <v>370</v>
      </c>
      <c r="J2293" s="1" t="s">
        <v>385</v>
      </c>
      <c r="K2293" s="1" t="s">
        <v>385</v>
      </c>
    </row>
    <row r="2294" spans="1:11" x14ac:dyDescent="0.3">
      <c r="A2294" s="1">
        <v>96</v>
      </c>
      <c r="B2294" s="1">
        <v>2025</v>
      </c>
      <c r="C2294" s="3">
        <v>45737</v>
      </c>
      <c r="E2294" s="1" t="s">
        <v>49</v>
      </c>
      <c r="F2294" s="1" t="s">
        <v>50</v>
      </c>
      <c r="G2294" s="1" t="s">
        <v>358</v>
      </c>
      <c r="H2294" s="1" t="s">
        <v>370</v>
      </c>
      <c r="I2294" s="1" t="s">
        <v>358</v>
      </c>
      <c r="J2294" s="1" t="s">
        <v>374</v>
      </c>
      <c r="K2294" s="1" t="s">
        <v>358</v>
      </c>
    </row>
    <row r="2295" spans="1:11" x14ac:dyDescent="0.3">
      <c r="A2295" s="1">
        <v>96</v>
      </c>
      <c r="B2295" s="1">
        <v>2025</v>
      </c>
      <c r="C2295" s="3">
        <v>45737</v>
      </c>
      <c r="E2295" s="1" t="s">
        <v>52</v>
      </c>
      <c r="F2295" s="1" t="s">
        <v>43</v>
      </c>
      <c r="G2295" s="1" t="s">
        <v>370</v>
      </c>
      <c r="H2295" s="1" t="s">
        <v>415</v>
      </c>
      <c r="I2295" s="1" t="s">
        <v>415</v>
      </c>
      <c r="J2295" s="1" t="s">
        <v>405</v>
      </c>
      <c r="K2295" s="1" t="s">
        <v>415</v>
      </c>
    </row>
    <row r="2296" spans="1:11" x14ac:dyDescent="0.3">
      <c r="A2296" s="1">
        <v>96</v>
      </c>
      <c r="B2296" s="1">
        <v>2025</v>
      </c>
      <c r="C2296" s="3">
        <v>45737</v>
      </c>
      <c r="E2296" s="1" t="s">
        <v>53</v>
      </c>
      <c r="F2296" s="1" t="s">
        <v>43</v>
      </c>
      <c r="H2296" s="1" t="s">
        <v>393</v>
      </c>
      <c r="I2296" s="1" t="s">
        <v>401</v>
      </c>
      <c r="J2296" s="1" t="s">
        <v>444</v>
      </c>
      <c r="K2296" s="1" t="s">
        <v>394</v>
      </c>
    </row>
    <row r="2297" spans="1:11" x14ac:dyDescent="0.3">
      <c r="A2297" s="1">
        <v>96</v>
      </c>
      <c r="B2297" s="1">
        <v>2025</v>
      </c>
      <c r="C2297" s="3">
        <v>45737</v>
      </c>
      <c r="E2297" s="1" t="s">
        <v>54</v>
      </c>
      <c r="F2297" s="1" t="s">
        <v>40</v>
      </c>
      <c r="H2297" s="1" t="s">
        <v>405</v>
      </c>
      <c r="I2297" s="1" t="s">
        <v>415</v>
      </c>
      <c r="J2297" s="1" t="s">
        <v>412</v>
      </c>
      <c r="K2297" s="1" t="s">
        <v>412</v>
      </c>
    </row>
    <row r="2298" spans="1:11" x14ac:dyDescent="0.3">
      <c r="A2298" s="1">
        <v>96</v>
      </c>
      <c r="B2298" s="1">
        <v>2025</v>
      </c>
      <c r="C2298" s="3">
        <v>45737</v>
      </c>
      <c r="E2298" s="1" t="s">
        <v>56</v>
      </c>
      <c r="F2298" s="1" t="s">
        <v>43</v>
      </c>
      <c r="H2298" s="1" t="s">
        <v>393</v>
      </c>
      <c r="I2298" s="1" t="s">
        <v>385</v>
      </c>
      <c r="J2298" s="1" t="s">
        <v>391</v>
      </c>
      <c r="K2298" s="1" t="s">
        <v>391</v>
      </c>
    </row>
    <row r="2299" spans="1:11" x14ac:dyDescent="0.3">
      <c r="A2299" s="1">
        <v>96</v>
      </c>
      <c r="B2299" s="1">
        <v>2025</v>
      </c>
      <c r="C2299" s="3">
        <v>45737</v>
      </c>
      <c r="E2299" s="1" t="s">
        <v>57</v>
      </c>
      <c r="F2299" s="1" t="s">
        <v>40</v>
      </c>
      <c r="H2299" s="1" t="s">
        <v>370</v>
      </c>
      <c r="I2299" s="1" t="s">
        <v>386</v>
      </c>
      <c r="J2299" s="1" t="s">
        <v>385</v>
      </c>
      <c r="K2299" s="1" t="s">
        <v>385</v>
      </c>
    </row>
    <row r="2300" spans="1:11" x14ac:dyDescent="0.3">
      <c r="A2300" s="1">
        <v>96</v>
      </c>
      <c r="B2300" s="1">
        <v>2025</v>
      </c>
      <c r="C2300" s="3">
        <v>45737</v>
      </c>
      <c r="E2300" s="1" t="s">
        <v>58</v>
      </c>
      <c r="F2300" s="1" t="s">
        <v>40</v>
      </c>
      <c r="H2300" s="1" t="s">
        <v>386</v>
      </c>
      <c r="I2300" s="1" t="s">
        <v>401</v>
      </c>
      <c r="J2300" s="1" t="s">
        <v>415</v>
      </c>
      <c r="K2300" s="1" t="s">
        <v>415</v>
      </c>
    </row>
    <row r="2301" spans="1:11" x14ac:dyDescent="0.3">
      <c r="A2301" s="1">
        <v>96</v>
      </c>
      <c r="B2301" s="1">
        <v>2025</v>
      </c>
      <c r="C2301" s="3">
        <v>45737</v>
      </c>
      <c r="E2301" s="1" t="s">
        <v>59</v>
      </c>
      <c r="F2301" s="1" t="s">
        <v>45</v>
      </c>
      <c r="H2301" s="1" t="s">
        <v>397</v>
      </c>
      <c r="I2301" s="1" t="s">
        <v>370</v>
      </c>
      <c r="J2301" s="1" t="s">
        <v>592</v>
      </c>
      <c r="K2301" s="1" t="s">
        <v>358</v>
      </c>
    </row>
    <row r="2302" spans="1:11" x14ac:dyDescent="0.3">
      <c r="A2302" s="1">
        <v>96</v>
      </c>
      <c r="B2302" s="1">
        <v>2025</v>
      </c>
      <c r="C2302" s="3">
        <v>45737</v>
      </c>
      <c r="E2302" s="1" t="s">
        <v>60</v>
      </c>
      <c r="F2302" s="1" t="s">
        <v>61</v>
      </c>
      <c r="H2302" s="1" t="s">
        <v>409</v>
      </c>
      <c r="I2302" s="1" t="s">
        <v>401</v>
      </c>
      <c r="J2302" s="1" t="s">
        <v>499</v>
      </c>
      <c r="K2302" s="1" t="s">
        <v>605</v>
      </c>
    </row>
    <row r="2303" spans="1:11" x14ac:dyDescent="0.3">
      <c r="A2303" s="1">
        <v>96</v>
      </c>
      <c r="B2303" s="1">
        <v>2025</v>
      </c>
      <c r="C2303" s="3">
        <v>45737</v>
      </c>
      <c r="E2303" s="1" t="s">
        <v>63</v>
      </c>
      <c r="F2303" s="1" t="s">
        <v>40</v>
      </c>
      <c r="H2303" s="1" t="s">
        <v>403</v>
      </c>
      <c r="I2303" s="1" t="s">
        <v>425</v>
      </c>
      <c r="J2303" s="1" t="s">
        <v>606</v>
      </c>
      <c r="K2303" s="1" t="s">
        <v>411</v>
      </c>
    </row>
    <row r="2304" spans="1:11" x14ac:dyDescent="0.3">
      <c r="A2304" s="1">
        <v>96</v>
      </c>
      <c r="B2304" s="1">
        <v>2025</v>
      </c>
      <c r="C2304" s="3">
        <v>45737</v>
      </c>
      <c r="E2304" s="1" t="s">
        <v>64</v>
      </c>
      <c r="F2304" s="1" t="s">
        <v>40</v>
      </c>
      <c r="H2304" s="1" t="s">
        <v>415</v>
      </c>
      <c r="I2304" s="1" t="s">
        <v>408</v>
      </c>
      <c r="J2304" s="1" t="s">
        <v>414</v>
      </c>
      <c r="K2304" s="1" t="s">
        <v>401</v>
      </c>
    </row>
    <row r="2305" spans="1:11" x14ac:dyDescent="0.3">
      <c r="A2305" s="1">
        <v>96</v>
      </c>
      <c r="B2305" s="1">
        <v>2025</v>
      </c>
      <c r="C2305" s="3">
        <v>45737</v>
      </c>
      <c r="E2305" s="12" t="s">
        <v>66</v>
      </c>
      <c r="F2305" s="13" t="s">
        <v>45</v>
      </c>
    </row>
    <row r="2306" spans="1:11" x14ac:dyDescent="0.3">
      <c r="A2306" s="1">
        <v>96</v>
      </c>
      <c r="B2306" s="1">
        <v>2025</v>
      </c>
      <c r="C2306" s="3">
        <v>45737</v>
      </c>
      <c r="E2306" s="12" t="s">
        <v>67</v>
      </c>
      <c r="F2306" s="13" t="s">
        <v>45</v>
      </c>
    </row>
    <row r="2307" spans="1:11" x14ac:dyDescent="0.3">
      <c r="A2307" s="1">
        <v>96</v>
      </c>
      <c r="B2307" s="1">
        <v>2025</v>
      </c>
      <c r="C2307" s="3">
        <v>45737</v>
      </c>
      <c r="E2307" s="12" t="s">
        <v>68</v>
      </c>
      <c r="F2307" s="13" t="s">
        <v>45</v>
      </c>
    </row>
    <row r="2308" spans="1:11" x14ac:dyDescent="0.3">
      <c r="A2308" s="1">
        <v>96</v>
      </c>
      <c r="B2308" s="1">
        <v>2025</v>
      </c>
      <c r="C2308" s="3">
        <v>45737</v>
      </c>
      <c r="E2308" s="12" t="s">
        <v>69</v>
      </c>
      <c r="F2308" s="13" t="s">
        <v>45</v>
      </c>
    </row>
    <row r="2309" spans="1:11" x14ac:dyDescent="0.3">
      <c r="A2309" s="1">
        <v>96</v>
      </c>
      <c r="B2309" s="1">
        <v>2025</v>
      </c>
      <c r="C2309" s="3">
        <v>45737</v>
      </c>
      <c r="E2309" s="12" t="s">
        <v>70</v>
      </c>
      <c r="F2309" s="13" t="s">
        <v>71</v>
      </c>
    </row>
    <row r="2310" spans="1:11" x14ac:dyDescent="0.3">
      <c r="A2310" s="1">
        <v>97</v>
      </c>
      <c r="B2310" s="1">
        <v>2025</v>
      </c>
      <c r="C2310" s="3">
        <v>45744</v>
      </c>
      <c r="E2310" s="1" t="s">
        <v>12</v>
      </c>
      <c r="F2310" s="1" t="s">
        <v>13</v>
      </c>
      <c r="G2310" s="1" t="s">
        <v>358</v>
      </c>
      <c r="H2310" s="1" t="s">
        <v>358</v>
      </c>
      <c r="I2310" s="1" t="s">
        <v>360</v>
      </c>
      <c r="J2310" s="1" t="s">
        <v>369</v>
      </c>
      <c r="K2310" s="1" t="s">
        <v>358</v>
      </c>
    </row>
    <row r="2311" spans="1:11" x14ac:dyDescent="0.3">
      <c r="A2311" s="1">
        <v>97</v>
      </c>
      <c r="B2311" s="1">
        <v>2025</v>
      </c>
      <c r="C2311" s="3">
        <v>45744</v>
      </c>
      <c r="E2311" s="1" t="s">
        <v>14</v>
      </c>
      <c r="F2311" s="1" t="s">
        <v>13</v>
      </c>
      <c r="H2311" s="1" t="s">
        <v>358</v>
      </c>
      <c r="I2311" s="1" t="s">
        <v>566</v>
      </c>
      <c r="J2311" s="1" t="s">
        <v>543</v>
      </c>
      <c r="K2311" s="1" t="s">
        <v>472</v>
      </c>
    </row>
    <row r="2312" spans="1:11" x14ac:dyDescent="0.3">
      <c r="A2312" s="1">
        <v>97</v>
      </c>
      <c r="B2312" s="1">
        <v>2025</v>
      </c>
      <c r="C2312" s="3">
        <v>45744</v>
      </c>
      <c r="E2312" s="1" t="s">
        <v>15</v>
      </c>
      <c r="F2312" s="1" t="s">
        <v>13</v>
      </c>
      <c r="G2312" s="1" t="s">
        <v>390</v>
      </c>
      <c r="H2312" s="1" t="s">
        <v>357</v>
      </c>
      <c r="I2312" s="1" t="s">
        <v>358</v>
      </c>
      <c r="J2312" s="1" t="s">
        <v>607</v>
      </c>
      <c r="K2312" s="1" t="s">
        <v>357</v>
      </c>
    </row>
    <row r="2313" spans="1:11" x14ac:dyDescent="0.3">
      <c r="A2313" s="1">
        <v>97</v>
      </c>
      <c r="B2313" s="1">
        <v>2025</v>
      </c>
      <c r="C2313" s="3">
        <v>45744</v>
      </c>
      <c r="E2313" s="1" t="s">
        <v>16</v>
      </c>
      <c r="F2313" s="1" t="s">
        <v>13</v>
      </c>
      <c r="G2313" s="1" t="s">
        <v>362</v>
      </c>
      <c r="H2313" s="1" t="s">
        <v>362</v>
      </c>
      <c r="I2313" s="1" t="s">
        <v>362</v>
      </c>
      <c r="J2313" s="1" t="s">
        <v>362</v>
      </c>
      <c r="K2313" s="1" t="s">
        <v>362</v>
      </c>
    </row>
    <row r="2314" spans="1:11" x14ac:dyDescent="0.3">
      <c r="A2314" s="1">
        <v>97</v>
      </c>
      <c r="B2314" s="1">
        <v>2025</v>
      </c>
      <c r="C2314" s="3">
        <v>45744</v>
      </c>
      <c r="E2314" s="1" t="s">
        <v>17</v>
      </c>
      <c r="F2314" s="1" t="s">
        <v>13</v>
      </c>
      <c r="G2314" s="1" t="s">
        <v>362</v>
      </c>
      <c r="H2314" s="1" t="s">
        <v>362</v>
      </c>
      <c r="I2314" s="1" t="s">
        <v>362</v>
      </c>
      <c r="J2314" s="1" t="s">
        <v>362</v>
      </c>
      <c r="K2314" s="1" t="s">
        <v>362</v>
      </c>
    </row>
    <row r="2315" spans="1:11" x14ac:dyDescent="0.3">
      <c r="A2315" s="1">
        <v>97</v>
      </c>
      <c r="B2315" s="1">
        <v>2025</v>
      </c>
      <c r="C2315" s="3">
        <v>45744</v>
      </c>
      <c r="E2315" s="1" t="s">
        <v>18</v>
      </c>
      <c r="F2315" s="1" t="s">
        <v>13</v>
      </c>
      <c r="G2315" s="1" t="s">
        <v>358</v>
      </c>
      <c r="H2315" s="1" t="s">
        <v>358</v>
      </c>
      <c r="I2315" s="1" t="s">
        <v>361</v>
      </c>
      <c r="J2315" s="1" t="s">
        <v>429</v>
      </c>
      <c r="K2315" s="1" t="s">
        <v>358</v>
      </c>
    </row>
    <row r="2316" spans="1:11" x14ac:dyDescent="0.3">
      <c r="A2316" s="1">
        <v>97</v>
      </c>
      <c r="B2316" s="1">
        <v>2025</v>
      </c>
      <c r="C2316" s="3">
        <v>45744</v>
      </c>
      <c r="E2316" s="1" t="s">
        <v>19</v>
      </c>
      <c r="F2316" s="1" t="s">
        <v>13</v>
      </c>
      <c r="H2316" s="1" t="s">
        <v>361</v>
      </c>
      <c r="I2316" s="1" t="s">
        <v>566</v>
      </c>
      <c r="J2316" s="1" t="s">
        <v>472</v>
      </c>
      <c r="K2316" s="1" t="s">
        <v>472</v>
      </c>
    </row>
    <row r="2317" spans="1:11" x14ac:dyDescent="0.3">
      <c r="A2317" s="1">
        <v>97</v>
      </c>
      <c r="B2317" s="1">
        <v>2025</v>
      </c>
      <c r="C2317" s="3">
        <v>45744</v>
      </c>
      <c r="E2317" s="1" t="s">
        <v>20</v>
      </c>
      <c r="F2317" s="1" t="s">
        <v>13</v>
      </c>
      <c r="H2317" s="1" t="s">
        <v>362</v>
      </c>
      <c r="I2317" s="1" t="s">
        <v>608</v>
      </c>
      <c r="J2317" s="1" t="s">
        <v>609</v>
      </c>
      <c r="K2317" s="1" t="s">
        <v>543</v>
      </c>
    </row>
    <row r="2318" spans="1:11" x14ac:dyDescent="0.3">
      <c r="A2318" s="1">
        <v>97</v>
      </c>
      <c r="B2318" s="1">
        <v>2025</v>
      </c>
      <c r="C2318" s="3">
        <v>45744</v>
      </c>
      <c r="E2318" s="1" t="s">
        <v>21</v>
      </c>
      <c r="F2318" s="1" t="s">
        <v>13</v>
      </c>
      <c r="G2318" s="1" t="s">
        <v>362</v>
      </c>
      <c r="H2318" s="1" t="s">
        <v>366</v>
      </c>
      <c r="I2318" s="1" t="s">
        <v>430</v>
      </c>
      <c r="J2318" s="1" t="s">
        <v>362</v>
      </c>
      <c r="K2318" s="1" t="s">
        <v>362</v>
      </c>
    </row>
    <row r="2319" spans="1:11" x14ac:dyDescent="0.3">
      <c r="A2319" s="1">
        <v>97</v>
      </c>
      <c r="B2319" s="1">
        <v>2025</v>
      </c>
      <c r="C2319" s="3">
        <v>45744</v>
      </c>
      <c r="E2319" s="1" t="s">
        <v>73</v>
      </c>
      <c r="F2319" s="1" t="s">
        <v>13</v>
      </c>
      <c r="G2319" s="1" t="s">
        <v>386</v>
      </c>
      <c r="H2319" s="1" t="s">
        <v>401</v>
      </c>
      <c r="I2319" s="1" t="s">
        <v>401</v>
      </c>
      <c r="J2319" s="1" t="s">
        <v>610</v>
      </c>
      <c r="K2319" s="1" t="s">
        <v>401</v>
      </c>
    </row>
    <row r="2320" spans="1:11" x14ac:dyDescent="0.3">
      <c r="A2320" s="1">
        <v>97</v>
      </c>
      <c r="B2320" s="1">
        <v>2025</v>
      </c>
      <c r="C2320" s="3">
        <v>45744</v>
      </c>
      <c r="E2320" s="1" t="s">
        <v>23</v>
      </c>
      <c r="F2320" s="1" t="s">
        <v>13</v>
      </c>
      <c r="G2320" s="1" t="s">
        <v>366</v>
      </c>
      <c r="H2320" s="1" t="s">
        <v>362</v>
      </c>
      <c r="I2320" s="1" t="s">
        <v>362</v>
      </c>
      <c r="J2320" s="1" t="s">
        <v>438</v>
      </c>
      <c r="K2320" s="1" t="s">
        <v>362</v>
      </c>
    </row>
    <row r="2321" spans="1:11" x14ac:dyDescent="0.3">
      <c r="A2321" s="1">
        <v>97</v>
      </c>
      <c r="B2321" s="1">
        <v>2025</v>
      </c>
      <c r="C2321" s="3">
        <v>45744</v>
      </c>
      <c r="E2321" s="1" t="s">
        <v>24</v>
      </c>
      <c r="F2321" s="1" t="s">
        <v>13</v>
      </c>
      <c r="G2321" s="1" t="s">
        <v>358</v>
      </c>
      <c r="H2321" s="1" t="s">
        <v>358</v>
      </c>
      <c r="I2321" s="1" t="s">
        <v>401</v>
      </c>
      <c r="J2321" s="1" t="s">
        <v>386</v>
      </c>
      <c r="K2321" s="1" t="s">
        <v>358</v>
      </c>
    </row>
    <row r="2322" spans="1:11" x14ac:dyDescent="0.3">
      <c r="A2322" s="1">
        <v>97</v>
      </c>
      <c r="B2322" s="1">
        <v>2025</v>
      </c>
      <c r="C2322" s="3">
        <v>45744</v>
      </c>
      <c r="E2322" s="1" t="s">
        <v>25</v>
      </c>
      <c r="F2322" s="1" t="s">
        <v>26</v>
      </c>
      <c r="G2322" s="1" t="s">
        <v>358</v>
      </c>
      <c r="H2322" s="1" t="s">
        <v>358</v>
      </c>
      <c r="I2322" s="1" t="s">
        <v>360</v>
      </c>
      <c r="J2322" s="1" t="s">
        <v>375</v>
      </c>
      <c r="K2322" s="1" t="s">
        <v>358</v>
      </c>
    </row>
    <row r="2323" spans="1:11" x14ac:dyDescent="0.3">
      <c r="A2323" s="1">
        <v>97</v>
      </c>
      <c r="B2323" s="1">
        <v>2025</v>
      </c>
      <c r="C2323" s="3">
        <v>45744</v>
      </c>
      <c r="E2323" s="1" t="s">
        <v>27</v>
      </c>
      <c r="F2323" s="1" t="s">
        <v>13</v>
      </c>
      <c r="G2323" s="1" t="s">
        <v>361</v>
      </c>
      <c r="H2323" s="1" t="s">
        <v>361</v>
      </c>
      <c r="I2323" s="1" t="s">
        <v>566</v>
      </c>
      <c r="J2323" s="1" t="s">
        <v>468</v>
      </c>
      <c r="K2323" s="1" t="s">
        <v>361</v>
      </c>
    </row>
    <row r="2324" spans="1:11" x14ac:dyDescent="0.3">
      <c r="A2324" s="1">
        <v>97</v>
      </c>
      <c r="B2324" s="1">
        <v>2025</v>
      </c>
      <c r="C2324" s="3">
        <v>45744</v>
      </c>
      <c r="E2324" s="1" t="s">
        <v>28</v>
      </c>
      <c r="F2324" s="1" t="s">
        <v>13</v>
      </c>
      <c r="G2324" s="1" t="s">
        <v>362</v>
      </c>
      <c r="H2324" s="1" t="s">
        <v>358</v>
      </c>
      <c r="I2324" s="1" t="s">
        <v>361</v>
      </c>
      <c r="J2324" s="1" t="s">
        <v>457</v>
      </c>
      <c r="K2324" s="1" t="s">
        <v>358</v>
      </c>
    </row>
    <row r="2325" spans="1:11" x14ac:dyDescent="0.3">
      <c r="A2325" s="1">
        <v>97</v>
      </c>
      <c r="B2325" s="1">
        <v>2025</v>
      </c>
      <c r="C2325" s="3">
        <v>45744</v>
      </c>
      <c r="E2325" s="1" t="s">
        <v>29</v>
      </c>
      <c r="F2325" s="1" t="s">
        <v>13</v>
      </c>
      <c r="G2325" s="1" t="s">
        <v>358</v>
      </c>
      <c r="H2325" s="1" t="s">
        <v>362</v>
      </c>
      <c r="I2325" s="1" t="s">
        <v>369</v>
      </c>
      <c r="J2325" s="1" t="s">
        <v>611</v>
      </c>
      <c r="K2325" s="1" t="s">
        <v>358</v>
      </c>
    </row>
    <row r="2326" spans="1:11" x14ac:dyDescent="0.3">
      <c r="A2326" s="1">
        <v>97</v>
      </c>
      <c r="B2326" s="1">
        <v>2025</v>
      </c>
      <c r="C2326" s="3">
        <v>45744</v>
      </c>
      <c r="E2326" s="1" t="s">
        <v>31</v>
      </c>
      <c r="F2326" s="1" t="s">
        <v>32</v>
      </c>
      <c r="G2326" s="1" t="s">
        <v>378</v>
      </c>
      <c r="H2326" s="1" t="s">
        <v>378</v>
      </c>
      <c r="I2326" s="1" t="s">
        <v>612</v>
      </c>
      <c r="J2326" s="1" t="s">
        <v>613</v>
      </c>
      <c r="K2326" s="1" t="s">
        <v>378</v>
      </c>
    </row>
    <row r="2327" spans="1:11" x14ac:dyDescent="0.3">
      <c r="A2327" s="1">
        <v>97</v>
      </c>
      <c r="B2327" s="1">
        <v>2025</v>
      </c>
      <c r="C2327" s="3">
        <v>45744</v>
      </c>
      <c r="E2327" s="1" t="s">
        <v>34</v>
      </c>
      <c r="F2327" s="1" t="s">
        <v>35</v>
      </c>
      <c r="G2327" s="1" t="s">
        <v>390</v>
      </c>
      <c r="H2327" s="1" t="s">
        <v>393</v>
      </c>
      <c r="I2327" s="1" t="s">
        <v>393</v>
      </c>
      <c r="J2327" s="1" t="s">
        <v>404</v>
      </c>
      <c r="K2327" s="1" t="s">
        <v>404</v>
      </c>
    </row>
    <row r="2328" spans="1:11" x14ac:dyDescent="0.3">
      <c r="A2328" s="1">
        <v>97</v>
      </c>
      <c r="B2328" s="1">
        <v>2025</v>
      </c>
      <c r="C2328" s="3">
        <v>45744</v>
      </c>
      <c r="E2328" s="1" t="s">
        <v>36</v>
      </c>
      <c r="F2328" s="1" t="s">
        <v>35</v>
      </c>
      <c r="G2328" s="1" t="s">
        <v>397</v>
      </c>
      <c r="H2328" s="1" t="s">
        <v>362</v>
      </c>
      <c r="I2328" s="1" t="s">
        <v>397</v>
      </c>
      <c r="J2328" s="1" t="s">
        <v>529</v>
      </c>
      <c r="K2328" s="1" t="s">
        <v>571</v>
      </c>
    </row>
    <row r="2329" spans="1:11" x14ac:dyDescent="0.3">
      <c r="A2329" s="1">
        <v>97</v>
      </c>
      <c r="B2329" s="1">
        <v>2025</v>
      </c>
      <c r="C2329" s="3">
        <v>45744</v>
      </c>
      <c r="E2329" s="1" t="s">
        <v>153</v>
      </c>
      <c r="F2329" s="1" t="s">
        <v>154</v>
      </c>
      <c r="G2329" s="1" t="s">
        <v>358</v>
      </c>
      <c r="H2329" s="1" t="s">
        <v>358</v>
      </c>
      <c r="I2329" s="1" t="s">
        <v>394</v>
      </c>
      <c r="J2329" s="1" t="s">
        <v>512</v>
      </c>
      <c r="K2329" s="1" t="s">
        <v>358</v>
      </c>
    </row>
    <row r="2330" spans="1:11" x14ac:dyDescent="0.3">
      <c r="A2330" s="1">
        <v>97</v>
      </c>
      <c r="B2330" s="1">
        <v>2025</v>
      </c>
      <c r="C2330" s="3">
        <v>45744</v>
      </c>
      <c r="E2330" s="1" t="s">
        <v>39</v>
      </c>
      <c r="F2330" s="1" t="s">
        <v>40</v>
      </c>
      <c r="G2330" s="1" t="s">
        <v>358</v>
      </c>
      <c r="H2330" s="1" t="s">
        <v>386</v>
      </c>
      <c r="I2330" s="1" t="s">
        <v>386</v>
      </c>
      <c r="J2330" s="1" t="s">
        <v>570</v>
      </c>
      <c r="K2330" s="1" t="s">
        <v>386</v>
      </c>
    </row>
    <row r="2331" spans="1:11" x14ac:dyDescent="0.3">
      <c r="A2331" s="1">
        <v>97</v>
      </c>
      <c r="B2331" s="1">
        <v>2025</v>
      </c>
      <c r="C2331" s="3">
        <v>45744</v>
      </c>
      <c r="E2331" s="1" t="s">
        <v>42</v>
      </c>
      <c r="F2331" s="1" t="s">
        <v>43</v>
      </c>
      <c r="H2331" s="1" t="s">
        <v>390</v>
      </c>
      <c r="I2331" s="1" t="s">
        <v>394</v>
      </c>
      <c r="J2331" s="1" t="s">
        <v>396</v>
      </c>
      <c r="K2331" s="1" t="s">
        <v>396</v>
      </c>
    </row>
    <row r="2332" spans="1:11" x14ac:dyDescent="0.3">
      <c r="A2332" s="1">
        <v>97</v>
      </c>
      <c r="B2332" s="1">
        <v>2025</v>
      </c>
      <c r="C2332" s="3">
        <v>45744</v>
      </c>
      <c r="E2332" s="1" t="s">
        <v>44</v>
      </c>
      <c r="F2332" s="1" t="s">
        <v>45</v>
      </c>
      <c r="G2332" s="1" t="s">
        <v>397</v>
      </c>
      <c r="H2332" s="1" t="s">
        <v>393</v>
      </c>
      <c r="I2332" s="1" t="s">
        <v>396</v>
      </c>
      <c r="J2332" s="1" t="s">
        <v>398</v>
      </c>
      <c r="K2332" s="1" t="s">
        <v>393</v>
      </c>
    </row>
    <row r="2333" spans="1:11" x14ac:dyDescent="0.3">
      <c r="A2333" s="1">
        <v>97</v>
      </c>
      <c r="B2333" s="1">
        <v>2025</v>
      </c>
      <c r="C2333" s="3">
        <v>45744</v>
      </c>
      <c r="E2333" s="1" t="s">
        <v>48</v>
      </c>
      <c r="F2333" s="1" t="s">
        <v>45</v>
      </c>
      <c r="H2333" s="1" t="s">
        <v>405</v>
      </c>
      <c r="I2333" s="1" t="s">
        <v>405</v>
      </c>
      <c r="J2333" s="1" t="s">
        <v>405</v>
      </c>
      <c r="K2333" s="1" t="s">
        <v>405</v>
      </c>
    </row>
    <row r="2334" spans="1:11" x14ac:dyDescent="0.3">
      <c r="A2334" s="1">
        <v>97</v>
      </c>
      <c r="B2334" s="1">
        <v>2025</v>
      </c>
      <c r="C2334" s="3">
        <v>45744</v>
      </c>
      <c r="E2334" s="1" t="s">
        <v>49</v>
      </c>
      <c r="F2334" s="1" t="s">
        <v>50</v>
      </c>
      <c r="G2334" s="1" t="s">
        <v>393</v>
      </c>
      <c r="H2334" s="1" t="s">
        <v>358</v>
      </c>
      <c r="I2334" s="1" t="s">
        <v>358</v>
      </c>
      <c r="J2334" s="1" t="s">
        <v>399</v>
      </c>
      <c r="K2334" s="1" t="s">
        <v>358</v>
      </c>
    </row>
    <row r="2335" spans="1:11" x14ac:dyDescent="0.3">
      <c r="A2335" s="1">
        <v>97</v>
      </c>
      <c r="B2335" s="1">
        <v>2025</v>
      </c>
      <c r="C2335" s="3">
        <v>45744</v>
      </c>
      <c r="E2335" s="1" t="s">
        <v>52</v>
      </c>
      <c r="F2335" s="1" t="s">
        <v>43</v>
      </c>
      <c r="H2335" s="1" t="s">
        <v>362</v>
      </c>
      <c r="I2335" s="1" t="s">
        <v>405</v>
      </c>
      <c r="J2335" s="1" t="s">
        <v>391</v>
      </c>
      <c r="K2335" s="1" t="s">
        <v>394</v>
      </c>
    </row>
    <row r="2336" spans="1:11" x14ac:dyDescent="0.3">
      <c r="A2336" s="1">
        <v>97</v>
      </c>
      <c r="B2336" s="1">
        <v>2025</v>
      </c>
      <c r="C2336" s="3">
        <v>45744</v>
      </c>
      <c r="E2336" s="1" t="s">
        <v>53</v>
      </c>
      <c r="F2336" s="1" t="s">
        <v>43</v>
      </c>
      <c r="H2336" s="1" t="s">
        <v>370</v>
      </c>
      <c r="I2336" s="1" t="s">
        <v>415</v>
      </c>
      <c r="J2336" s="1" t="s">
        <v>614</v>
      </c>
      <c r="K2336" s="1" t="s">
        <v>405</v>
      </c>
    </row>
    <row r="2337" spans="1:11" x14ac:dyDescent="0.3">
      <c r="A2337" s="1">
        <v>97</v>
      </c>
      <c r="B2337" s="1">
        <v>2025</v>
      </c>
      <c r="C2337" s="3">
        <v>45744</v>
      </c>
      <c r="E2337" s="1" t="s">
        <v>54</v>
      </c>
      <c r="F2337" s="1" t="s">
        <v>40</v>
      </c>
      <c r="H2337" s="1" t="s">
        <v>370</v>
      </c>
      <c r="I2337" s="1" t="s">
        <v>405</v>
      </c>
      <c r="J2337" s="1" t="s">
        <v>386</v>
      </c>
      <c r="K2337" s="1" t="s">
        <v>386</v>
      </c>
    </row>
    <row r="2338" spans="1:11" x14ac:dyDescent="0.3">
      <c r="A2338" s="1">
        <v>97</v>
      </c>
      <c r="B2338" s="1">
        <v>2025</v>
      </c>
      <c r="C2338" s="3">
        <v>45744</v>
      </c>
      <c r="E2338" s="1" t="s">
        <v>56</v>
      </c>
      <c r="F2338" s="1" t="s">
        <v>43</v>
      </c>
      <c r="G2338" s="1" t="s">
        <v>393</v>
      </c>
      <c r="H2338" s="1" t="s">
        <v>393</v>
      </c>
      <c r="I2338" s="1" t="s">
        <v>393</v>
      </c>
      <c r="J2338" s="1" t="s">
        <v>393</v>
      </c>
      <c r="K2338" s="1" t="s">
        <v>393</v>
      </c>
    </row>
    <row r="2339" spans="1:11" x14ac:dyDescent="0.3">
      <c r="A2339" s="1">
        <v>97</v>
      </c>
      <c r="B2339" s="1">
        <v>2025</v>
      </c>
      <c r="C2339" s="3">
        <v>45744</v>
      </c>
      <c r="E2339" s="1" t="s">
        <v>57</v>
      </c>
      <c r="F2339" s="1" t="s">
        <v>40</v>
      </c>
      <c r="H2339" s="1" t="s">
        <v>358</v>
      </c>
      <c r="I2339" s="1" t="s">
        <v>370</v>
      </c>
      <c r="J2339" s="1" t="s">
        <v>394</v>
      </c>
      <c r="K2339" s="1" t="s">
        <v>394</v>
      </c>
    </row>
    <row r="2340" spans="1:11" x14ac:dyDescent="0.3">
      <c r="A2340" s="1">
        <v>97</v>
      </c>
      <c r="B2340" s="1">
        <v>2025</v>
      </c>
      <c r="C2340" s="3">
        <v>45744</v>
      </c>
      <c r="E2340" s="1" t="s">
        <v>58</v>
      </c>
      <c r="F2340" s="1" t="s">
        <v>40</v>
      </c>
      <c r="G2340" s="1" t="s">
        <v>415</v>
      </c>
      <c r="H2340" s="1" t="s">
        <v>385</v>
      </c>
      <c r="I2340" s="1" t="s">
        <v>415</v>
      </c>
      <c r="J2340" s="1" t="s">
        <v>615</v>
      </c>
      <c r="K2340" s="1" t="s">
        <v>415</v>
      </c>
    </row>
    <row r="2341" spans="1:11" x14ac:dyDescent="0.3">
      <c r="A2341" s="1">
        <v>97</v>
      </c>
      <c r="B2341" s="1">
        <v>2025</v>
      </c>
      <c r="C2341" s="3">
        <v>45744</v>
      </c>
      <c r="E2341" s="1" t="s">
        <v>59</v>
      </c>
      <c r="F2341" s="1" t="s">
        <v>45</v>
      </c>
      <c r="G2341" s="1" t="s">
        <v>390</v>
      </c>
      <c r="H2341" s="1" t="s">
        <v>388</v>
      </c>
      <c r="I2341" s="1" t="s">
        <v>358</v>
      </c>
      <c r="J2341" s="1" t="s">
        <v>407</v>
      </c>
      <c r="K2341" s="1" t="s">
        <v>390</v>
      </c>
    </row>
    <row r="2342" spans="1:11" x14ac:dyDescent="0.3">
      <c r="A2342" s="1">
        <v>97</v>
      </c>
      <c r="B2342" s="1">
        <v>2025</v>
      </c>
      <c r="C2342" s="3">
        <v>45744</v>
      </c>
      <c r="E2342" s="1" t="s">
        <v>60</v>
      </c>
      <c r="F2342" s="1" t="s">
        <v>61</v>
      </c>
      <c r="G2342" s="1" t="s">
        <v>401</v>
      </c>
      <c r="H2342" s="1" t="s">
        <v>408</v>
      </c>
      <c r="I2342" s="1" t="s">
        <v>408</v>
      </c>
      <c r="J2342" s="1" t="s">
        <v>616</v>
      </c>
      <c r="K2342" s="1" t="s">
        <v>616</v>
      </c>
    </row>
    <row r="2343" spans="1:11" x14ac:dyDescent="0.3">
      <c r="A2343" s="1">
        <v>97</v>
      </c>
      <c r="B2343" s="1">
        <v>2025</v>
      </c>
      <c r="C2343" s="3">
        <v>45744</v>
      </c>
      <c r="E2343" s="1" t="s">
        <v>63</v>
      </c>
      <c r="F2343" s="1" t="s">
        <v>40</v>
      </c>
      <c r="G2343" s="1" t="s">
        <v>408</v>
      </c>
      <c r="H2343" s="1" t="s">
        <v>403</v>
      </c>
      <c r="I2343" s="1" t="s">
        <v>425</v>
      </c>
      <c r="J2343" s="1" t="s">
        <v>617</v>
      </c>
      <c r="K2343" s="1" t="s">
        <v>408</v>
      </c>
    </row>
    <row r="2344" spans="1:11" x14ac:dyDescent="0.3">
      <c r="A2344" s="1">
        <v>97</v>
      </c>
      <c r="B2344" s="1">
        <v>2025</v>
      </c>
      <c r="C2344" s="3">
        <v>45744</v>
      </c>
      <c r="E2344" s="1" t="s">
        <v>64</v>
      </c>
      <c r="F2344" s="1" t="s">
        <v>40</v>
      </c>
      <c r="H2344" s="1" t="s">
        <v>401</v>
      </c>
      <c r="I2344" s="1" t="s">
        <v>411</v>
      </c>
      <c r="J2344" s="1" t="s">
        <v>499</v>
      </c>
      <c r="K2344" s="1" t="s">
        <v>499</v>
      </c>
    </row>
    <row r="2345" spans="1:11" x14ac:dyDescent="0.3">
      <c r="A2345" s="1">
        <v>97</v>
      </c>
      <c r="B2345" s="1">
        <v>2025</v>
      </c>
      <c r="C2345" s="3">
        <v>45744</v>
      </c>
      <c r="E2345" s="12" t="s">
        <v>66</v>
      </c>
      <c r="F2345" s="13" t="s">
        <v>45</v>
      </c>
    </row>
    <row r="2346" spans="1:11" x14ac:dyDescent="0.3">
      <c r="A2346" s="1">
        <v>97</v>
      </c>
      <c r="B2346" s="1">
        <v>2025</v>
      </c>
      <c r="C2346" s="3">
        <v>45744</v>
      </c>
      <c r="E2346" s="12" t="s">
        <v>67</v>
      </c>
      <c r="F2346" s="13" t="s">
        <v>45</v>
      </c>
    </row>
    <row r="2347" spans="1:11" x14ac:dyDescent="0.3">
      <c r="A2347" s="1">
        <v>97</v>
      </c>
      <c r="B2347" s="1">
        <v>2025</v>
      </c>
      <c r="C2347" s="3">
        <v>45744</v>
      </c>
      <c r="E2347" s="12" t="s">
        <v>68</v>
      </c>
      <c r="F2347" s="13" t="s">
        <v>45</v>
      </c>
    </row>
    <row r="2348" spans="1:11" x14ac:dyDescent="0.3">
      <c r="A2348" s="1">
        <v>97</v>
      </c>
      <c r="B2348" s="1">
        <v>2025</v>
      </c>
      <c r="C2348" s="3">
        <v>45744</v>
      </c>
      <c r="E2348" s="12" t="s">
        <v>69</v>
      </c>
      <c r="F2348" s="13" t="s">
        <v>45</v>
      </c>
    </row>
    <row r="2349" spans="1:11" x14ac:dyDescent="0.3">
      <c r="A2349" s="1">
        <v>97</v>
      </c>
      <c r="B2349" s="1">
        <v>2025</v>
      </c>
      <c r="C2349" s="3">
        <v>45744</v>
      </c>
      <c r="E2349" s="12" t="s">
        <v>70</v>
      </c>
      <c r="F2349" s="13" t="s">
        <v>71</v>
      </c>
    </row>
    <row r="2350" spans="1:11" x14ac:dyDescent="0.3">
      <c r="A2350" s="1">
        <v>98</v>
      </c>
      <c r="B2350" s="1">
        <v>2025</v>
      </c>
      <c r="C2350" s="3">
        <v>45751</v>
      </c>
      <c r="E2350" s="1" t="s">
        <v>12</v>
      </c>
      <c r="F2350" s="1" t="s">
        <v>13</v>
      </c>
      <c r="G2350" s="1" t="s">
        <v>360</v>
      </c>
      <c r="H2350" s="1" t="s">
        <v>357</v>
      </c>
      <c r="I2350" s="1" t="s">
        <v>360</v>
      </c>
      <c r="J2350" s="1" t="s">
        <v>369</v>
      </c>
      <c r="K2350" s="1" t="s">
        <v>360</v>
      </c>
    </row>
    <row r="2351" spans="1:11" x14ac:dyDescent="0.3">
      <c r="A2351" s="1">
        <v>98</v>
      </c>
      <c r="B2351" s="1">
        <v>2025</v>
      </c>
      <c r="C2351" s="3">
        <v>45751</v>
      </c>
      <c r="E2351" s="1" t="s">
        <v>14</v>
      </c>
      <c r="F2351" s="1" t="s">
        <v>13</v>
      </c>
      <c r="G2351" s="1" t="s">
        <v>361</v>
      </c>
      <c r="H2351" s="1" t="s">
        <v>472</v>
      </c>
      <c r="I2351" s="1" t="s">
        <v>472</v>
      </c>
      <c r="J2351" s="1" t="s">
        <v>468</v>
      </c>
      <c r="K2351" s="1" t="s">
        <v>472</v>
      </c>
    </row>
    <row r="2352" spans="1:11" x14ac:dyDescent="0.3">
      <c r="A2352" s="1">
        <v>98</v>
      </c>
      <c r="B2352" s="1">
        <v>2025</v>
      </c>
      <c r="C2352" s="3">
        <v>45751</v>
      </c>
      <c r="E2352" s="1" t="s">
        <v>15</v>
      </c>
      <c r="F2352" s="1" t="s">
        <v>13</v>
      </c>
      <c r="G2352" s="1" t="s">
        <v>430</v>
      </c>
      <c r="H2352" s="1" t="s">
        <v>358</v>
      </c>
      <c r="I2352" s="1" t="s">
        <v>358</v>
      </c>
      <c r="J2352" s="1" t="s">
        <v>428</v>
      </c>
      <c r="K2352" s="1" t="s">
        <v>358</v>
      </c>
    </row>
    <row r="2353" spans="1:11" x14ac:dyDescent="0.3">
      <c r="A2353" s="1">
        <v>98</v>
      </c>
      <c r="B2353" s="1">
        <v>2025</v>
      </c>
      <c r="C2353" s="3">
        <v>45751</v>
      </c>
      <c r="E2353" s="1" t="s">
        <v>16</v>
      </c>
      <c r="F2353" s="1" t="s">
        <v>13</v>
      </c>
      <c r="H2353" s="1" t="s">
        <v>366</v>
      </c>
      <c r="I2353" s="1" t="s">
        <v>430</v>
      </c>
      <c r="J2353" s="1" t="s">
        <v>362</v>
      </c>
      <c r="K2353" s="1" t="s">
        <v>362</v>
      </c>
    </row>
    <row r="2354" spans="1:11" x14ac:dyDescent="0.3">
      <c r="A2354" s="1">
        <v>98</v>
      </c>
      <c r="B2354" s="1">
        <v>2025</v>
      </c>
      <c r="C2354" s="3">
        <v>45751</v>
      </c>
      <c r="E2354" s="1" t="s">
        <v>17</v>
      </c>
      <c r="F2354" s="1" t="s">
        <v>13</v>
      </c>
      <c r="H2354" s="1" t="s">
        <v>366</v>
      </c>
      <c r="I2354" s="1" t="s">
        <v>430</v>
      </c>
      <c r="J2354" s="1" t="s">
        <v>362</v>
      </c>
      <c r="K2354" s="1" t="s">
        <v>362</v>
      </c>
    </row>
    <row r="2355" spans="1:11" x14ac:dyDescent="0.3">
      <c r="A2355" s="1">
        <v>98</v>
      </c>
      <c r="B2355" s="1">
        <v>2025</v>
      </c>
      <c r="C2355" s="3">
        <v>45751</v>
      </c>
      <c r="E2355" s="1" t="s">
        <v>18</v>
      </c>
      <c r="F2355" s="1" t="s">
        <v>13</v>
      </c>
      <c r="G2355" s="1" t="s">
        <v>358</v>
      </c>
      <c r="H2355" s="1" t="s">
        <v>358</v>
      </c>
      <c r="I2355" s="1" t="s">
        <v>472</v>
      </c>
      <c r="J2355" s="1" t="s">
        <v>360</v>
      </c>
      <c r="K2355" s="1" t="s">
        <v>358</v>
      </c>
    </row>
    <row r="2356" spans="1:11" x14ac:dyDescent="0.3">
      <c r="A2356" s="1">
        <v>98</v>
      </c>
      <c r="B2356" s="1">
        <v>2025</v>
      </c>
      <c r="C2356" s="3">
        <v>45751</v>
      </c>
      <c r="E2356" s="1" t="s">
        <v>19</v>
      </c>
      <c r="F2356" s="1" t="s">
        <v>13</v>
      </c>
      <c r="G2356" s="1" t="s">
        <v>361</v>
      </c>
      <c r="H2356" s="1" t="s">
        <v>361</v>
      </c>
      <c r="I2356" s="1" t="s">
        <v>568</v>
      </c>
      <c r="J2356" s="1" t="s">
        <v>405</v>
      </c>
      <c r="K2356" s="1" t="s">
        <v>361</v>
      </c>
    </row>
    <row r="2357" spans="1:11" x14ac:dyDescent="0.3">
      <c r="A2357" s="1">
        <v>98</v>
      </c>
      <c r="B2357" s="1">
        <v>2025</v>
      </c>
      <c r="C2357" s="3">
        <v>45751</v>
      </c>
      <c r="E2357" s="1" t="s">
        <v>20</v>
      </c>
      <c r="F2357" s="1" t="s">
        <v>13</v>
      </c>
      <c r="G2357" s="1" t="s">
        <v>361</v>
      </c>
      <c r="H2357" s="1" t="s">
        <v>472</v>
      </c>
      <c r="I2357" s="1" t="s">
        <v>472</v>
      </c>
      <c r="J2357" s="1" t="s">
        <v>468</v>
      </c>
      <c r="K2357" s="1" t="s">
        <v>472</v>
      </c>
    </row>
    <row r="2358" spans="1:11" x14ac:dyDescent="0.3">
      <c r="A2358" s="1">
        <v>98</v>
      </c>
      <c r="B2358" s="1">
        <v>2025</v>
      </c>
      <c r="C2358" s="3">
        <v>45751</v>
      </c>
      <c r="E2358" s="1" t="s">
        <v>21</v>
      </c>
      <c r="F2358" s="1" t="s">
        <v>13</v>
      </c>
      <c r="G2358" s="1" t="s">
        <v>362</v>
      </c>
      <c r="H2358" s="1" t="s">
        <v>362</v>
      </c>
      <c r="I2358" s="1" t="s">
        <v>362</v>
      </c>
      <c r="J2358" s="1" t="s">
        <v>362</v>
      </c>
      <c r="K2358" s="1" t="s">
        <v>362</v>
      </c>
    </row>
    <row r="2359" spans="1:11" x14ac:dyDescent="0.3">
      <c r="A2359" s="1">
        <v>98</v>
      </c>
      <c r="B2359" s="1">
        <v>2025</v>
      </c>
      <c r="C2359" s="3">
        <v>45751</v>
      </c>
      <c r="E2359" s="1" t="s">
        <v>73</v>
      </c>
      <c r="F2359" s="1" t="s">
        <v>13</v>
      </c>
      <c r="H2359" s="1" t="s">
        <v>568</v>
      </c>
      <c r="I2359" s="1" t="s">
        <v>401</v>
      </c>
      <c r="J2359" s="1" t="s">
        <v>403</v>
      </c>
      <c r="K2359" s="1" t="s">
        <v>566</v>
      </c>
    </row>
    <row r="2360" spans="1:11" x14ac:dyDescent="0.3">
      <c r="A2360" s="1">
        <v>98</v>
      </c>
      <c r="B2360" s="1">
        <v>2025</v>
      </c>
      <c r="C2360" s="3">
        <v>45751</v>
      </c>
      <c r="E2360" s="1" t="s">
        <v>23</v>
      </c>
      <c r="F2360" s="1" t="s">
        <v>13</v>
      </c>
      <c r="G2360" s="1" t="s">
        <v>362</v>
      </c>
      <c r="H2360" s="1" t="s">
        <v>362</v>
      </c>
      <c r="I2360" s="1" t="s">
        <v>430</v>
      </c>
      <c r="J2360" s="1" t="s">
        <v>582</v>
      </c>
      <c r="K2360" s="1" t="s">
        <v>362</v>
      </c>
    </row>
    <row r="2361" spans="1:11" x14ac:dyDescent="0.3">
      <c r="A2361" s="1">
        <v>98</v>
      </c>
      <c r="B2361" s="1">
        <v>2025</v>
      </c>
      <c r="C2361" s="3">
        <v>45751</v>
      </c>
      <c r="E2361" s="1" t="s">
        <v>24</v>
      </c>
      <c r="F2361" s="1" t="s">
        <v>13</v>
      </c>
      <c r="H2361" s="1" t="s">
        <v>358</v>
      </c>
      <c r="I2361" s="1" t="s">
        <v>361</v>
      </c>
      <c r="J2361" s="1" t="s">
        <v>360</v>
      </c>
      <c r="K2361" s="1" t="s">
        <v>360</v>
      </c>
    </row>
    <row r="2362" spans="1:11" x14ac:dyDescent="0.3">
      <c r="A2362" s="1">
        <v>98</v>
      </c>
      <c r="B2362" s="1">
        <v>2025</v>
      </c>
      <c r="C2362" s="3">
        <v>45751</v>
      </c>
      <c r="E2362" s="1" t="s">
        <v>25</v>
      </c>
      <c r="F2362" s="1" t="s">
        <v>26</v>
      </c>
      <c r="H2362" s="1" t="s">
        <v>358</v>
      </c>
      <c r="I2362" s="1" t="s">
        <v>361</v>
      </c>
      <c r="J2362" s="1" t="s">
        <v>360</v>
      </c>
      <c r="K2362" s="1" t="s">
        <v>360</v>
      </c>
    </row>
    <row r="2363" spans="1:11" x14ac:dyDescent="0.3">
      <c r="A2363" s="1">
        <v>98</v>
      </c>
      <c r="B2363" s="1">
        <v>2025</v>
      </c>
      <c r="C2363" s="3">
        <v>45751</v>
      </c>
      <c r="E2363" s="1" t="s">
        <v>27</v>
      </c>
      <c r="F2363" s="1" t="s">
        <v>13</v>
      </c>
      <c r="H2363" s="1" t="s">
        <v>360</v>
      </c>
      <c r="I2363" s="1" t="s">
        <v>472</v>
      </c>
      <c r="J2363" s="1" t="s">
        <v>361</v>
      </c>
      <c r="K2363" s="1" t="s">
        <v>361</v>
      </c>
    </row>
    <row r="2364" spans="1:11" x14ac:dyDescent="0.3">
      <c r="A2364" s="1">
        <v>98</v>
      </c>
      <c r="B2364" s="1">
        <v>2025</v>
      </c>
      <c r="C2364" s="3">
        <v>45751</v>
      </c>
      <c r="E2364" s="1" t="s">
        <v>28</v>
      </c>
      <c r="F2364" s="1" t="s">
        <v>13</v>
      </c>
      <c r="H2364" s="1" t="s">
        <v>393</v>
      </c>
      <c r="I2364" s="1" t="s">
        <v>360</v>
      </c>
      <c r="J2364" s="1" t="s">
        <v>618</v>
      </c>
      <c r="K2364" s="1" t="s">
        <v>358</v>
      </c>
    </row>
    <row r="2365" spans="1:11" x14ac:dyDescent="0.3">
      <c r="A2365" s="1">
        <v>98</v>
      </c>
      <c r="B2365" s="1">
        <v>2025</v>
      </c>
      <c r="C2365" s="3">
        <v>45751</v>
      </c>
      <c r="E2365" s="1" t="s">
        <v>29</v>
      </c>
      <c r="F2365" s="1" t="s">
        <v>13</v>
      </c>
      <c r="G2365" s="1" t="s">
        <v>358</v>
      </c>
      <c r="H2365" s="1" t="s">
        <v>357</v>
      </c>
      <c r="I2365" s="1" t="s">
        <v>358</v>
      </c>
      <c r="J2365" s="1" t="s">
        <v>433</v>
      </c>
      <c r="K2365" s="1" t="s">
        <v>358</v>
      </c>
    </row>
    <row r="2366" spans="1:11" x14ac:dyDescent="0.3">
      <c r="A2366" s="1">
        <v>98</v>
      </c>
      <c r="B2366" s="1">
        <v>2025</v>
      </c>
      <c r="C2366" s="3">
        <v>45751</v>
      </c>
      <c r="E2366" s="1" t="s">
        <v>31</v>
      </c>
      <c r="F2366" s="1" t="s">
        <v>32</v>
      </c>
      <c r="G2366" s="1" t="s">
        <v>378</v>
      </c>
      <c r="H2366" s="1" t="s">
        <v>378</v>
      </c>
      <c r="I2366" s="1" t="s">
        <v>612</v>
      </c>
      <c r="J2366" s="1" t="s">
        <v>619</v>
      </c>
      <c r="K2366" s="1" t="s">
        <v>378</v>
      </c>
    </row>
    <row r="2367" spans="1:11" x14ac:dyDescent="0.3">
      <c r="A2367" s="1">
        <v>98</v>
      </c>
      <c r="B2367" s="1">
        <v>2025</v>
      </c>
      <c r="C2367" s="3">
        <v>45751</v>
      </c>
      <c r="E2367" s="1" t="s">
        <v>34</v>
      </c>
      <c r="F2367" s="1" t="s">
        <v>35</v>
      </c>
      <c r="G2367" s="1" t="s">
        <v>388</v>
      </c>
      <c r="H2367" s="1" t="s">
        <v>390</v>
      </c>
      <c r="I2367" s="1" t="s">
        <v>390</v>
      </c>
      <c r="J2367" s="1" t="s">
        <v>620</v>
      </c>
      <c r="K2367" s="1" t="s">
        <v>390</v>
      </c>
    </row>
    <row r="2368" spans="1:11" x14ac:dyDescent="0.3">
      <c r="A2368" s="1">
        <v>98</v>
      </c>
      <c r="B2368" s="1">
        <v>2025</v>
      </c>
      <c r="C2368" s="3">
        <v>45751</v>
      </c>
      <c r="E2368" s="1" t="s">
        <v>36</v>
      </c>
      <c r="F2368" s="1" t="s">
        <v>35</v>
      </c>
      <c r="H2368" s="1" t="s">
        <v>419</v>
      </c>
      <c r="I2368" s="1" t="s">
        <v>388</v>
      </c>
      <c r="J2368" s="1" t="s">
        <v>362</v>
      </c>
      <c r="K2368" s="1" t="s">
        <v>362</v>
      </c>
    </row>
    <row r="2369" spans="1:11" x14ac:dyDescent="0.3">
      <c r="A2369" s="1">
        <v>98</v>
      </c>
      <c r="B2369" s="1">
        <v>2025</v>
      </c>
      <c r="C2369" s="3">
        <v>45751</v>
      </c>
      <c r="E2369" s="1" t="s">
        <v>153</v>
      </c>
      <c r="F2369" s="1" t="s">
        <v>154</v>
      </c>
      <c r="H2369" s="1" t="s">
        <v>393</v>
      </c>
      <c r="I2369" s="1" t="s">
        <v>358</v>
      </c>
      <c r="J2369" s="1" t="s">
        <v>396</v>
      </c>
      <c r="K2369" s="1" t="s">
        <v>396</v>
      </c>
    </row>
    <row r="2370" spans="1:11" x14ac:dyDescent="0.3">
      <c r="A2370" s="1">
        <v>98</v>
      </c>
      <c r="B2370" s="1">
        <v>2025</v>
      </c>
      <c r="C2370" s="3">
        <v>45751</v>
      </c>
      <c r="E2370" s="1" t="s">
        <v>39</v>
      </c>
      <c r="F2370" s="1" t="s">
        <v>40</v>
      </c>
      <c r="H2370" s="1" t="s">
        <v>358</v>
      </c>
      <c r="I2370" s="1" t="s">
        <v>386</v>
      </c>
      <c r="J2370" s="1" t="s">
        <v>370</v>
      </c>
      <c r="K2370" s="1" t="s">
        <v>370</v>
      </c>
    </row>
    <row r="2371" spans="1:11" x14ac:dyDescent="0.3">
      <c r="A2371" s="1">
        <v>98</v>
      </c>
      <c r="B2371" s="1">
        <v>2025</v>
      </c>
      <c r="C2371" s="3">
        <v>45751</v>
      </c>
      <c r="E2371" s="1" t="s">
        <v>42</v>
      </c>
      <c r="F2371" s="1" t="s">
        <v>43</v>
      </c>
      <c r="H2371" s="1" t="s">
        <v>390</v>
      </c>
      <c r="I2371" s="1" t="s">
        <v>394</v>
      </c>
      <c r="J2371" s="1" t="s">
        <v>592</v>
      </c>
      <c r="K2371" s="1" t="s">
        <v>358</v>
      </c>
    </row>
    <row r="2372" spans="1:11" x14ac:dyDescent="0.3">
      <c r="A2372" s="1">
        <v>98</v>
      </c>
      <c r="B2372" s="1">
        <v>2025</v>
      </c>
      <c r="C2372" s="3">
        <v>45751</v>
      </c>
      <c r="E2372" s="1" t="s">
        <v>44</v>
      </c>
      <c r="F2372" s="1" t="s">
        <v>45</v>
      </c>
      <c r="H2372" s="1" t="s">
        <v>397</v>
      </c>
      <c r="I2372" s="1" t="s">
        <v>358</v>
      </c>
      <c r="J2372" s="1" t="s">
        <v>494</v>
      </c>
      <c r="K2372" s="1" t="s">
        <v>390</v>
      </c>
    </row>
    <row r="2373" spans="1:11" x14ac:dyDescent="0.3">
      <c r="A2373" s="1">
        <v>98</v>
      </c>
      <c r="B2373" s="1">
        <v>2025</v>
      </c>
      <c r="C2373" s="3">
        <v>45751</v>
      </c>
      <c r="E2373" s="1" t="s">
        <v>48</v>
      </c>
      <c r="F2373" s="1" t="s">
        <v>45</v>
      </c>
      <c r="H2373" s="1" t="s">
        <v>385</v>
      </c>
      <c r="I2373" s="1" t="s">
        <v>385</v>
      </c>
      <c r="J2373" s="1" t="s">
        <v>385</v>
      </c>
      <c r="K2373" s="1" t="s">
        <v>385</v>
      </c>
    </row>
    <row r="2374" spans="1:11" x14ac:dyDescent="0.3">
      <c r="A2374" s="1">
        <v>98</v>
      </c>
      <c r="B2374" s="1">
        <v>2025</v>
      </c>
      <c r="C2374" s="3">
        <v>45751</v>
      </c>
      <c r="E2374" s="1" t="s">
        <v>49</v>
      </c>
      <c r="F2374" s="1" t="s">
        <v>50</v>
      </c>
      <c r="H2374" s="1" t="s">
        <v>393</v>
      </c>
      <c r="I2374" s="1" t="s">
        <v>370</v>
      </c>
      <c r="J2374" s="1" t="s">
        <v>358</v>
      </c>
      <c r="K2374" s="1" t="s">
        <v>358</v>
      </c>
    </row>
    <row r="2375" spans="1:11" x14ac:dyDescent="0.3">
      <c r="A2375" s="1">
        <v>98</v>
      </c>
      <c r="B2375" s="1">
        <v>2025</v>
      </c>
      <c r="C2375" s="3">
        <v>45751</v>
      </c>
      <c r="E2375" s="1" t="s">
        <v>52</v>
      </c>
      <c r="F2375" s="1" t="s">
        <v>43</v>
      </c>
      <c r="G2375" s="1" t="s">
        <v>358</v>
      </c>
      <c r="H2375" s="1" t="s">
        <v>358</v>
      </c>
      <c r="I2375" s="1" t="s">
        <v>484</v>
      </c>
      <c r="J2375" s="1" t="s">
        <v>600</v>
      </c>
      <c r="K2375" s="1" t="s">
        <v>358</v>
      </c>
    </row>
    <row r="2376" spans="1:11" x14ac:dyDescent="0.3">
      <c r="A2376" s="1">
        <v>98</v>
      </c>
      <c r="B2376" s="1">
        <v>2025</v>
      </c>
      <c r="C2376" s="3">
        <v>45751</v>
      </c>
      <c r="E2376" s="1" t="s">
        <v>53</v>
      </c>
      <c r="F2376" s="1" t="s">
        <v>43</v>
      </c>
      <c r="H2376" s="1" t="s">
        <v>370</v>
      </c>
      <c r="I2376" s="1" t="s">
        <v>405</v>
      </c>
      <c r="J2376" s="1" t="s">
        <v>386</v>
      </c>
      <c r="K2376" s="1" t="s">
        <v>386</v>
      </c>
    </row>
    <row r="2377" spans="1:11" x14ac:dyDescent="0.3">
      <c r="A2377" s="1">
        <v>98</v>
      </c>
      <c r="B2377" s="1">
        <v>2025</v>
      </c>
      <c r="C2377" s="3">
        <v>45751</v>
      </c>
      <c r="E2377" s="1" t="s">
        <v>54</v>
      </c>
      <c r="F2377" s="1" t="s">
        <v>40</v>
      </c>
      <c r="G2377" s="1" t="s">
        <v>370</v>
      </c>
      <c r="H2377" s="1" t="s">
        <v>370</v>
      </c>
      <c r="I2377" s="1" t="s">
        <v>370</v>
      </c>
      <c r="J2377" s="1" t="s">
        <v>370</v>
      </c>
      <c r="K2377" s="1" t="s">
        <v>370</v>
      </c>
    </row>
    <row r="2378" spans="1:11" x14ac:dyDescent="0.3">
      <c r="A2378" s="1">
        <v>98</v>
      </c>
      <c r="B2378" s="1">
        <v>2025</v>
      </c>
      <c r="C2378" s="3">
        <v>45751</v>
      </c>
      <c r="E2378" s="1" t="s">
        <v>56</v>
      </c>
      <c r="F2378" s="1" t="s">
        <v>43</v>
      </c>
      <c r="H2378" s="1" t="s">
        <v>385</v>
      </c>
      <c r="I2378" s="1" t="s">
        <v>385</v>
      </c>
      <c r="J2378" s="1" t="s">
        <v>385</v>
      </c>
      <c r="K2378" s="1" t="s">
        <v>385</v>
      </c>
    </row>
    <row r="2379" spans="1:11" x14ac:dyDescent="0.3">
      <c r="A2379" s="1">
        <v>98</v>
      </c>
      <c r="B2379" s="1">
        <v>2025</v>
      </c>
      <c r="C2379" s="3">
        <v>45751</v>
      </c>
      <c r="E2379" s="1" t="s">
        <v>57</v>
      </c>
      <c r="F2379" s="1" t="s">
        <v>40</v>
      </c>
      <c r="H2379" s="1" t="s">
        <v>370</v>
      </c>
      <c r="I2379" s="1" t="s">
        <v>370</v>
      </c>
      <c r="J2379" s="1" t="s">
        <v>370</v>
      </c>
      <c r="K2379" s="1" t="s">
        <v>370</v>
      </c>
    </row>
    <row r="2380" spans="1:11" x14ac:dyDescent="0.3">
      <c r="A2380" s="1">
        <v>98</v>
      </c>
      <c r="B2380" s="1">
        <v>2025</v>
      </c>
      <c r="C2380" s="3">
        <v>45751</v>
      </c>
      <c r="E2380" s="1" t="s">
        <v>58</v>
      </c>
      <c r="F2380" s="1" t="s">
        <v>40</v>
      </c>
      <c r="G2380" s="1" t="s">
        <v>386</v>
      </c>
      <c r="H2380" s="1" t="s">
        <v>386</v>
      </c>
      <c r="I2380" s="1" t="s">
        <v>405</v>
      </c>
      <c r="J2380" s="1" t="s">
        <v>427</v>
      </c>
      <c r="K2380" s="1" t="s">
        <v>386</v>
      </c>
    </row>
    <row r="2381" spans="1:11" x14ac:dyDescent="0.3">
      <c r="A2381" s="1">
        <v>98</v>
      </c>
      <c r="B2381" s="1">
        <v>2025</v>
      </c>
      <c r="C2381" s="3">
        <v>45751</v>
      </c>
      <c r="E2381" s="1" t="s">
        <v>59</v>
      </c>
      <c r="F2381" s="1" t="s">
        <v>45</v>
      </c>
      <c r="H2381" s="1" t="s">
        <v>362</v>
      </c>
      <c r="I2381" s="1" t="s">
        <v>385</v>
      </c>
      <c r="J2381" s="1" t="s">
        <v>393</v>
      </c>
      <c r="K2381" s="1" t="s">
        <v>390</v>
      </c>
    </row>
    <row r="2382" spans="1:11" x14ac:dyDescent="0.3">
      <c r="A2382" s="1">
        <v>98</v>
      </c>
      <c r="B2382" s="1">
        <v>2025</v>
      </c>
      <c r="C2382" s="3">
        <v>45751</v>
      </c>
      <c r="E2382" s="1" t="s">
        <v>60</v>
      </c>
      <c r="F2382" s="1" t="s">
        <v>61</v>
      </c>
      <c r="H2382" s="1" t="s">
        <v>405</v>
      </c>
      <c r="I2382" s="1" t="s">
        <v>451</v>
      </c>
      <c r="J2382" s="1" t="s">
        <v>610</v>
      </c>
      <c r="K2382" s="1" t="s">
        <v>415</v>
      </c>
    </row>
    <row r="2383" spans="1:11" x14ac:dyDescent="0.3">
      <c r="A2383" s="1">
        <v>98</v>
      </c>
      <c r="B2383" s="1">
        <v>2025</v>
      </c>
      <c r="C2383" s="3">
        <v>45751</v>
      </c>
      <c r="E2383" s="1" t="s">
        <v>63</v>
      </c>
      <c r="F2383" s="1" t="s">
        <v>40</v>
      </c>
      <c r="H2383" s="1" t="s">
        <v>415</v>
      </c>
      <c r="I2383" s="1" t="s">
        <v>621</v>
      </c>
      <c r="J2383" s="1" t="s">
        <v>622</v>
      </c>
      <c r="K2383" s="1" t="s">
        <v>403</v>
      </c>
    </row>
    <row r="2384" spans="1:11" x14ac:dyDescent="0.3">
      <c r="A2384" s="1">
        <v>98</v>
      </c>
      <c r="B2384" s="1">
        <v>2025</v>
      </c>
      <c r="C2384" s="3">
        <v>45751</v>
      </c>
      <c r="E2384" s="1" t="s">
        <v>64</v>
      </c>
      <c r="F2384" s="1" t="s">
        <v>40</v>
      </c>
      <c r="H2384" s="1" t="s">
        <v>408</v>
      </c>
      <c r="I2384" s="1" t="s">
        <v>408</v>
      </c>
      <c r="J2384" s="1" t="s">
        <v>408</v>
      </c>
      <c r="K2384" s="1" t="s">
        <v>408</v>
      </c>
    </row>
    <row r="2385" spans="1:11" x14ac:dyDescent="0.3">
      <c r="A2385" s="1">
        <v>98</v>
      </c>
      <c r="B2385" s="1">
        <v>2025</v>
      </c>
      <c r="C2385" s="3">
        <v>45751</v>
      </c>
      <c r="E2385" s="12" t="s">
        <v>66</v>
      </c>
      <c r="F2385" s="13" t="s">
        <v>45</v>
      </c>
    </row>
    <row r="2386" spans="1:11" x14ac:dyDescent="0.3">
      <c r="A2386" s="1">
        <v>98</v>
      </c>
      <c r="B2386" s="1">
        <v>2025</v>
      </c>
      <c r="C2386" s="3">
        <v>45751</v>
      </c>
      <c r="E2386" s="12" t="s">
        <v>67</v>
      </c>
      <c r="F2386" s="13" t="s">
        <v>45</v>
      </c>
    </row>
    <row r="2387" spans="1:11" x14ac:dyDescent="0.3">
      <c r="A2387" s="1">
        <v>98</v>
      </c>
      <c r="B2387" s="1">
        <v>2025</v>
      </c>
      <c r="C2387" s="3">
        <v>45751</v>
      </c>
      <c r="E2387" s="12" t="s">
        <v>68</v>
      </c>
      <c r="F2387" s="13" t="s">
        <v>45</v>
      </c>
    </row>
    <row r="2388" spans="1:11" x14ac:dyDescent="0.3">
      <c r="A2388" s="1">
        <v>98</v>
      </c>
      <c r="B2388" s="1">
        <v>2025</v>
      </c>
      <c r="C2388" s="3">
        <v>45751</v>
      </c>
      <c r="E2388" s="12" t="s">
        <v>69</v>
      </c>
      <c r="F2388" s="13" t="s">
        <v>45</v>
      </c>
    </row>
    <row r="2389" spans="1:11" x14ac:dyDescent="0.3">
      <c r="A2389" s="1">
        <v>98</v>
      </c>
      <c r="B2389" s="1">
        <v>2025</v>
      </c>
      <c r="C2389" s="3">
        <v>45751</v>
      </c>
      <c r="E2389" s="12" t="s">
        <v>70</v>
      </c>
      <c r="F2389" s="13" t="s">
        <v>71</v>
      </c>
    </row>
    <row r="2390" spans="1:11" x14ac:dyDescent="0.3">
      <c r="A2390" s="1">
        <v>99</v>
      </c>
      <c r="B2390" s="1">
        <v>2025</v>
      </c>
      <c r="C2390" s="3">
        <v>45758</v>
      </c>
      <c r="E2390" s="1" t="s">
        <v>12</v>
      </c>
      <c r="F2390" s="1" t="s">
        <v>13</v>
      </c>
      <c r="H2390" s="1" t="s">
        <v>358</v>
      </c>
      <c r="I2390" s="1" t="s">
        <v>360</v>
      </c>
      <c r="J2390" s="1" t="s">
        <v>623</v>
      </c>
      <c r="K2390" s="1" t="s">
        <v>370</v>
      </c>
    </row>
    <row r="2391" spans="1:11" x14ac:dyDescent="0.3">
      <c r="A2391" s="1">
        <v>99</v>
      </c>
      <c r="B2391" s="1">
        <v>2025</v>
      </c>
      <c r="C2391" s="3">
        <v>45758</v>
      </c>
      <c r="E2391" s="1" t="s">
        <v>14</v>
      </c>
      <c r="F2391" s="1" t="s">
        <v>13</v>
      </c>
      <c r="G2391" s="1" t="s">
        <v>472</v>
      </c>
      <c r="H2391" s="1" t="s">
        <v>472</v>
      </c>
      <c r="I2391" s="1" t="s">
        <v>472</v>
      </c>
      <c r="J2391" s="1" t="s">
        <v>472</v>
      </c>
      <c r="K2391" s="1" t="s">
        <v>472</v>
      </c>
    </row>
    <row r="2392" spans="1:11" x14ac:dyDescent="0.3">
      <c r="A2392" s="1">
        <v>99</v>
      </c>
      <c r="B2392" s="1">
        <v>2025</v>
      </c>
      <c r="C2392" s="3">
        <v>45758</v>
      </c>
      <c r="E2392" s="1" t="s">
        <v>15</v>
      </c>
      <c r="F2392" s="1" t="s">
        <v>13</v>
      </c>
      <c r="G2392" s="1" t="s">
        <v>357</v>
      </c>
      <c r="H2392" s="1" t="s">
        <v>357</v>
      </c>
      <c r="I2392" s="1" t="s">
        <v>357</v>
      </c>
      <c r="J2392" s="1" t="s">
        <v>357</v>
      </c>
      <c r="K2392" s="1" t="s">
        <v>357</v>
      </c>
    </row>
    <row r="2393" spans="1:11" x14ac:dyDescent="0.3">
      <c r="A2393" s="1">
        <v>99</v>
      </c>
      <c r="B2393" s="1">
        <v>2025</v>
      </c>
      <c r="C2393" s="3">
        <v>45758</v>
      </c>
      <c r="E2393" s="1" t="s">
        <v>16</v>
      </c>
      <c r="F2393" s="1" t="s">
        <v>13</v>
      </c>
      <c r="G2393" s="1" t="s">
        <v>362</v>
      </c>
      <c r="H2393" s="1" t="s">
        <v>362</v>
      </c>
      <c r="I2393" s="1" t="s">
        <v>362</v>
      </c>
      <c r="J2393" s="1" t="s">
        <v>362</v>
      </c>
      <c r="K2393" s="1" t="s">
        <v>362</v>
      </c>
    </row>
    <row r="2394" spans="1:11" x14ac:dyDescent="0.3">
      <c r="A2394" s="1">
        <v>99</v>
      </c>
      <c r="B2394" s="1">
        <v>2025</v>
      </c>
      <c r="C2394" s="3">
        <v>45758</v>
      </c>
      <c r="E2394" s="1" t="s">
        <v>17</v>
      </c>
      <c r="F2394" s="1" t="s">
        <v>13</v>
      </c>
      <c r="G2394" s="1" t="s">
        <v>362</v>
      </c>
      <c r="H2394" s="1" t="s">
        <v>362</v>
      </c>
      <c r="I2394" s="1" t="s">
        <v>362</v>
      </c>
      <c r="J2394" s="1" t="s">
        <v>362</v>
      </c>
      <c r="K2394" s="1" t="s">
        <v>362</v>
      </c>
    </row>
    <row r="2395" spans="1:11" x14ac:dyDescent="0.3">
      <c r="A2395" s="1">
        <v>99</v>
      </c>
      <c r="B2395" s="1">
        <v>2025</v>
      </c>
      <c r="C2395" s="3">
        <v>45758</v>
      </c>
      <c r="E2395" s="1" t="s">
        <v>18</v>
      </c>
      <c r="F2395" s="1" t="s">
        <v>13</v>
      </c>
      <c r="H2395" s="1" t="s">
        <v>416</v>
      </c>
      <c r="I2395" s="1" t="s">
        <v>361</v>
      </c>
      <c r="J2395" s="1" t="s">
        <v>385</v>
      </c>
      <c r="K2395" s="1" t="s">
        <v>385</v>
      </c>
    </row>
    <row r="2396" spans="1:11" x14ac:dyDescent="0.3">
      <c r="A2396" s="1">
        <v>99</v>
      </c>
      <c r="B2396" s="1">
        <v>2025</v>
      </c>
      <c r="C2396" s="3">
        <v>45758</v>
      </c>
      <c r="E2396" s="1" t="s">
        <v>19</v>
      </c>
      <c r="F2396" s="1" t="s">
        <v>13</v>
      </c>
      <c r="G2396" s="1" t="s">
        <v>472</v>
      </c>
      <c r="H2396" s="1" t="s">
        <v>472</v>
      </c>
      <c r="I2396" s="1" t="s">
        <v>472</v>
      </c>
      <c r="J2396" s="1" t="s">
        <v>472</v>
      </c>
      <c r="K2396" s="1" t="s">
        <v>472</v>
      </c>
    </row>
    <row r="2397" spans="1:11" x14ac:dyDescent="0.3">
      <c r="A2397" s="1">
        <v>99</v>
      </c>
      <c r="B2397" s="1">
        <v>2025</v>
      </c>
      <c r="C2397" s="3">
        <v>45758</v>
      </c>
      <c r="E2397" s="1" t="s">
        <v>20</v>
      </c>
      <c r="F2397" s="1" t="s">
        <v>13</v>
      </c>
      <c r="G2397" s="1" t="s">
        <v>472</v>
      </c>
      <c r="H2397" s="1" t="s">
        <v>472</v>
      </c>
      <c r="I2397" s="1" t="s">
        <v>472</v>
      </c>
      <c r="J2397" s="1" t="s">
        <v>472</v>
      </c>
      <c r="K2397" s="1" t="s">
        <v>472</v>
      </c>
    </row>
    <row r="2398" spans="1:11" x14ac:dyDescent="0.3">
      <c r="A2398" s="1">
        <v>99</v>
      </c>
      <c r="B2398" s="1">
        <v>2025</v>
      </c>
      <c r="C2398" s="3">
        <v>45758</v>
      </c>
      <c r="E2398" s="1" t="s">
        <v>21</v>
      </c>
      <c r="F2398" s="1" t="s">
        <v>13</v>
      </c>
      <c r="H2398" s="1" t="s">
        <v>506</v>
      </c>
      <c r="I2398" s="1" t="s">
        <v>362</v>
      </c>
      <c r="J2398" s="1" t="s">
        <v>624</v>
      </c>
      <c r="K2398" s="1" t="s">
        <v>362</v>
      </c>
    </row>
    <row r="2399" spans="1:11" x14ac:dyDescent="0.3">
      <c r="A2399" s="1">
        <v>99</v>
      </c>
      <c r="B2399" s="1">
        <v>2025</v>
      </c>
      <c r="C2399" s="3">
        <v>45758</v>
      </c>
      <c r="E2399" s="1" t="s">
        <v>73</v>
      </c>
      <c r="F2399" s="1" t="s">
        <v>13</v>
      </c>
      <c r="H2399" s="1" t="s">
        <v>362</v>
      </c>
      <c r="I2399" s="1" t="s">
        <v>403</v>
      </c>
      <c r="J2399" s="1" t="s">
        <v>625</v>
      </c>
      <c r="K2399" s="1" t="s">
        <v>566</v>
      </c>
    </row>
    <row r="2400" spans="1:11" x14ac:dyDescent="0.3">
      <c r="A2400" s="1">
        <v>99</v>
      </c>
      <c r="B2400" s="1">
        <v>2025</v>
      </c>
      <c r="C2400" s="3">
        <v>45758</v>
      </c>
      <c r="E2400" s="1" t="s">
        <v>23</v>
      </c>
      <c r="F2400" s="1" t="s">
        <v>13</v>
      </c>
      <c r="H2400" s="1" t="s">
        <v>472</v>
      </c>
      <c r="I2400" s="1" t="s">
        <v>362</v>
      </c>
      <c r="J2400" s="1" t="s">
        <v>362</v>
      </c>
      <c r="K2400" s="1" t="s">
        <v>362</v>
      </c>
    </row>
    <row r="2401" spans="1:11" x14ac:dyDescent="0.3">
      <c r="A2401" s="1">
        <v>99</v>
      </c>
      <c r="B2401" s="1">
        <v>2025</v>
      </c>
      <c r="C2401" s="3">
        <v>45758</v>
      </c>
      <c r="E2401" s="1" t="s">
        <v>24</v>
      </c>
      <c r="F2401" s="1" t="s">
        <v>13</v>
      </c>
      <c r="H2401" s="1" t="s">
        <v>362</v>
      </c>
      <c r="I2401" s="1" t="s">
        <v>360</v>
      </c>
      <c r="J2401" s="1" t="s">
        <v>416</v>
      </c>
      <c r="K2401" s="1" t="s">
        <v>416</v>
      </c>
    </row>
    <row r="2402" spans="1:11" x14ac:dyDescent="0.3">
      <c r="A2402" s="1">
        <v>99</v>
      </c>
      <c r="B2402" s="1">
        <v>2025</v>
      </c>
      <c r="C2402" s="3">
        <v>45758</v>
      </c>
      <c r="E2402" s="1" t="s">
        <v>25</v>
      </c>
      <c r="F2402" s="1" t="s">
        <v>26</v>
      </c>
      <c r="H2402" s="1" t="s">
        <v>362</v>
      </c>
      <c r="I2402" s="1" t="s">
        <v>361</v>
      </c>
      <c r="J2402" s="1" t="s">
        <v>626</v>
      </c>
      <c r="K2402" s="1" t="s">
        <v>385</v>
      </c>
    </row>
    <row r="2403" spans="1:11" x14ac:dyDescent="0.3">
      <c r="A2403" s="1">
        <v>99</v>
      </c>
      <c r="B2403" s="1">
        <v>2025</v>
      </c>
      <c r="C2403" s="3">
        <v>45758</v>
      </c>
      <c r="E2403" s="1" t="s">
        <v>27</v>
      </c>
      <c r="F2403" s="1" t="s">
        <v>13</v>
      </c>
      <c r="H2403" s="1" t="s">
        <v>358</v>
      </c>
      <c r="I2403" s="1" t="s">
        <v>361</v>
      </c>
      <c r="J2403" s="1" t="s">
        <v>361</v>
      </c>
      <c r="K2403" s="1" t="s">
        <v>361</v>
      </c>
    </row>
    <row r="2404" spans="1:11" x14ac:dyDescent="0.3">
      <c r="A2404" s="1">
        <v>99</v>
      </c>
      <c r="B2404" s="1">
        <v>2025</v>
      </c>
      <c r="C2404" s="3">
        <v>45758</v>
      </c>
      <c r="E2404" s="1" t="s">
        <v>28</v>
      </c>
      <c r="F2404" s="1" t="s">
        <v>13</v>
      </c>
      <c r="H2404" s="1" t="s">
        <v>358</v>
      </c>
      <c r="I2404" s="1" t="s">
        <v>358</v>
      </c>
      <c r="J2404" s="1" t="s">
        <v>627</v>
      </c>
      <c r="K2404" s="1" t="s">
        <v>358</v>
      </c>
    </row>
    <row r="2405" spans="1:11" x14ac:dyDescent="0.3">
      <c r="A2405" s="1">
        <v>99</v>
      </c>
      <c r="B2405" s="1">
        <v>2025</v>
      </c>
      <c r="C2405" s="3">
        <v>45758</v>
      </c>
      <c r="E2405" s="1" t="s">
        <v>29</v>
      </c>
      <c r="F2405" s="1" t="s">
        <v>13</v>
      </c>
      <c r="H2405" s="1" t="s">
        <v>357</v>
      </c>
      <c r="I2405" s="1" t="s">
        <v>396</v>
      </c>
      <c r="J2405" s="1" t="s">
        <v>628</v>
      </c>
      <c r="K2405" s="1" t="s">
        <v>359</v>
      </c>
    </row>
    <row r="2406" spans="1:11" x14ac:dyDescent="0.3">
      <c r="A2406" s="1">
        <v>99</v>
      </c>
      <c r="B2406" s="1">
        <v>2025</v>
      </c>
      <c r="C2406" s="3">
        <v>45758</v>
      </c>
      <c r="E2406" s="1" t="s">
        <v>31</v>
      </c>
      <c r="F2406" s="1" t="s">
        <v>32</v>
      </c>
      <c r="H2406" s="1" t="s">
        <v>358</v>
      </c>
      <c r="I2406" s="1" t="s">
        <v>360</v>
      </c>
      <c r="J2406" s="1" t="s">
        <v>623</v>
      </c>
      <c r="K2406" s="1" t="s">
        <v>370</v>
      </c>
    </row>
    <row r="2407" spans="1:11" x14ac:dyDescent="0.3">
      <c r="A2407" s="1">
        <v>99</v>
      </c>
      <c r="B2407" s="1">
        <v>2025</v>
      </c>
      <c r="C2407" s="3">
        <v>45758</v>
      </c>
      <c r="E2407" s="1" t="s">
        <v>34</v>
      </c>
      <c r="F2407" s="1" t="s">
        <v>35</v>
      </c>
      <c r="G2407" s="1" t="s">
        <v>472</v>
      </c>
      <c r="H2407" s="1" t="s">
        <v>472</v>
      </c>
      <c r="I2407" s="1" t="s">
        <v>412</v>
      </c>
      <c r="J2407" s="1" t="s">
        <v>472</v>
      </c>
      <c r="K2407" s="1" t="s">
        <v>472</v>
      </c>
    </row>
    <row r="2408" spans="1:11" x14ac:dyDescent="0.3">
      <c r="A2408" s="1">
        <v>99</v>
      </c>
      <c r="B2408" s="1">
        <v>2025</v>
      </c>
      <c r="C2408" s="3">
        <v>45758</v>
      </c>
      <c r="E2408" s="1" t="s">
        <v>36</v>
      </c>
      <c r="F2408" s="1" t="s">
        <v>35</v>
      </c>
      <c r="G2408" s="1" t="s">
        <v>357</v>
      </c>
      <c r="H2408" s="1" t="s">
        <v>357</v>
      </c>
      <c r="I2408" s="1" t="s">
        <v>357</v>
      </c>
      <c r="J2408" s="1" t="s">
        <v>357</v>
      </c>
      <c r="K2408" s="1" t="s">
        <v>357</v>
      </c>
    </row>
    <row r="2409" spans="1:11" x14ac:dyDescent="0.3">
      <c r="A2409" s="1">
        <v>99</v>
      </c>
      <c r="B2409" s="1">
        <v>2025</v>
      </c>
      <c r="C2409" s="3">
        <v>45758</v>
      </c>
      <c r="E2409" s="1" t="s">
        <v>153</v>
      </c>
      <c r="F2409" s="1" t="s">
        <v>154</v>
      </c>
      <c r="H2409" s="1" t="s">
        <v>396</v>
      </c>
      <c r="I2409" s="1" t="s">
        <v>396</v>
      </c>
      <c r="J2409" s="1" t="s">
        <v>396</v>
      </c>
      <c r="K2409" s="1" t="s">
        <v>396</v>
      </c>
    </row>
    <row r="2410" spans="1:11" x14ac:dyDescent="0.3">
      <c r="A2410" s="1">
        <v>99</v>
      </c>
      <c r="B2410" s="1">
        <v>2025</v>
      </c>
      <c r="C2410" s="3">
        <v>45758</v>
      </c>
      <c r="E2410" s="1" t="s">
        <v>39</v>
      </c>
      <c r="F2410" s="1" t="s">
        <v>40</v>
      </c>
      <c r="H2410" s="1" t="s">
        <v>401</v>
      </c>
      <c r="I2410" s="1" t="s">
        <v>451</v>
      </c>
      <c r="J2410" s="1" t="s">
        <v>591</v>
      </c>
      <c r="K2410" s="1" t="s">
        <v>591</v>
      </c>
    </row>
    <row r="2411" spans="1:11" x14ac:dyDescent="0.3">
      <c r="A2411" s="1">
        <v>99</v>
      </c>
      <c r="B2411" s="1">
        <v>2025</v>
      </c>
      <c r="C2411" s="3">
        <v>45758</v>
      </c>
      <c r="E2411" s="1" t="s">
        <v>42</v>
      </c>
      <c r="F2411" s="1" t="s">
        <v>43</v>
      </c>
      <c r="H2411" s="1" t="s">
        <v>390</v>
      </c>
      <c r="I2411" s="1" t="s">
        <v>394</v>
      </c>
      <c r="J2411" s="1" t="s">
        <v>396</v>
      </c>
      <c r="K2411" s="1" t="s">
        <v>396</v>
      </c>
    </row>
    <row r="2412" spans="1:11" x14ac:dyDescent="0.3">
      <c r="A2412" s="1">
        <v>99</v>
      </c>
      <c r="B2412" s="1">
        <v>2025</v>
      </c>
      <c r="C2412" s="3">
        <v>45758</v>
      </c>
      <c r="E2412" s="1" t="s">
        <v>44</v>
      </c>
      <c r="F2412" s="1" t="s">
        <v>45</v>
      </c>
      <c r="G2412" s="1" t="s">
        <v>397</v>
      </c>
      <c r="H2412" s="1" t="s">
        <v>393</v>
      </c>
      <c r="I2412" s="1" t="s">
        <v>393</v>
      </c>
      <c r="J2412" s="1" t="s">
        <v>629</v>
      </c>
      <c r="K2412" s="1" t="s">
        <v>393</v>
      </c>
    </row>
    <row r="2413" spans="1:11" x14ac:dyDescent="0.3">
      <c r="A2413" s="1">
        <v>99</v>
      </c>
      <c r="B2413" s="1">
        <v>2025</v>
      </c>
      <c r="C2413" s="3">
        <v>45758</v>
      </c>
      <c r="E2413" s="1" t="s">
        <v>48</v>
      </c>
      <c r="F2413" s="1" t="s">
        <v>45</v>
      </c>
      <c r="H2413" s="1" t="s">
        <v>386</v>
      </c>
      <c r="I2413" s="1" t="s">
        <v>386</v>
      </c>
      <c r="J2413" s="1" t="s">
        <v>386</v>
      </c>
      <c r="K2413" s="1" t="s">
        <v>386</v>
      </c>
    </row>
    <row r="2414" spans="1:11" x14ac:dyDescent="0.3">
      <c r="A2414" s="1">
        <v>99</v>
      </c>
      <c r="B2414" s="1">
        <v>2025</v>
      </c>
      <c r="C2414" s="3">
        <v>45758</v>
      </c>
      <c r="E2414" s="1" t="s">
        <v>49</v>
      </c>
      <c r="F2414" s="1" t="s">
        <v>50</v>
      </c>
      <c r="H2414" s="1" t="s">
        <v>396</v>
      </c>
      <c r="I2414" s="1" t="s">
        <v>394</v>
      </c>
      <c r="J2414" s="1" t="s">
        <v>358</v>
      </c>
      <c r="K2414" s="1" t="s">
        <v>358</v>
      </c>
    </row>
    <row r="2415" spans="1:11" x14ac:dyDescent="0.3">
      <c r="A2415" s="1">
        <v>99</v>
      </c>
      <c r="B2415" s="1">
        <v>2025</v>
      </c>
      <c r="C2415" s="3">
        <v>45758</v>
      </c>
      <c r="E2415" s="1" t="s">
        <v>52</v>
      </c>
      <c r="F2415" s="1" t="s">
        <v>43</v>
      </c>
      <c r="H2415" s="1" t="s">
        <v>393</v>
      </c>
      <c r="I2415" s="1" t="s">
        <v>386</v>
      </c>
      <c r="J2415" s="1" t="s">
        <v>374</v>
      </c>
      <c r="K2415" s="1" t="s">
        <v>358</v>
      </c>
    </row>
    <row r="2416" spans="1:11" x14ac:dyDescent="0.3">
      <c r="A2416" s="1">
        <v>99</v>
      </c>
      <c r="B2416" s="1">
        <v>2025</v>
      </c>
      <c r="C2416" s="3">
        <v>45758</v>
      </c>
      <c r="E2416" s="1" t="s">
        <v>53</v>
      </c>
      <c r="F2416" s="1" t="s">
        <v>43</v>
      </c>
      <c r="H2416" s="1" t="s">
        <v>393</v>
      </c>
      <c r="I2416" s="1" t="s">
        <v>386</v>
      </c>
      <c r="J2416" s="1" t="s">
        <v>394</v>
      </c>
      <c r="K2416" s="1" t="s">
        <v>394</v>
      </c>
    </row>
    <row r="2417" spans="1:11" x14ac:dyDescent="0.3">
      <c r="A2417" s="1">
        <v>99</v>
      </c>
      <c r="B2417" s="1">
        <v>2025</v>
      </c>
      <c r="C2417" s="3">
        <v>45758</v>
      </c>
      <c r="E2417" s="1" t="s">
        <v>54</v>
      </c>
      <c r="F2417" s="1" t="s">
        <v>40</v>
      </c>
      <c r="H2417" s="1" t="s">
        <v>358</v>
      </c>
      <c r="I2417" s="1" t="s">
        <v>386</v>
      </c>
      <c r="J2417" s="1" t="s">
        <v>370</v>
      </c>
      <c r="K2417" s="1" t="s">
        <v>370</v>
      </c>
    </row>
    <row r="2418" spans="1:11" x14ac:dyDescent="0.3">
      <c r="A2418" s="1">
        <v>99</v>
      </c>
      <c r="B2418" s="1">
        <v>2025</v>
      </c>
      <c r="C2418" s="3">
        <v>45758</v>
      </c>
      <c r="E2418" s="1" t="s">
        <v>56</v>
      </c>
      <c r="F2418" s="1" t="s">
        <v>43</v>
      </c>
      <c r="H2418" s="1" t="s">
        <v>385</v>
      </c>
      <c r="I2418" s="1" t="s">
        <v>385</v>
      </c>
      <c r="J2418" s="1" t="s">
        <v>385</v>
      </c>
      <c r="K2418" s="1" t="s">
        <v>385</v>
      </c>
    </row>
    <row r="2419" spans="1:11" x14ac:dyDescent="0.3">
      <c r="A2419" s="1">
        <v>99</v>
      </c>
      <c r="B2419" s="1">
        <v>2025</v>
      </c>
      <c r="C2419" s="3">
        <v>45758</v>
      </c>
      <c r="E2419" s="1" t="s">
        <v>57</v>
      </c>
      <c r="F2419" s="1" t="s">
        <v>40</v>
      </c>
      <c r="H2419" s="1" t="s">
        <v>370</v>
      </c>
      <c r="I2419" s="1" t="s">
        <v>370</v>
      </c>
      <c r="J2419" s="1" t="s">
        <v>370</v>
      </c>
      <c r="K2419" s="1" t="s">
        <v>370</v>
      </c>
    </row>
    <row r="2420" spans="1:11" x14ac:dyDescent="0.3">
      <c r="A2420" s="1">
        <v>99</v>
      </c>
      <c r="B2420" s="1">
        <v>2025</v>
      </c>
      <c r="C2420" s="3">
        <v>45758</v>
      </c>
      <c r="E2420" s="1" t="s">
        <v>58</v>
      </c>
      <c r="F2420" s="1" t="s">
        <v>40</v>
      </c>
      <c r="H2420" s="1" t="s">
        <v>385</v>
      </c>
      <c r="I2420" s="1" t="s">
        <v>405</v>
      </c>
      <c r="J2420" s="1" t="s">
        <v>576</v>
      </c>
      <c r="K2420" s="1" t="s">
        <v>386</v>
      </c>
    </row>
    <row r="2421" spans="1:11" x14ac:dyDescent="0.3">
      <c r="A2421" s="1">
        <v>99</v>
      </c>
      <c r="B2421" s="1">
        <v>2025</v>
      </c>
      <c r="C2421" s="3">
        <v>45758</v>
      </c>
      <c r="E2421" s="1" t="s">
        <v>59</v>
      </c>
      <c r="F2421" s="1" t="s">
        <v>45</v>
      </c>
      <c r="H2421" s="1" t="s">
        <v>362</v>
      </c>
      <c r="I2421" s="1" t="s">
        <v>358</v>
      </c>
      <c r="J2421" s="1" t="s">
        <v>629</v>
      </c>
      <c r="K2421" s="1" t="s">
        <v>393</v>
      </c>
    </row>
    <row r="2422" spans="1:11" x14ac:dyDescent="0.3">
      <c r="A2422" s="1">
        <v>99</v>
      </c>
      <c r="B2422" s="1">
        <v>2025</v>
      </c>
      <c r="C2422" s="3">
        <v>45758</v>
      </c>
      <c r="E2422" s="1" t="s">
        <v>60</v>
      </c>
      <c r="F2422" s="1" t="s">
        <v>61</v>
      </c>
      <c r="H2422" s="1" t="s">
        <v>401</v>
      </c>
      <c r="I2422" s="1" t="s">
        <v>411</v>
      </c>
      <c r="J2422" s="1" t="s">
        <v>630</v>
      </c>
      <c r="K2422" s="1" t="s">
        <v>408</v>
      </c>
    </row>
    <row r="2423" spans="1:11" x14ac:dyDescent="0.3">
      <c r="A2423" s="1">
        <v>99</v>
      </c>
      <c r="B2423" s="1">
        <v>2025</v>
      </c>
      <c r="C2423" s="3">
        <v>45758</v>
      </c>
      <c r="E2423" s="1" t="s">
        <v>63</v>
      </c>
      <c r="F2423" s="1" t="s">
        <v>40</v>
      </c>
      <c r="G2423" s="1" t="s">
        <v>403</v>
      </c>
      <c r="H2423" s="1" t="s">
        <v>403</v>
      </c>
      <c r="I2423" s="1" t="s">
        <v>401</v>
      </c>
      <c r="J2423" s="1" t="s">
        <v>424</v>
      </c>
      <c r="K2423" s="1" t="s">
        <v>403</v>
      </c>
    </row>
    <row r="2424" spans="1:11" x14ac:dyDescent="0.3">
      <c r="A2424" s="1">
        <v>99</v>
      </c>
      <c r="B2424" s="1">
        <v>2025</v>
      </c>
      <c r="C2424" s="3">
        <v>45758</v>
      </c>
      <c r="E2424" s="1" t="s">
        <v>64</v>
      </c>
      <c r="F2424" s="1" t="s">
        <v>40</v>
      </c>
      <c r="H2424" s="1" t="s">
        <v>631</v>
      </c>
      <c r="I2424" s="1" t="s">
        <v>631</v>
      </c>
      <c r="J2424" s="1" t="s">
        <v>631</v>
      </c>
      <c r="K2424" s="1" t="s">
        <v>631</v>
      </c>
    </row>
    <row r="2425" spans="1:11" x14ac:dyDescent="0.3">
      <c r="A2425" s="1">
        <v>99</v>
      </c>
      <c r="B2425" s="1">
        <v>2025</v>
      </c>
      <c r="C2425" s="3">
        <v>45758</v>
      </c>
      <c r="E2425" s="12" t="s">
        <v>66</v>
      </c>
      <c r="F2425" s="13" t="s">
        <v>45</v>
      </c>
    </row>
    <row r="2426" spans="1:11" x14ac:dyDescent="0.3">
      <c r="A2426" s="1">
        <v>99</v>
      </c>
      <c r="B2426" s="1">
        <v>2025</v>
      </c>
      <c r="C2426" s="3">
        <v>45758</v>
      </c>
      <c r="E2426" s="12" t="s">
        <v>67</v>
      </c>
      <c r="F2426" s="13" t="s">
        <v>45</v>
      </c>
    </row>
    <row r="2427" spans="1:11" x14ac:dyDescent="0.3">
      <c r="A2427" s="1">
        <v>99</v>
      </c>
      <c r="B2427" s="1">
        <v>2025</v>
      </c>
      <c r="C2427" s="3">
        <v>45758</v>
      </c>
      <c r="E2427" s="12" t="s">
        <v>68</v>
      </c>
      <c r="F2427" s="13" t="s">
        <v>45</v>
      </c>
    </row>
    <row r="2428" spans="1:11" x14ac:dyDescent="0.3">
      <c r="A2428" s="1">
        <v>99</v>
      </c>
      <c r="B2428" s="1">
        <v>2025</v>
      </c>
      <c r="C2428" s="3">
        <v>45758</v>
      </c>
      <c r="E2428" s="12" t="s">
        <v>69</v>
      </c>
      <c r="F2428" s="13" t="s">
        <v>45</v>
      </c>
    </row>
    <row r="2429" spans="1:11" x14ac:dyDescent="0.3">
      <c r="A2429" s="1">
        <v>99</v>
      </c>
      <c r="B2429" s="1">
        <v>2025</v>
      </c>
      <c r="C2429" s="3">
        <v>45758</v>
      </c>
      <c r="D2429" s="20"/>
      <c r="E2429" s="12" t="s">
        <v>70</v>
      </c>
      <c r="F2429" s="13" t="s">
        <v>71</v>
      </c>
    </row>
  </sheetData>
  <autoFilter ref="A1:K2424" xr:uid="{00000000-0009-0000-0000-000000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1"/>
  <sheetViews>
    <sheetView topLeftCell="A196" zoomScaleNormal="100" workbookViewId="0">
      <selection activeCell="C122" sqref="C122:I201"/>
    </sheetView>
  </sheetViews>
  <sheetFormatPr defaultColWidth="11.5546875" defaultRowHeight="14.4" x14ac:dyDescent="0.3"/>
  <sheetData>
    <row r="1" spans="1:9" ht="28.8" x14ac:dyDescent="0.3">
      <c r="A1" s="1" t="s">
        <v>632</v>
      </c>
      <c r="B1" s="1" t="s">
        <v>633</v>
      </c>
      <c r="C1" s="12" t="s">
        <v>4</v>
      </c>
      <c r="D1" s="12" t="s">
        <v>634</v>
      </c>
      <c r="E1" s="12" t="s">
        <v>6</v>
      </c>
      <c r="F1" s="12" t="s">
        <v>7</v>
      </c>
      <c r="G1" s="12" t="s">
        <v>8</v>
      </c>
      <c r="H1" s="12" t="s">
        <v>9</v>
      </c>
      <c r="I1" s="12" t="s">
        <v>10</v>
      </c>
    </row>
    <row r="2" spans="1:9" x14ac:dyDescent="0.3">
      <c r="A2" s="1">
        <v>88</v>
      </c>
      <c r="B2" s="1">
        <v>2024</v>
      </c>
      <c r="C2" s="12" t="s">
        <v>12</v>
      </c>
      <c r="D2" s="13" t="s">
        <v>13</v>
      </c>
      <c r="E2" s="13" t="s">
        <v>542</v>
      </c>
      <c r="F2" s="14">
        <v>36</v>
      </c>
      <c r="G2" s="14">
        <v>72</v>
      </c>
      <c r="H2" s="14">
        <v>54</v>
      </c>
      <c r="I2" s="14">
        <v>54</v>
      </c>
    </row>
    <row r="3" spans="1:9" x14ac:dyDescent="0.3">
      <c r="A3" s="1">
        <v>88</v>
      </c>
      <c r="B3" s="1">
        <v>2024</v>
      </c>
      <c r="C3" s="12" t="s">
        <v>14</v>
      </c>
      <c r="D3" s="13" t="s">
        <v>13</v>
      </c>
      <c r="E3" s="14">
        <v>96</v>
      </c>
      <c r="F3" s="14">
        <v>54</v>
      </c>
      <c r="G3" s="14">
        <v>96</v>
      </c>
      <c r="H3" s="14">
        <v>82.5</v>
      </c>
      <c r="I3" s="14">
        <v>90</v>
      </c>
    </row>
    <row r="4" spans="1:9" ht="28.8" x14ac:dyDescent="0.3">
      <c r="A4" s="1">
        <v>88</v>
      </c>
      <c r="B4" s="1">
        <v>2024</v>
      </c>
      <c r="C4" s="12" t="s">
        <v>15</v>
      </c>
      <c r="D4" s="13" t="s">
        <v>13</v>
      </c>
      <c r="E4" s="13" t="s">
        <v>542</v>
      </c>
      <c r="F4" s="14">
        <v>40</v>
      </c>
      <c r="G4" s="14">
        <v>60</v>
      </c>
      <c r="H4" s="14">
        <v>48.25</v>
      </c>
      <c r="I4" s="14">
        <v>46.5</v>
      </c>
    </row>
    <row r="5" spans="1:9" ht="28.8" x14ac:dyDescent="0.3">
      <c r="A5" s="1">
        <v>88</v>
      </c>
      <c r="B5" s="1">
        <v>2024</v>
      </c>
      <c r="C5" s="12" t="s">
        <v>16</v>
      </c>
      <c r="D5" s="13" t="s">
        <v>13</v>
      </c>
      <c r="E5" s="14">
        <v>30</v>
      </c>
      <c r="F5" s="14">
        <v>25</v>
      </c>
      <c r="G5" s="14">
        <v>50</v>
      </c>
      <c r="H5" s="14">
        <v>33.75</v>
      </c>
      <c r="I5" s="14">
        <v>30</v>
      </c>
    </row>
    <row r="6" spans="1:9" x14ac:dyDescent="0.3">
      <c r="A6" s="1">
        <v>88</v>
      </c>
      <c r="B6" s="1">
        <v>2024</v>
      </c>
      <c r="C6" s="12" t="s">
        <v>17</v>
      </c>
      <c r="D6" s="13" t="s">
        <v>13</v>
      </c>
      <c r="E6" s="14">
        <v>30</v>
      </c>
      <c r="F6" s="14">
        <v>25</v>
      </c>
      <c r="G6" s="14">
        <v>50</v>
      </c>
      <c r="H6" s="14">
        <v>33.75</v>
      </c>
      <c r="I6" s="14">
        <v>30</v>
      </c>
    </row>
    <row r="7" spans="1:9" x14ac:dyDescent="0.3">
      <c r="A7" s="1">
        <v>88</v>
      </c>
      <c r="B7" s="1">
        <v>2024</v>
      </c>
      <c r="C7" s="12" t="s">
        <v>18</v>
      </c>
      <c r="D7" s="13" t="s">
        <v>13</v>
      </c>
      <c r="E7" s="14">
        <v>60</v>
      </c>
      <c r="F7" s="14">
        <v>60</v>
      </c>
      <c r="G7" s="14">
        <v>120</v>
      </c>
      <c r="H7" s="14">
        <v>76.5</v>
      </c>
      <c r="I7" s="14">
        <v>63</v>
      </c>
    </row>
    <row r="8" spans="1:9" ht="43.2" x14ac:dyDescent="0.3">
      <c r="A8" s="1">
        <v>88</v>
      </c>
      <c r="B8" s="1">
        <v>2024</v>
      </c>
      <c r="C8" s="12" t="s">
        <v>19</v>
      </c>
      <c r="D8" s="13" t="s">
        <v>13</v>
      </c>
      <c r="E8" s="14">
        <v>84</v>
      </c>
      <c r="F8" s="14">
        <v>78</v>
      </c>
      <c r="G8" s="14">
        <v>84</v>
      </c>
      <c r="H8" s="14">
        <v>81</v>
      </c>
      <c r="I8" s="14">
        <v>81</v>
      </c>
    </row>
    <row r="9" spans="1:9" ht="28.8" x14ac:dyDescent="0.3">
      <c r="A9" s="1">
        <v>88</v>
      </c>
      <c r="B9" s="1">
        <v>2024</v>
      </c>
      <c r="C9" s="12" t="s">
        <v>20</v>
      </c>
      <c r="D9" s="13" t="s">
        <v>13</v>
      </c>
      <c r="E9" s="14">
        <v>84</v>
      </c>
      <c r="F9" s="14">
        <v>72</v>
      </c>
      <c r="G9" s="14">
        <v>96</v>
      </c>
      <c r="H9" s="14">
        <v>84</v>
      </c>
      <c r="I9" s="14">
        <v>84</v>
      </c>
    </row>
    <row r="10" spans="1:9" ht="28.8" x14ac:dyDescent="0.3">
      <c r="A10" s="1">
        <v>88</v>
      </c>
      <c r="B10" s="1">
        <v>2024</v>
      </c>
      <c r="C10" s="12" t="s">
        <v>21</v>
      </c>
      <c r="D10" s="13" t="s">
        <v>13</v>
      </c>
      <c r="E10" s="14">
        <v>24</v>
      </c>
      <c r="F10" s="14">
        <v>24</v>
      </c>
      <c r="G10" s="14">
        <v>30</v>
      </c>
      <c r="H10" s="14">
        <v>25.5</v>
      </c>
      <c r="I10" s="14">
        <v>24</v>
      </c>
    </row>
    <row r="11" spans="1:9" x14ac:dyDescent="0.3">
      <c r="A11" s="1">
        <v>88</v>
      </c>
      <c r="B11" s="1">
        <v>2024</v>
      </c>
      <c r="C11" s="12" t="s">
        <v>73</v>
      </c>
      <c r="D11" s="13" t="s">
        <v>13</v>
      </c>
      <c r="E11" s="14">
        <v>96</v>
      </c>
      <c r="F11" s="14">
        <v>72</v>
      </c>
      <c r="G11" s="14">
        <v>96</v>
      </c>
      <c r="H11" s="14">
        <v>87</v>
      </c>
      <c r="I11" s="14">
        <v>90</v>
      </c>
    </row>
    <row r="12" spans="1:9" x14ac:dyDescent="0.3">
      <c r="A12" s="1">
        <v>88</v>
      </c>
      <c r="B12" s="1">
        <v>2024</v>
      </c>
      <c r="C12" s="12" t="s">
        <v>23</v>
      </c>
      <c r="D12" s="13" t="s">
        <v>13</v>
      </c>
      <c r="E12" s="14">
        <v>30</v>
      </c>
      <c r="F12" s="14">
        <v>25</v>
      </c>
      <c r="G12" s="14">
        <v>36</v>
      </c>
      <c r="H12" s="14">
        <v>30.25</v>
      </c>
      <c r="I12" s="14">
        <v>30</v>
      </c>
    </row>
    <row r="13" spans="1:9" x14ac:dyDescent="0.3">
      <c r="A13" s="1">
        <v>88</v>
      </c>
      <c r="B13" s="1">
        <v>2024</v>
      </c>
      <c r="C13" s="12" t="s">
        <v>24</v>
      </c>
      <c r="D13" s="13" t="s">
        <v>13</v>
      </c>
      <c r="E13" s="14">
        <v>72</v>
      </c>
      <c r="F13" s="14">
        <v>60</v>
      </c>
      <c r="G13" s="14">
        <v>84</v>
      </c>
      <c r="H13" s="14">
        <v>72</v>
      </c>
      <c r="I13" s="14">
        <v>72</v>
      </c>
    </row>
    <row r="14" spans="1:9" x14ac:dyDescent="0.3">
      <c r="A14" s="1">
        <v>88</v>
      </c>
      <c r="B14" s="1">
        <v>2024</v>
      </c>
      <c r="C14" s="12" t="s">
        <v>25</v>
      </c>
      <c r="D14" s="13" t="s">
        <v>26</v>
      </c>
      <c r="E14" s="14">
        <v>72</v>
      </c>
      <c r="F14" s="14">
        <v>60</v>
      </c>
      <c r="G14" s="14">
        <v>96</v>
      </c>
      <c r="H14" s="14">
        <v>75</v>
      </c>
      <c r="I14" s="14">
        <v>72</v>
      </c>
    </row>
    <row r="15" spans="1:9" ht="28.8" x14ac:dyDescent="0.3">
      <c r="A15" s="1">
        <v>88</v>
      </c>
      <c r="B15" s="1">
        <v>2024</v>
      </c>
      <c r="C15" s="12" t="s">
        <v>27</v>
      </c>
      <c r="D15" s="13" t="s">
        <v>13</v>
      </c>
      <c r="E15" s="14">
        <v>60</v>
      </c>
      <c r="F15" s="14">
        <v>54</v>
      </c>
      <c r="G15" s="14">
        <v>72</v>
      </c>
      <c r="H15" s="14">
        <v>61.5</v>
      </c>
      <c r="I15" s="14">
        <v>60</v>
      </c>
    </row>
    <row r="16" spans="1:9" ht="28.8" x14ac:dyDescent="0.3">
      <c r="A16" s="1">
        <v>88</v>
      </c>
      <c r="B16" s="1">
        <v>2024</v>
      </c>
      <c r="C16" s="12" t="s">
        <v>28</v>
      </c>
      <c r="D16" s="13" t="s">
        <v>13</v>
      </c>
      <c r="E16" s="14">
        <v>48</v>
      </c>
      <c r="F16" s="14">
        <v>36</v>
      </c>
      <c r="G16" s="14">
        <v>48</v>
      </c>
      <c r="H16" s="14">
        <v>42</v>
      </c>
      <c r="I16" s="14">
        <v>42</v>
      </c>
    </row>
    <row r="17" spans="1:9" x14ac:dyDescent="0.3">
      <c r="A17" s="1">
        <v>88</v>
      </c>
      <c r="B17" s="1">
        <v>2024</v>
      </c>
      <c r="C17" s="12" t="s">
        <v>29</v>
      </c>
      <c r="D17" s="13" t="s">
        <v>13</v>
      </c>
      <c r="E17" s="14">
        <v>54</v>
      </c>
      <c r="F17" s="14">
        <v>48</v>
      </c>
      <c r="G17" s="14">
        <v>60</v>
      </c>
      <c r="H17" s="14">
        <v>54</v>
      </c>
      <c r="I17" s="14">
        <v>54</v>
      </c>
    </row>
    <row r="18" spans="1:9" x14ac:dyDescent="0.3">
      <c r="A18" s="1">
        <v>88</v>
      </c>
      <c r="B18" s="1">
        <v>2024</v>
      </c>
      <c r="C18" s="12" t="s">
        <v>31</v>
      </c>
      <c r="D18" s="13" t="s">
        <v>32</v>
      </c>
      <c r="E18" s="14">
        <v>5</v>
      </c>
      <c r="F18" s="14">
        <v>5</v>
      </c>
      <c r="G18" s="14">
        <v>5</v>
      </c>
      <c r="H18" s="14">
        <v>5</v>
      </c>
      <c r="I18" s="14">
        <v>5</v>
      </c>
    </row>
    <row r="19" spans="1:9" x14ac:dyDescent="0.3">
      <c r="A19" s="1">
        <v>88</v>
      </c>
      <c r="B19" s="1">
        <v>2024</v>
      </c>
      <c r="C19" s="12" t="s">
        <v>34</v>
      </c>
      <c r="D19" s="13" t="s">
        <v>35</v>
      </c>
      <c r="E19" s="14">
        <v>20</v>
      </c>
      <c r="F19" s="14">
        <v>20</v>
      </c>
      <c r="G19" s="14">
        <v>25</v>
      </c>
      <c r="H19" s="14">
        <v>22.5</v>
      </c>
      <c r="I19" s="14">
        <v>22.5</v>
      </c>
    </row>
    <row r="20" spans="1:9" x14ac:dyDescent="0.3">
      <c r="A20" s="1">
        <v>88</v>
      </c>
      <c r="B20" s="1">
        <v>2024</v>
      </c>
      <c r="C20" s="12" t="s">
        <v>36</v>
      </c>
      <c r="D20" s="13" t="s">
        <v>35</v>
      </c>
      <c r="E20" s="14">
        <v>25</v>
      </c>
      <c r="F20" s="14">
        <v>25</v>
      </c>
      <c r="G20" s="14">
        <v>30</v>
      </c>
      <c r="H20" s="14">
        <v>27.5</v>
      </c>
      <c r="I20" s="14">
        <v>27.5</v>
      </c>
    </row>
    <row r="21" spans="1:9" ht="28.8" x14ac:dyDescent="0.3">
      <c r="A21" s="1">
        <v>88</v>
      </c>
      <c r="B21" s="1">
        <v>2024</v>
      </c>
      <c r="C21" s="12" t="s">
        <v>516</v>
      </c>
      <c r="D21" s="13" t="s">
        <v>154</v>
      </c>
      <c r="E21" s="14">
        <v>70</v>
      </c>
      <c r="F21" s="14">
        <v>70</v>
      </c>
      <c r="G21" s="14">
        <v>75</v>
      </c>
      <c r="H21" s="14">
        <v>71.67</v>
      </c>
      <c r="I21" s="14">
        <v>70</v>
      </c>
    </row>
    <row r="22" spans="1:9" ht="28.8" x14ac:dyDescent="0.3">
      <c r="A22" s="1">
        <v>88</v>
      </c>
      <c r="B22" s="1">
        <v>2024</v>
      </c>
      <c r="C22" s="12" t="s">
        <v>39</v>
      </c>
      <c r="D22" s="13" t="s">
        <v>40</v>
      </c>
      <c r="E22" s="14">
        <v>50</v>
      </c>
      <c r="F22" s="14">
        <v>50</v>
      </c>
      <c r="G22" s="14">
        <v>60</v>
      </c>
      <c r="H22" s="14">
        <v>53.33</v>
      </c>
      <c r="I22" s="14">
        <v>50</v>
      </c>
    </row>
    <row r="23" spans="1:9" x14ac:dyDescent="0.3">
      <c r="A23" s="1">
        <v>88</v>
      </c>
      <c r="B23" s="1">
        <v>2024</v>
      </c>
      <c r="C23" s="12" t="s">
        <v>42</v>
      </c>
      <c r="D23" s="13" t="s">
        <v>43</v>
      </c>
      <c r="E23" s="14">
        <v>70</v>
      </c>
      <c r="F23" s="14">
        <v>45</v>
      </c>
      <c r="G23" s="14">
        <v>70</v>
      </c>
      <c r="H23" s="14">
        <v>62.5</v>
      </c>
      <c r="I23" s="14">
        <v>67.5</v>
      </c>
    </row>
    <row r="24" spans="1:9" ht="28.8" x14ac:dyDescent="0.3">
      <c r="A24" s="1">
        <v>88</v>
      </c>
      <c r="B24" s="1">
        <v>2024</v>
      </c>
      <c r="C24" s="12" t="s">
        <v>44</v>
      </c>
      <c r="D24" s="13" t="s">
        <v>45</v>
      </c>
      <c r="E24" s="13" t="s">
        <v>542</v>
      </c>
      <c r="F24" s="14">
        <v>40</v>
      </c>
      <c r="G24" s="14">
        <v>65</v>
      </c>
      <c r="H24" s="14">
        <v>53.75</v>
      </c>
      <c r="I24" s="14">
        <v>55</v>
      </c>
    </row>
    <row r="25" spans="1:9" ht="28.8" x14ac:dyDescent="0.3">
      <c r="A25" s="1">
        <v>88</v>
      </c>
      <c r="B25" s="1">
        <v>2024</v>
      </c>
      <c r="C25" s="12" t="s">
        <v>48</v>
      </c>
      <c r="D25" s="13" t="s">
        <v>45</v>
      </c>
      <c r="E25" s="13" t="s">
        <v>542</v>
      </c>
      <c r="F25" s="14">
        <v>65</v>
      </c>
      <c r="G25" s="14">
        <v>75</v>
      </c>
      <c r="H25" s="14">
        <v>70</v>
      </c>
      <c r="I25" s="14">
        <v>70</v>
      </c>
    </row>
    <row r="26" spans="1:9" x14ac:dyDescent="0.3">
      <c r="A26" s="1">
        <v>88</v>
      </c>
      <c r="B26" s="1">
        <v>2024</v>
      </c>
      <c r="C26" s="12" t="s">
        <v>49</v>
      </c>
      <c r="D26" s="13" t="s">
        <v>50</v>
      </c>
      <c r="E26" s="14">
        <v>60</v>
      </c>
      <c r="F26" s="14">
        <v>50</v>
      </c>
      <c r="G26" s="14">
        <v>60</v>
      </c>
      <c r="H26" s="14">
        <v>55</v>
      </c>
      <c r="I26" s="14">
        <v>55</v>
      </c>
    </row>
    <row r="27" spans="1:9" x14ac:dyDescent="0.3">
      <c r="A27" s="1">
        <v>88</v>
      </c>
      <c r="B27" s="1">
        <v>2024</v>
      </c>
      <c r="C27" s="12" t="s">
        <v>52</v>
      </c>
      <c r="D27" s="13" t="s">
        <v>43</v>
      </c>
      <c r="E27" s="13" t="s">
        <v>542</v>
      </c>
      <c r="F27" s="14">
        <v>60</v>
      </c>
      <c r="G27" s="14">
        <v>100</v>
      </c>
      <c r="H27" s="14">
        <v>80</v>
      </c>
      <c r="I27" s="14">
        <v>80</v>
      </c>
    </row>
    <row r="28" spans="1:9" x14ac:dyDescent="0.3">
      <c r="A28" s="1">
        <v>88</v>
      </c>
      <c r="B28" s="1">
        <v>2024</v>
      </c>
      <c r="C28" s="12" t="s">
        <v>53</v>
      </c>
      <c r="D28" s="13" t="s">
        <v>43</v>
      </c>
      <c r="E28" s="13" t="s">
        <v>542</v>
      </c>
      <c r="F28" s="14">
        <v>45</v>
      </c>
      <c r="G28" s="14">
        <v>90</v>
      </c>
      <c r="H28" s="14">
        <v>63.75</v>
      </c>
      <c r="I28" s="14">
        <v>60</v>
      </c>
    </row>
    <row r="29" spans="1:9" x14ac:dyDescent="0.3">
      <c r="A29" s="1">
        <v>88</v>
      </c>
      <c r="B29" s="1">
        <v>2024</v>
      </c>
      <c r="C29" s="12" t="s">
        <v>54</v>
      </c>
      <c r="D29" s="13" t="s">
        <v>40</v>
      </c>
      <c r="E29" s="13" t="s">
        <v>542</v>
      </c>
      <c r="F29" s="14">
        <v>70</v>
      </c>
      <c r="G29" s="14">
        <v>100</v>
      </c>
      <c r="H29" s="14">
        <v>85</v>
      </c>
      <c r="I29" s="14">
        <v>85</v>
      </c>
    </row>
    <row r="30" spans="1:9" x14ac:dyDescent="0.3">
      <c r="A30" s="1">
        <v>88</v>
      </c>
      <c r="B30" s="1">
        <v>2024</v>
      </c>
      <c r="C30" s="12" t="s">
        <v>56</v>
      </c>
      <c r="D30" s="13" t="s">
        <v>43</v>
      </c>
      <c r="E30" s="13" t="s">
        <v>542</v>
      </c>
      <c r="F30" s="14">
        <v>50</v>
      </c>
      <c r="G30" s="14">
        <v>75</v>
      </c>
      <c r="H30" s="14">
        <v>62.5</v>
      </c>
      <c r="I30" s="14">
        <v>62.5</v>
      </c>
    </row>
    <row r="31" spans="1:9" ht="28.8" x14ac:dyDescent="0.3">
      <c r="A31" s="1">
        <v>88</v>
      </c>
      <c r="B31" s="1">
        <v>2024</v>
      </c>
      <c r="C31" s="12" t="s">
        <v>57</v>
      </c>
      <c r="D31" s="13" t="s">
        <v>40</v>
      </c>
      <c r="E31" s="14">
        <v>80</v>
      </c>
      <c r="F31" s="14">
        <v>45</v>
      </c>
      <c r="G31" s="14">
        <v>80</v>
      </c>
      <c r="H31" s="14">
        <v>68.33</v>
      </c>
      <c r="I31" s="14">
        <v>80</v>
      </c>
    </row>
    <row r="32" spans="1:9" ht="28.8" x14ac:dyDescent="0.3">
      <c r="A32" s="1">
        <v>88</v>
      </c>
      <c r="B32" s="1">
        <v>2024</v>
      </c>
      <c r="C32" s="12" t="s">
        <v>58</v>
      </c>
      <c r="D32" s="13" t="s">
        <v>40</v>
      </c>
      <c r="E32" s="14">
        <v>90</v>
      </c>
      <c r="F32" s="14">
        <v>80</v>
      </c>
      <c r="G32" s="14">
        <v>120</v>
      </c>
      <c r="H32" s="14">
        <v>95</v>
      </c>
      <c r="I32" s="14">
        <v>90</v>
      </c>
    </row>
    <row r="33" spans="1:9" ht="28.8" x14ac:dyDescent="0.3">
      <c r="A33" s="1">
        <v>88</v>
      </c>
      <c r="B33" s="1">
        <v>2024</v>
      </c>
      <c r="C33" s="12" t="s">
        <v>59</v>
      </c>
      <c r="D33" s="13" t="s">
        <v>45</v>
      </c>
      <c r="E33" s="14">
        <v>30</v>
      </c>
      <c r="F33" s="14">
        <v>20</v>
      </c>
      <c r="G33" s="14">
        <v>40</v>
      </c>
      <c r="H33" s="14">
        <v>30</v>
      </c>
      <c r="I33" s="14">
        <v>30</v>
      </c>
    </row>
    <row r="34" spans="1:9" x14ac:dyDescent="0.3">
      <c r="A34" s="1">
        <v>88</v>
      </c>
      <c r="B34" s="1">
        <v>2024</v>
      </c>
      <c r="C34" s="12" t="s">
        <v>60</v>
      </c>
      <c r="D34" s="13" t="s">
        <v>61</v>
      </c>
      <c r="E34" s="14">
        <v>90</v>
      </c>
      <c r="F34" s="14">
        <v>50</v>
      </c>
      <c r="G34" s="14">
        <v>90</v>
      </c>
      <c r="H34" s="14">
        <v>78.75</v>
      </c>
      <c r="I34" s="14">
        <v>87.5</v>
      </c>
    </row>
    <row r="35" spans="1:9" ht="28.8" x14ac:dyDescent="0.3">
      <c r="A35" s="1">
        <v>88</v>
      </c>
      <c r="B35" s="1">
        <v>2024</v>
      </c>
      <c r="C35" s="12" t="s">
        <v>63</v>
      </c>
      <c r="D35" s="13" t="s">
        <v>40</v>
      </c>
      <c r="E35" s="13" t="s">
        <v>542</v>
      </c>
      <c r="F35" s="14">
        <v>60</v>
      </c>
      <c r="G35" s="14">
        <v>120</v>
      </c>
      <c r="H35" s="14">
        <v>92.5</v>
      </c>
      <c r="I35" s="14">
        <v>95</v>
      </c>
    </row>
    <row r="36" spans="1:9" ht="28.8" x14ac:dyDescent="0.3">
      <c r="A36" s="1">
        <v>88</v>
      </c>
      <c r="B36" s="1">
        <v>2024</v>
      </c>
      <c r="C36" s="12" t="s">
        <v>64</v>
      </c>
      <c r="D36" s="13" t="s">
        <v>40</v>
      </c>
      <c r="E36" s="14">
        <v>50</v>
      </c>
      <c r="F36" s="14">
        <v>50</v>
      </c>
      <c r="G36" s="14">
        <v>70</v>
      </c>
      <c r="H36" s="14">
        <v>56.67</v>
      </c>
      <c r="I36" s="14">
        <v>50</v>
      </c>
    </row>
    <row r="37" spans="1:9" x14ac:dyDescent="0.3">
      <c r="A37" s="1">
        <v>88</v>
      </c>
      <c r="B37" s="1">
        <v>2024</v>
      </c>
      <c r="C37" s="12" t="s">
        <v>66</v>
      </c>
      <c r="D37" s="13" t="s">
        <v>45</v>
      </c>
      <c r="E37" s="13" t="s">
        <v>542</v>
      </c>
      <c r="F37" s="13" t="s">
        <v>542</v>
      </c>
      <c r="G37" s="13" t="s">
        <v>542</v>
      </c>
      <c r="H37" s="13" t="s">
        <v>542</v>
      </c>
      <c r="I37" s="13" t="s">
        <v>542</v>
      </c>
    </row>
    <row r="38" spans="1:9" ht="28.8" x14ac:dyDescent="0.3">
      <c r="A38" s="1">
        <v>88</v>
      </c>
      <c r="B38" s="1">
        <v>2024</v>
      </c>
      <c r="C38" s="12" t="s">
        <v>67</v>
      </c>
      <c r="D38" s="13" t="s">
        <v>45</v>
      </c>
      <c r="E38" s="13" t="s">
        <v>542</v>
      </c>
      <c r="F38" s="13" t="s">
        <v>542</v>
      </c>
      <c r="G38" s="13" t="s">
        <v>542</v>
      </c>
      <c r="H38" s="13" t="s">
        <v>542</v>
      </c>
      <c r="I38" s="13" t="s">
        <v>542</v>
      </c>
    </row>
    <row r="39" spans="1:9" ht="28.8" x14ac:dyDescent="0.3">
      <c r="A39" s="1">
        <v>88</v>
      </c>
      <c r="B39" s="1">
        <v>2024</v>
      </c>
      <c r="C39" s="12" t="s">
        <v>68</v>
      </c>
      <c r="D39" s="13" t="s">
        <v>45</v>
      </c>
      <c r="E39" s="13" t="s">
        <v>542</v>
      </c>
      <c r="F39" s="13" t="s">
        <v>542</v>
      </c>
      <c r="G39" s="13" t="s">
        <v>542</v>
      </c>
      <c r="H39" s="13" t="s">
        <v>542</v>
      </c>
      <c r="I39" s="13" t="s">
        <v>542</v>
      </c>
    </row>
    <row r="40" spans="1:9" x14ac:dyDescent="0.3">
      <c r="A40" s="1">
        <v>88</v>
      </c>
      <c r="B40" s="1">
        <v>2024</v>
      </c>
      <c r="C40" s="12" t="s">
        <v>69</v>
      </c>
      <c r="D40" s="13" t="s">
        <v>45</v>
      </c>
      <c r="E40" s="13" t="s">
        <v>542</v>
      </c>
      <c r="F40" s="13" t="s">
        <v>542</v>
      </c>
      <c r="G40" s="13" t="s">
        <v>542</v>
      </c>
      <c r="H40" s="13" t="s">
        <v>542</v>
      </c>
      <c r="I40" s="13" t="s">
        <v>542</v>
      </c>
    </row>
    <row r="41" spans="1:9" ht="28.8" x14ac:dyDescent="0.3">
      <c r="A41" s="1">
        <v>88</v>
      </c>
      <c r="B41" s="1">
        <v>2024</v>
      </c>
      <c r="C41" s="12" t="s">
        <v>70</v>
      </c>
      <c r="D41" s="13" t="s">
        <v>71</v>
      </c>
      <c r="E41" s="13" t="s">
        <v>542</v>
      </c>
      <c r="F41" s="13" t="s">
        <v>542</v>
      </c>
      <c r="G41" s="13" t="s">
        <v>542</v>
      </c>
      <c r="H41" s="13" t="s">
        <v>542</v>
      </c>
      <c r="I41" s="13" t="s">
        <v>542</v>
      </c>
    </row>
    <row r="42" spans="1:9" x14ac:dyDescent="0.3">
      <c r="A42" s="1">
        <v>85</v>
      </c>
      <c r="B42" s="1">
        <v>2024</v>
      </c>
      <c r="C42" s="12" t="s">
        <v>12</v>
      </c>
      <c r="D42" s="13" t="s">
        <v>13</v>
      </c>
      <c r="E42" s="13" t="s">
        <v>542</v>
      </c>
      <c r="F42" s="14">
        <v>36</v>
      </c>
      <c r="G42" s="14">
        <v>72</v>
      </c>
      <c r="H42" s="14">
        <v>54</v>
      </c>
      <c r="I42" s="14">
        <v>54</v>
      </c>
    </row>
    <row r="43" spans="1:9" x14ac:dyDescent="0.3">
      <c r="A43" s="1">
        <v>85</v>
      </c>
      <c r="B43" s="1">
        <v>2024</v>
      </c>
      <c r="C43" s="12" t="s">
        <v>14</v>
      </c>
      <c r="D43" s="13" t="s">
        <v>13</v>
      </c>
      <c r="E43" s="14">
        <v>96</v>
      </c>
      <c r="F43" s="14">
        <v>54</v>
      </c>
      <c r="G43" s="14">
        <v>96</v>
      </c>
      <c r="H43" s="14">
        <v>82.5</v>
      </c>
      <c r="I43" s="14">
        <v>90</v>
      </c>
    </row>
    <row r="44" spans="1:9" ht="28.8" x14ac:dyDescent="0.3">
      <c r="A44" s="1">
        <v>85</v>
      </c>
      <c r="B44" s="1">
        <v>2024</v>
      </c>
      <c r="C44" s="12" t="s">
        <v>15</v>
      </c>
      <c r="D44" s="13" t="s">
        <v>13</v>
      </c>
      <c r="E44" s="13" t="s">
        <v>542</v>
      </c>
      <c r="F44" s="14">
        <v>40</v>
      </c>
      <c r="G44" s="14">
        <v>60</v>
      </c>
      <c r="H44" s="14">
        <v>48.25</v>
      </c>
      <c r="I44" s="14">
        <v>46.5</v>
      </c>
    </row>
    <row r="45" spans="1:9" ht="28.8" x14ac:dyDescent="0.3">
      <c r="A45" s="1">
        <v>85</v>
      </c>
      <c r="B45" s="1">
        <v>2024</v>
      </c>
      <c r="C45" s="12" t="s">
        <v>16</v>
      </c>
      <c r="D45" s="13" t="s">
        <v>13</v>
      </c>
      <c r="E45" s="14">
        <v>30</v>
      </c>
      <c r="F45" s="14">
        <v>25</v>
      </c>
      <c r="G45" s="14">
        <v>50</v>
      </c>
      <c r="H45" s="14">
        <v>33.75</v>
      </c>
      <c r="I45" s="14">
        <v>30</v>
      </c>
    </row>
    <row r="46" spans="1:9" x14ac:dyDescent="0.3">
      <c r="A46" s="1">
        <v>85</v>
      </c>
      <c r="B46" s="1">
        <v>2024</v>
      </c>
      <c r="C46" s="12" t="s">
        <v>17</v>
      </c>
      <c r="D46" s="13" t="s">
        <v>13</v>
      </c>
      <c r="E46" s="14">
        <v>30</v>
      </c>
      <c r="F46" s="14">
        <v>25</v>
      </c>
      <c r="G46" s="14">
        <v>50</v>
      </c>
      <c r="H46" s="14">
        <v>33.75</v>
      </c>
      <c r="I46" s="14">
        <v>30</v>
      </c>
    </row>
    <row r="47" spans="1:9" x14ac:dyDescent="0.3">
      <c r="A47" s="1">
        <v>85</v>
      </c>
      <c r="B47" s="1">
        <v>2024</v>
      </c>
      <c r="C47" s="12" t="s">
        <v>18</v>
      </c>
      <c r="D47" s="13" t="s">
        <v>13</v>
      </c>
      <c r="E47" s="14">
        <v>60</v>
      </c>
      <c r="F47" s="14">
        <v>60</v>
      </c>
      <c r="G47" s="14">
        <v>120</v>
      </c>
      <c r="H47" s="14">
        <v>76.5</v>
      </c>
      <c r="I47" s="14">
        <v>63</v>
      </c>
    </row>
    <row r="48" spans="1:9" ht="43.2" x14ac:dyDescent="0.3">
      <c r="A48" s="1">
        <v>85</v>
      </c>
      <c r="B48" s="1">
        <v>2024</v>
      </c>
      <c r="C48" s="12" t="s">
        <v>19</v>
      </c>
      <c r="D48" s="13" t="s">
        <v>13</v>
      </c>
      <c r="E48" s="14">
        <v>84</v>
      </c>
      <c r="F48" s="14">
        <v>78</v>
      </c>
      <c r="G48" s="14">
        <v>84</v>
      </c>
      <c r="H48" s="14">
        <v>81</v>
      </c>
      <c r="I48" s="14">
        <v>81</v>
      </c>
    </row>
    <row r="49" spans="1:9" ht="28.8" x14ac:dyDescent="0.3">
      <c r="A49" s="1">
        <v>85</v>
      </c>
      <c r="B49" s="1">
        <v>2024</v>
      </c>
      <c r="C49" s="12" t="s">
        <v>20</v>
      </c>
      <c r="D49" s="13" t="s">
        <v>13</v>
      </c>
      <c r="E49" s="14">
        <v>84</v>
      </c>
      <c r="F49" s="14">
        <v>72</v>
      </c>
      <c r="G49" s="14">
        <v>96</v>
      </c>
      <c r="H49" s="14">
        <v>84</v>
      </c>
      <c r="I49" s="14">
        <v>84</v>
      </c>
    </row>
    <row r="50" spans="1:9" ht="28.8" x14ac:dyDescent="0.3">
      <c r="A50" s="1">
        <v>85</v>
      </c>
      <c r="B50" s="1">
        <v>2024</v>
      </c>
      <c r="C50" s="12" t="s">
        <v>21</v>
      </c>
      <c r="D50" s="13" t="s">
        <v>13</v>
      </c>
      <c r="E50" s="14">
        <v>24</v>
      </c>
      <c r="F50" s="14">
        <v>24</v>
      </c>
      <c r="G50" s="14">
        <v>30</v>
      </c>
      <c r="H50" s="14">
        <v>25.5</v>
      </c>
      <c r="I50" s="14">
        <v>24</v>
      </c>
    </row>
    <row r="51" spans="1:9" x14ac:dyDescent="0.3">
      <c r="A51" s="1">
        <v>85</v>
      </c>
      <c r="B51" s="1">
        <v>2024</v>
      </c>
      <c r="C51" s="12" t="s">
        <v>73</v>
      </c>
      <c r="D51" s="13" t="s">
        <v>13</v>
      </c>
      <c r="E51" s="14">
        <v>96</v>
      </c>
      <c r="F51" s="14">
        <v>72</v>
      </c>
      <c r="G51" s="14">
        <v>96</v>
      </c>
      <c r="H51" s="14">
        <v>87</v>
      </c>
      <c r="I51" s="14">
        <v>90</v>
      </c>
    </row>
    <row r="52" spans="1:9" x14ac:dyDescent="0.3">
      <c r="A52" s="1">
        <v>85</v>
      </c>
      <c r="B52" s="1">
        <v>2024</v>
      </c>
      <c r="C52" s="12" t="s">
        <v>23</v>
      </c>
      <c r="D52" s="13" t="s">
        <v>13</v>
      </c>
      <c r="E52" s="14">
        <v>30</v>
      </c>
      <c r="F52" s="14">
        <v>25</v>
      </c>
      <c r="G52" s="14">
        <v>36</v>
      </c>
      <c r="H52" s="14">
        <v>30.25</v>
      </c>
      <c r="I52" s="14">
        <v>30</v>
      </c>
    </row>
    <row r="53" spans="1:9" x14ac:dyDescent="0.3">
      <c r="A53" s="1">
        <v>85</v>
      </c>
      <c r="B53" s="1">
        <v>2024</v>
      </c>
      <c r="C53" s="12" t="s">
        <v>24</v>
      </c>
      <c r="D53" s="13" t="s">
        <v>13</v>
      </c>
      <c r="E53" s="14">
        <v>72</v>
      </c>
      <c r="F53" s="14">
        <v>60</v>
      </c>
      <c r="G53" s="14">
        <v>84</v>
      </c>
      <c r="H53" s="14">
        <v>72</v>
      </c>
      <c r="I53" s="14">
        <v>72</v>
      </c>
    </row>
    <row r="54" spans="1:9" x14ac:dyDescent="0.3">
      <c r="A54" s="1">
        <v>85</v>
      </c>
      <c r="B54" s="1">
        <v>2024</v>
      </c>
      <c r="C54" s="12" t="s">
        <v>25</v>
      </c>
      <c r="D54" s="13" t="s">
        <v>26</v>
      </c>
      <c r="E54" s="14">
        <v>72</v>
      </c>
      <c r="F54" s="14">
        <v>60</v>
      </c>
      <c r="G54" s="14">
        <v>96</v>
      </c>
      <c r="H54" s="14">
        <v>75</v>
      </c>
      <c r="I54" s="14">
        <v>72</v>
      </c>
    </row>
    <row r="55" spans="1:9" ht="28.8" x14ac:dyDescent="0.3">
      <c r="A55" s="1">
        <v>85</v>
      </c>
      <c r="B55" s="1">
        <v>2024</v>
      </c>
      <c r="C55" s="12" t="s">
        <v>27</v>
      </c>
      <c r="D55" s="13" t="s">
        <v>13</v>
      </c>
      <c r="E55" s="14">
        <v>60</v>
      </c>
      <c r="F55" s="14">
        <v>54</v>
      </c>
      <c r="G55" s="14">
        <v>72</v>
      </c>
      <c r="H55" s="14">
        <v>61.5</v>
      </c>
      <c r="I55" s="14">
        <v>60</v>
      </c>
    </row>
    <row r="56" spans="1:9" ht="28.8" x14ac:dyDescent="0.3">
      <c r="A56" s="1">
        <v>85</v>
      </c>
      <c r="B56" s="1">
        <v>2024</v>
      </c>
      <c r="C56" s="12" t="s">
        <v>28</v>
      </c>
      <c r="D56" s="13" t="s">
        <v>13</v>
      </c>
      <c r="E56" s="14">
        <v>48</v>
      </c>
      <c r="F56" s="14">
        <v>36</v>
      </c>
      <c r="G56" s="14">
        <v>48</v>
      </c>
      <c r="H56" s="14">
        <v>42</v>
      </c>
      <c r="I56" s="14">
        <v>42</v>
      </c>
    </row>
    <row r="57" spans="1:9" x14ac:dyDescent="0.3">
      <c r="A57" s="1">
        <v>85</v>
      </c>
      <c r="B57" s="1">
        <v>2024</v>
      </c>
      <c r="C57" s="12" t="s">
        <v>29</v>
      </c>
      <c r="D57" s="13" t="s">
        <v>13</v>
      </c>
      <c r="E57" s="14">
        <v>54</v>
      </c>
      <c r="F57" s="14">
        <v>48</v>
      </c>
      <c r="G57" s="14">
        <v>60</v>
      </c>
      <c r="H57" s="14">
        <v>54</v>
      </c>
      <c r="I57" s="14">
        <v>54</v>
      </c>
    </row>
    <row r="58" spans="1:9" x14ac:dyDescent="0.3">
      <c r="A58" s="1">
        <v>85</v>
      </c>
      <c r="B58" s="1">
        <v>2024</v>
      </c>
      <c r="C58" s="12" t="s">
        <v>31</v>
      </c>
      <c r="D58" s="13" t="s">
        <v>32</v>
      </c>
      <c r="E58" s="14">
        <v>5</v>
      </c>
      <c r="F58" s="14">
        <v>5</v>
      </c>
      <c r="G58" s="14">
        <v>5</v>
      </c>
      <c r="H58" s="14">
        <v>5</v>
      </c>
      <c r="I58" s="14">
        <v>5</v>
      </c>
    </row>
    <row r="59" spans="1:9" x14ac:dyDescent="0.3">
      <c r="A59" s="1">
        <v>85</v>
      </c>
      <c r="B59" s="1">
        <v>2024</v>
      </c>
      <c r="C59" s="12" t="s">
        <v>34</v>
      </c>
      <c r="D59" s="13" t="s">
        <v>35</v>
      </c>
      <c r="E59" s="14">
        <v>20</v>
      </c>
      <c r="F59" s="14">
        <v>20</v>
      </c>
      <c r="G59" s="14">
        <v>25</v>
      </c>
      <c r="H59" s="14">
        <v>22.5</v>
      </c>
      <c r="I59" s="14">
        <v>22.5</v>
      </c>
    </row>
    <row r="60" spans="1:9" x14ac:dyDescent="0.3">
      <c r="A60" s="1">
        <v>85</v>
      </c>
      <c r="B60" s="1">
        <v>2024</v>
      </c>
      <c r="C60" s="12" t="s">
        <v>36</v>
      </c>
      <c r="D60" s="13" t="s">
        <v>35</v>
      </c>
      <c r="E60" s="14">
        <v>25</v>
      </c>
      <c r="F60" s="14">
        <v>25</v>
      </c>
      <c r="G60" s="14">
        <v>30</v>
      </c>
      <c r="H60" s="14">
        <v>27.5</v>
      </c>
      <c r="I60" s="14">
        <v>27.5</v>
      </c>
    </row>
    <row r="61" spans="1:9" ht="28.8" x14ac:dyDescent="0.3">
      <c r="A61" s="1">
        <v>85</v>
      </c>
      <c r="B61" s="1">
        <v>2024</v>
      </c>
      <c r="C61" s="12" t="s">
        <v>516</v>
      </c>
      <c r="D61" s="13" t="s">
        <v>154</v>
      </c>
      <c r="E61" s="14">
        <v>70</v>
      </c>
      <c r="F61" s="14">
        <v>70</v>
      </c>
      <c r="G61" s="14">
        <v>75</v>
      </c>
      <c r="H61" s="14">
        <v>71.67</v>
      </c>
      <c r="I61" s="14">
        <v>70</v>
      </c>
    </row>
    <row r="62" spans="1:9" ht="28.8" x14ac:dyDescent="0.3">
      <c r="A62" s="1">
        <v>85</v>
      </c>
      <c r="B62" s="1">
        <v>2024</v>
      </c>
      <c r="C62" s="12" t="s">
        <v>39</v>
      </c>
      <c r="D62" s="13" t="s">
        <v>40</v>
      </c>
      <c r="E62" s="14">
        <v>50</v>
      </c>
      <c r="F62" s="14">
        <v>50</v>
      </c>
      <c r="G62" s="14">
        <v>60</v>
      </c>
      <c r="H62" s="14">
        <v>53.33</v>
      </c>
      <c r="I62" s="14">
        <v>50</v>
      </c>
    </row>
    <row r="63" spans="1:9" x14ac:dyDescent="0.3">
      <c r="A63" s="1">
        <v>85</v>
      </c>
      <c r="B63" s="1">
        <v>2024</v>
      </c>
      <c r="C63" s="12" t="s">
        <v>42</v>
      </c>
      <c r="D63" s="13" t="s">
        <v>43</v>
      </c>
      <c r="E63" s="14">
        <v>70</v>
      </c>
      <c r="F63" s="14">
        <v>45</v>
      </c>
      <c r="G63" s="14">
        <v>70</v>
      </c>
      <c r="H63" s="14">
        <v>62.5</v>
      </c>
      <c r="I63" s="14">
        <v>67.5</v>
      </c>
    </row>
    <row r="64" spans="1:9" ht="28.8" x14ac:dyDescent="0.3">
      <c r="A64" s="1">
        <v>85</v>
      </c>
      <c r="B64" s="1">
        <v>2024</v>
      </c>
      <c r="C64" s="12" t="s">
        <v>44</v>
      </c>
      <c r="D64" s="13" t="s">
        <v>45</v>
      </c>
      <c r="E64" s="13" t="s">
        <v>542</v>
      </c>
      <c r="F64" s="14">
        <v>40</v>
      </c>
      <c r="G64" s="14">
        <v>65</v>
      </c>
      <c r="H64" s="14">
        <v>53.75</v>
      </c>
      <c r="I64" s="14">
        <v>55</v>
      </c>
    </row>
    <row r="65" spans="1:9" ht="28.8" x14ac:dyDescent="0.3">
      <c r="A65" s="1">
        <v>85</v>
      </c>
      <c r="B65" s="1">
        <v>2024</v>
      </c>
      <c r="C65" s="12" t="s">
        <v>48</v>
      </c>
      <c r="D65" s="13" t="s">
        <v>45</v>
      </c>
      <c r="E65" s="13" t="s">
        <v>542</v>
      </c>
      <c r="F65" s="14">
        <v>65</v>
      </c>
      <c r="G65" s="14">
        <v>75</v>
      </c>
      <c r="H65" s="14">
        <v>70</v>
      </c>
      <c r="I65" s="14">
        <v>70</v>
      </c>
    </row>
    <row r="66" spans="1:9" x14ac:dyDescent="0.3">
      <c r="A66" s="1">
        <v>85</v>
      </c>
      <c r="B66" s="1">
        <v>2024</v>
      </c>
      <c r="C66" s="12" t="s">
        <v>49</v>
      </c>
      <c r="D66" s="13" t="s">
        <v>50</v>
      </c>
      <c r="E66" s="14">
        <v>60</v>
      </c>
      <c r="F66" s="14">
        <v>50</v>
      </c>
      <c r="G66" s="14">
        <v>60</v>
      </c>
      <c r="H66" s="14">
        <v>55</v>
      </c>
      <c r="I66" s="14">
        <v>55</v>
      </c>
    </row>
    <row r="67" spans="1:9" x14ac:dyDescent="0.3">
      <c r="A67" s="1">
        <v>85</v>
      </c>
      <c r="B67" s="1">
        <v>2024</v>
      </c>
      <c r="C67" s="12" t="s">
        <v>52</v>
      </c>
      <c r="D67" s="13" t="s">
        <v>43</v>
      </c>
      <c r="E67" s="13" t="s">
        <v>542</v>
      </c>
      <c r="F67" s="14">
        <v>60</v>
      </c>
      <c r="G67" s="14">
        <v>100</v>
      </c>
      <c r="H67" s="14">
        <v>80</v>
      </c>
      <c r="I67" s="14">
        <v>80</v>
      </c>
    </row>
    <row r="68" spans="1:9" x14ac:dyDescent="0.3">
      <c r="A68" s="1">
        <v>85</v>
      </c>
      <c r="B68" s="1">
        <v>2024</v>
      </c>
      <c r="C68" s="12" t="s">
        <v>53</v>
      </c>
      <c r="D68" s="13" t="s">
        <v>43</v>
      </c>
      <c r="E68" s="13" t="s">
        <v>542</v>
      </c>
      <c r="F68" s="14">
        <v>45</v>
      </c>
      <c r="G68" s="14">
        <v>90</v>
      </c>
      <c r="H68" s="14">
        <v>63.75</v>
      </c>
      <c r="I68" s="14">
        <v>60</v>
      </c>
    </row>
    <row r="69" spans="1:9" x14ac:dyDescent="0.3">
      <c r="A69" s="1">
        <v>85</v>
      </c>
      <c r="B69" s="1">
        <v>2024</v>
      </c>
      <c r="C69" s="12" t="s">
        <v>54</v>
      </c>
      <c r="D69" s="13" t="s">
        <v>40</v>
      </c>
      <c r="E69" s="13" t="s">
        <v>542</v>
      </c>
      <c r="F69" s="14">
        <v>70</v>
      </c>
      <c r="G69" s="14">
        <v>100</v>
      </c>
      <c r="H69" s="14">
        <v>85</v>
      </c>
      <c r="I69" s="14">
        <v>85</v>
      </c>
    </row>
    <row r="70" spans="1:9" x14ac:dyDescent="0.3">
      <c r="A70" s="1">
        <v>85</v>
      </c>
      <c r="B70" s="1">
        <v>2024</v>
      </c>
      <c r="C70" s="12" t="s">
        <v>56</v>
      </c>
      <c r="D70" s="13" t="s">
        <v>43</v>
      </c>
      <c r="E70" s="13" t="s">
        <v>542</v>
      </c>
      <c r="F70" s="14">
        <v>50</v>
      </c>
      <c r="G70" s="14">
        <v>75</v>
      </c>
      <c r="H70" s="14">
        <v>62.5</v>
      </c>
      <c r="I70" s="14">
        <v>62.5</v>
      </c>
    </row>
    <row r="71" spans="1:9" ht="28.8" x14ac:dyDescent="0.3">
      <c r="A71" s="1">
        <v>85</v>
      </c>
      <c r="B71" s="1">
        <v>2024</v>
      </c>
      <c r="C71" s="12" t="s">
        <v>57</v>
      </c>
      <c r="D71" s="13" t="s">
        <v>40</v>
      </c>
      <c r="E71" s="14">
        <v>80</v>
      </c>
      <c r="F71" s="14">
        <v>45</v>
      </c>
      <c r="G71" s="14">
        <v>80</v>
      </c>
      <c r="H71" s="14">
        <v>68.33</v>
      </c>
      <c r="I71" s="14">
        <v>80</v>
      </c>
    </row>
    <row r="72" spans="1:9" ht="28.8" x14ac:dyDescent="0.3">
      <c r="A72" s="1">
        <v>85</v>
      </c>
      <c r="B72" s="1">
        <v>2024</v>
      </c>
      <c r="C72" s="12" t="s">
        <v>58</v>
      </c>
      <c r="D72" s="13" t="s">
        <v>40</v>
      </c>
      <c r="E72" s="14">
        <v>90</v>
      </c>
      <c r="F72" s="14">
        <v>80</v>
      </c>
      <c r="G72" s="14">
        <v>120</v>
      </c>
      <c r="H72" s="14">
        <v>95</v>
      </c>
      <c r="I72" s="14">
        <v>90</v>
      </c>
    </row>
    <row r="73" spans="1:9" ht="28.8" x14ac:dyDescent="0.3">
      <c r="A73" s="1">
        <v>85</v>
      </c>
      <c r="B73" s="1">
        <v>2024</v>
      </c>
      <c r="C73" s="12" t="s">
        <v>59</v>
      </c>
      <c r="D73" s="13" t="s">
        <v>45</v>
      </c>
      <c r="E73" s="14">
        <v>30</v>
      </c>
      <c r="F73" s="14">
        <v>20</v>
      </c>
      <c r="G73" s="14">
        <v>40</v>
      </c>
      <c r="H73" s="14">
        <v>30</v>
      </c>
      <c r="I73" s="14">
        <v>30</v>
      </c>
    </row>
    <row r="74" spans="1:9" x14ac:dyDescent="0.3">
      <c r="A74" s="1">
        <v>85</v>
      </c>
      <c r="B74" s="1">
        <v>2024</v>
      </c>
      <c r="C74" s="12" t="s">
        <v>60</v>
      </c>
      <c r="D74" s="13" t="s">
        <v>61</v>
      </c>
      <c r="E74" s="14">
        <v>90</v>
      </c>
      <c r="F74" s="14">
        <v>50</v>
      </c>
      <c r="G74" s="14">
        <v>90</v>
      </c>
      <c r="H74" s="14">
        <v>78.75</v>
      </c>
      <c r="I74" s="14">
        <v>87.5</v>
      </c>
    </row>
    <row r="75" spans="1:9" ht="28.8" x14ac:dyDescent="0.3">
      <c r="A75" s="1">
        <v>85</v>
      </c>
      <c r="B75" s="1">
        <v>2024</v>
      </c>
      <c r="C75" s="12" t="s">
        <v>63</v>
      </c>
      <c r="D75" s="13" t="s">
        <v>40</v>
      </c>
      <c r="E75" s="13" t="s">
        <v>542</v>
      </c>
      <c r="F75" s="14">
        <v>60</v>
      </c>
      <c r="G75" s="14">
        <v>120</v>
      </c>
      <c r="H75" s="14">
        <v>92.5</v>
      </c>
      <c r="I75" s="14">
        <v>95</v>
      </c>
    </row>
    <row r="76" spans="1:9" ht="28.8" x14ac:dyDescent="0.3">
      <c r="A76" s="1">
        <v>85</v>
      </c>
      <c r="B76" s="1">
        <v>2024</v>
      </c>
      <c r="C76" s="12" t="s">
        <v>64</v>
      </c>
      <c r="D76" s="13" t="s">
        <v>40</v>
      </c>
      <c r="E76" s="14">
        <v>50</v>
      </c>
      <c r="F76" s="14">
        <v>50</v>
      </c>
      <c r="G76" s="14">
        <v>70</v>
      </c>
      <c r="H76" s="14">
        <v>56.67</v>
      </c>
      <c r="I76" s="14">
        <v>50</v>
      </c>
    </row>
    <row r="77" spans="1:9" x14ac:dyDescent="0.3">
      <c r="A77" s="1">
        <v>85</v>
      </c>
      <c r="B77" s="1">
        <v>2024</v>
      </c>
      <c r="C77" s="12" t="s">
        <v>66</v>
      </c>
      <c r="D77" s="13" t="s">
        <v>45</v>
      </c>
      <c r="E77" s="13" t="s">
        <v>542</v>
      </c>
      <c r="F77" s="13" t="s">
        <v>542</v>
      </c>
      <c r="G77" s="13" t="s">
        <v>542</v>
      </c>
      <c r="H77" s="13" t="s">
        <v>542</v>
      </c>
      <c r="I77" s="13" t="s">
        <v>542</v>
      </c>
    </row>
    <row r="78" spans="1:9" ht="28.8" x14ac:dyDescent="0.3">
      <c r="A78" s="1">
        <v>85</v>
      </c>
      <c r="B78" s="1">
        <v>2024</v>
      </c>
      <c r="C78" s="12" t="s">
        <v>67</v>
      </c>
      <c r="D78" s="13" t="s">
        <v>45</v>
      </c>
      <c r="E78" s="13" t="s">
        <v>542</v>
      </c>
      <c r="F78" s="13" t="s">
        <v>542</v>
      </c>
      <c r="G78" s="13" t="s">
        <v>542</v>
      </c>
      <c r="H78" s="13" t="s">
        <v>542</v>
      </c>
      <c r="I78" s="13" t="s">
        <v>542</v>
      </c>
    </row>
    <row r="79" spans="1:9" ht="28.8" x14ac:dyDescent="0.3">
      <c r="A79" s="1">
        <v>85</v>
      </c>
      <c r="B79" s="1">
        <v>2024</v>
      </c>
      <c r="C79" s="12" t="s">
        <v>68</v>
      </c>
      <c r="D79" s="13" t="s">
        <v>45</v>
      </c>
      <c r="E79" s="13" t="s">
        <v>542</v>
      </c>
      <c r="F79" s="13" t="s">
        <v>542</v>
      </c>
      <c r="G79" s="13" t="s">
        <v>542</v>
      </c>
      <c r="H79" s="13" t="s">
        <v>542</v>
      </c>
      <c r="I79" s="13" t="s">
        <v>542</v>
      </c>
    </row>
    <row r="80" spans="1:9" x14ac:dyDescent="0.3">
      <c r="A80" s="1">
        <v>85</v>
      </c>
      <c r="B80" s="1">
        <v>2024</v>
      </c>
      <c r="C80" s="12" t="s">
        <v>69</v>
      </c>
      <c r="D80" s="13" t="s">
        <v>45</v>
      </c>
      <c r="E80" s="13" t="s">
        <v>542</v>
      </c>
      <c r="F80" s="13" t="s">
        <v>542</v>
      </c>
      <c r="G80" s="13" t="s">
        <v>542</v>
      </c>
      <c r="H80" s="13" t="s">
        <v>542</v>
      </c>
      <c r="I80" s="13" t="s">
        <v>542</v>
      </c>
    </row>
    <row r="81" spans="1:9" ht="28.8" x14ac:dyDescent="0.3">
      <c r="A81" s="1">
        <v>85</v>
      </c>
      <c r="B81" s="1">
        <v>2024</v>
      </c>
      <c r="C81" s="12" t="s">
        <v>70</v>
      </c>
      <c r="D81" s="13" t="s">
        <v>71</v>
      </c>
      <c r="E81" s="13" t="s">
        <v>542</v>
      </c>
      <c r="F81" s="13" t="s">
        <v>542</v>
      </c>
      <c r="G81" s="13" t="s">
        <v>542</v>
      </c>
      <c r="H81" s="13" t="s">
        <v>542</v>
      </c>
      <c r="I81" s="13" t="s">
        <v>542</v>
      </c>
    </row>
    <row r="82" spans="1:9" x14ac:dyDescent="0.3">
      <c r="A82">
        <v>61</v>
      </c>
      <c r="B82">
        <v>2024</v>
      </c>
      <c r="C82" s="15" t="s">
        <v>12</v>
      </c>
      <c r="D82" s="16" t="s">
        <v>13</v>
      </c>
      <c r="E82" s="17">
        <v>60</v>
      </c>
      <c r="F82" s="17">
        <v>48</v>
      </c>
      <c r="G82" s="17">
        <v>60</v>
      </c>
      <c r="H82" s="17">
        <v>54</v>
      </c>
      <c r="I82" s="17">
        <v>54</v>
      </c>
    </row>
    <row r="83" spans="1:9" x14ac:dyDescent="0.3">
      <c r="A83">
        <v>61</v>
      </c>
      <c r="B83">
        <v>2024</v>
      </c>
      <c r="C83" s="15" t="s">
        <v>14</v>
      </c>
      <c r="D83" s="16" t="s">
        <v>13</v>
      </c>
      <c r="E83" s="17">
        <v>84</v>
      </c>
      <c r="F83" s="17">
        <v>72</v>
      </c>
      <c r="G83" s="17">
        <v>84</v>
      </c>
      <c r="H83" s="17">
        <v>78</v>
      </c>
      <c r="I83" s="17">
        <v>78</v>
      </c>
    </row>
    <row r="84" spans="1:9" ht="28.8" x14ac:dyDescent="0.3">
      <c r="A84">
        <v>61</v>
      </c>
      <c r="B84">
        <v>2024</v>
      </c>
      <c r="C84" s="15" t="s">
        <v>15</v>
      </c>
      <c r="D84" s="16" t="s">
        <v>13</v>
      </c>
      <c r="E84" s="17">
        <v>36</v>
      </c>
      <c r="F84" s="17">
        <v>35</v>
      </c>
      <c r="G84" s="17">
        <v>42</v>
      </c>
      <c r="H84" s="17">
        <v>37.25</v>
      </c>
      <c r="I84" s="17">
        <v>36</v>
      </c>
    </row>
    <row r="85" spans="1:9" ht="28.8" x14ac:dyDescent="0.3">
      <c r="A85">
        <v>61</v>
      </c>
      <c r="B85">
        <v>2024</v>
      </c>
      <c r="C85" s="15" t="s">
        <v>16</v>
      </c>
      <c r="D85" s="16" t="s">
        <v>13</v>
      </c>
      <c r="E85" s="17">
        <v>18</v>
      </c>
      <c r="F85" s="17">
        <v>18</v>
      </c>
      <c r="G85" s="17">
        <v>24</v>
      </c>
      <c r="H85" s="17">
        <v>21</v>
      </c>
      <c r="I85" s="17">
        <v>21</v>
      </c>
    </row>
    <row r="86" spans="1:9" x14ac:dyDescent="0.3">
      <c r="A86">
        <v>61</v>
      </c>
      <c r="B86">
        <v>2024</v>
      </c>
      <c r="C86" s="15" t="s">
        <v>17</v>
      </c>
      <c r="D86" s="16" t="s">
        <v>13</v>
      </c>
      <c r="E86" s="17">
        <v>18</v>
      </c>
      <c r="F86" s="17">
        <v>18</v>
      </c>
      <c r="G86" s="17">
        <v>24</v>
      </c>
      <c r="H86" s="17">
        <v>21</v>
      </c>
      <c r="I86" s="17">
        <v>21</v>
      </c>
    </row>
    <row r="87" spans="1:9" x14ac:dyDescent="0.3">
      <c r="A87">
        <v>61</v>
      </c>
      <c r="B87">
        <v>2024</v>
      </c>
      <c r="C87" s="15" t="s">
        <v>18</v>
      </c>
      <c r="D87" s="16" t="s">
        <v>13</v>
      </c>
      <c r="E87" s="17">
        <v>60</v>
      </c>
      <c r="F87" s="17">
        <v>60</v>
      </c>
      <c r="G87" s="17">
        <v>60</v>
      </c>
      <c r="H87" s="17">
        <v>60</v>
      </c>
      <c r="I87" s="17">
        <v>60</v>
      </c>
    </row>
    <row r="88" spans="1:9" ht="43.2" x14ac:dyDescent="0.3">
      <c r="A88">
        <v>61</v>
      </c>
      <c r="B88">
        <v>2024</v>
      </c>
      <c r="C88" s="15" t="s">
        <v>19</v>
      </c>
      <c r="D88" s="16" t="s">
        <v>13</v>
      </c>
      <c r="E88" s="17">
        <v>60</v>
      </c>
      <c r="F88" s="17">
        <v>48</v>
      </c>
      <c r="G88" s="17">
        <v>60</v>
      </c>
      <c r="H88" s="17">
        <v>57</v>
      </c>
      <c r="I88" s="17">
        <v>60</v>
      </c>
    </row>
    <row r="89" spans="1:9" ht="28.8" x14ac:dyDescent="0.3">
      <c r="A89">
        <v>61</v>
      </c>
      <c r="B89">
        <v>2024</v>
      </c>
      <c r="C89" s="15" t="s">
        <v>20</v>
      </c>
      <c r="D89" s="16" t="s">
        <v>13</v>
      </c>
      <c r="E89" s="17">
        <v>72</v>
      </c>
      <c r="F89" s="17">
        <v>72</v>
      </c>
      <c r="G89" s="17">
        <v>84</v>
      </c>
      <c r="H89" s="17">
        <v>78</v>
      </c>
      <c r="I89" s="17">
        <v>78</v>
      </c>
    </row>
    <row r="90" spans="1:9" ht="28.8" x14ac:dyDescent="0.3">
      <c r="A90">
        <v>61</v>
      </c>
      <c r="B90">
        <v>2024</v>
      </c>
      <c r="C90" s="15" t="s">
        <v>21</v>
      </c>
      <c r="D90" s="16" t="s">
        <v>13</v>
      </c>
      <c r="E90" s="17">
        <v>24</v>
      </c>
      <c r="F90" s="17">
        <v>24</v>
      </c>
      <c r="G90" s="17">
        <v>25</v>
      </c>
      <c r="H90" s="17">
        <v>24.25</v>
      </c>
      <c r="I90" s="17">
        <v>24</v>
      </c>
    </row>
    <row r="91" spans="1:9" x14ac:dyDescent="0.3">
      <c r="A91">
        <v>61</v>
      </c>
      <c r="B91">
        <v>2024</v>
      </c>
      <c r="C91" s="15" t="s">
        <v>73</v>
      </c>
      <c r="D91" s="16" t="s">
        <v>13</v>
      </c>
      <c r="E91" s="16" t="s">
        <v>542</v>
      </c>
      <c r="F91" s="17">
        <v>50</v>
      </c>
      <c r="G91" s="17">
        <v>84</v>
      </c>
      <c r="H91" s="17">
        <v>66.5</v>
      </c>
      <c r="I91" s="17">
        <v>66</v>
      </c>
    </row>
    <row r="92" spans="1:9" x14ac:dyDescent="0.3">
      <c r="A92">
        <v>61</v>
      </c>
      <c r="B92">
        <v>2024</v>
      </c>
      <c r="C92" s="15" t="s">
        <v>23</v>
      </c>
      <c r="D92" s="16" t="s">
        <v>13</v>
      </c>
      <c r="E92" s="17">
        <v>18</v>
      </c>
      <c r="F92" s="17">
        <v>18</v>
      </c>
      <c r="G92" s="17">
        <v>24</v>
      </c>
      <c r="H92" s="17">
        <v>21</v>
      </c>
      <c r="I92" s="17">
        <v>21</v>
      </c>
    </row>
    <row r="93" spans="1:9" x14ac:dyDescent="0.3">
      <c r="A93">
        <v>61</v>
      </c>
      <c r="B93">
        <v>2024</v>
      </c>
      <c r="C93" s="15" t="s">
        <v>24</v>
      </c>
      <c r="D93" s="16" t="s">
        <v>13</v>
      </c>
      <c r="E93" s="17">
        <v>60</v>
      </c>
      <c r="F93" s="17">
        <v>60</v>
      </c>
      <c r="G93" s="17">
        <v>72</v>
      </c>
      <c r="H93" s="17">
        <v>63</v>
      </c>
      <c r="I93" s="17">
        <v>60</v>
      </c>
    </row>
    <row r="94" spans="1:9" x14ac:dyDescent="0.3">
      <c r="A94">
        <v>61</v>
      </c>
      <c r="B94">
        <v>2024</v>
      </c>
      <c r="C94" s="15" t="s">
        <v>25</v>
      </c>
      <c r="D94" s="16" t="s">
        <v>26</v>
      </c>
      <c r="E94" s="17">
        <v>60</v>
      </c>
      <c r="F94" s="17">
        <v>60</v>
      </c>
      <c r="G94" s="17">
        <v>60</v>
      </c>
      <c r="H94" s="17">
        <v>60</v>
      </c>
      <c r="I94" s="17">
        <v>60</v>
      </c>
    </row>
    <row r="95" spans="1:9" ht="28.8" x14ac:dyDescent="0.3">
      <c r="A95">
        <v>61</v>
      </c>
      <c r="B95">
        <v>2024</v>
      </c>
      <c r="C95" s="15" t="s">
        <v>27</v>
      </c>
      <c r="D95" s="16" t="s">
        <v>13</v>
      </c>
      <c r="E95" s="16" t="s">
        <v>542</v>
      </c>
      <c r="F95" s="17">
        <v>45</v>
      </c>
      <c r="G95" s="17">
        <v>72</v>
      </c>
      <c r="H95" s="17">
        <v>56.25</v>
      </c>
      <c r="I95" s="17">
        <v>54</v>
      </c>
    </row>
    <row r="96" spans="1:9" ht="28.8" x14ac:dyDescent="0.3">
      <c r="A96">
        <v>61</v>
      </c>
      <c r="B96">
        <v>2024</v>
      </c>
      <c r="C96" s="15" t="s">
        <v>28</v>
      </c>
      <c r="D96" s="16" t="s">
        <v>13</v>
      </c>
      <c r="E96" s="17">
        <v>48</v>
      </c>
      <c r="F96" s="17">
        <v>40</v>
      </c>
      <c r="G96" s="17">
        <v>48</v>
      </c>
      <c r="H96" s="17">
        <v>46</v>
      </c>
      <c r="I96" s="17">
        <v>48</v>
      </c>
    </row>
    <row r="97" spans="1:9" x14ac:dyDescent="0.3">
      <c r="A97">
        <v>61</v>
      </c>
      <c r="B97">
        <v>2024</v>
      </c>
      <c r="C97" s="15" t="s">
        <v>29</v>
      </c>
      <c r="D97" s="16" t="s">
        <v>13</v>
      </c>
      <c r="E97" s="17">
        <v>54</v>
      </c>
      <c r="F97" s="17">
        <v>48</v>
      </c>
      <c r="G97" s="17">
        <v>54</v>
      </c>
      <c r="H97" s="17">
        <v>51</v>
      </c>
      <c r="I97" s="17">
        <v>51</v>
      </c>
    </row>
    <row r="98" spans="1:9" x14ac:dyDescent="0.3">
      <c r="A98">
        <v>61</v>
      </c>
      <c r="B98">
        <v>2024</v>
      </c>
      <c r="C98" s="15" t="s">
        <v>31</v>
      </c>
      <c r="D98" s="16" t="s">
        <v>32</v>
      </c>
      <c r="E98" s="17">
        <v>5</v>
      </c>
      <c r="F98" s="17">
        <v>4</v>
      </c>
      <c r="G98" s="17">
        <v>5</v>
      </c>
      <c r="H98" s="17">
        <v>4.75</v>
      </c>
      <c r="I98" s="17">
        <v>5</v>
      </c>
    </row>
    <row r="99" spans="1:9" x14ac:dyDescent="0.3">
      <c r="A99">
        <v>61</v>
      </c>
      <c r="B99">
        <v>2024</v>
      </c>
      <c r="C99" s="15" t="s">
        <v>34</v>
      </c>
      <c r="D99" s="16" t="s">
        <v>35</v>
      </c>
      <c r="E99" s="17">
        <v>15</v>
      </c>
      <c r="F99" s="17">
        <v>12</v>
      </c>
      <c r="G99" s="17">
        <v>15</v>
      </c>
      <c r="H99" s="17">
        <v>14.25</v>
      </c>
      <c r="I99" s="17">
        <v>15</v>
      </c>
    </row>
    <row r="100" spans="1:9" x14ac:dyDescent="0.3">
      <c r="A100">
        <v>61</v>
      </c>
      <c r="B100">
        <v>2024</v>
      </c>
      <c r="C100" s="15" t="s">
        <v>36</v>
      </c>
      <c r="D100" s="16" t="s">
        <v>35</v>
      </c>
      <c r="E100" s="17">
        <v>30</v>
      </c>
      <c r="F100" s="17">
        <v>20</v>
      </c>
      <c r="G100" s="17">
        <v>30</v>
      </c>
      <c r="H100" s="17">
        <v>26.25</v>
      </c>
      <c r="I100" s="17">
        <v>27.5</v>
      </c>
    </row>
    <row r="101" spans="1:9" ht="28.8" x14ac:dyDescent="0.3">
      <c r="A101">
        <v>61</v>
      </c>
      <c r="B101">
        <v>2024</v>
      </c>
      <c r="C101" s="15" t="s">
        <v>516</v>
      </c>
      <c r="D101" s="16" t="s">
        <v>154</v>
      </c>
      <c r="E101" s="16" t="s">
        <v>542</v>
      </c>
      <c r="F101" s="16" t="s">
        <v>542</v>
      </c>
      <c r="G101" s="16" t="s">
        <v>542</v>
      </c>
      <c r="H101" s="16" t="s">
        <v>542</v>
      </c>
      <c r="I101" s="16" t="s">
        <v>542</v>
      </c>
    </row>
    <row r="102" spans="1:9" ht="28.8" x14ac:dyDescent="0.3">
      <c r="A102">
        <v>61</v>
      </c>
      <c r="B102">
        <v>2024</v>
      </c>
      <c r="C102" s="15" t="s">
        <v>39</v>
      </c>
      <c r="D102" s="16" t="s">
        <v>40</v>
      </c>
      <c r="E102" s="16" t="s">
        <v>542</v>
      </c>
      <c r="F102" s="17">
        <v>35</v>
      </c>
      <c r="G102" s="17">
        <v>75</v>
      </c>
      <c r="H102" s="17">
        <v>55.71</v>
      </c>
      <c r="I102" s="17">
        <v>55</v>
      </c>
    </row>
    <row r="103" spans="1:9" x14ac:dyDescent="0.3">
      <c r="A103">
        <v>61</v>
      </c>
      <c r="B103">
        <v>2024</v>
      </c>
      <c r="C103" s="15" t="s">
        <v>42</v>
      </c>
      <c r="D103" s="16" t="s">
        <v>43</v>
      </c>
      <c r="E103" s="17">
        <v>70</v>
      </c>
      <c r="F103" s="17">
        <v>45</v>
      </c>
      <c r="G103" s="17">
        <v>70</v>
      </c>
      <c r="H103" s="17">
        <v>58.75</v>
      </c>
      <c r="I103" s="17">
        <v>60</v>
      </c>
    </row>
    <row r="104" spans="1:9" ht="28.8" x14ac:dyDescent="0.3">
      <c r="A104">
        <v>61</v>
      </c>
      <c r="B104">
        <v>2024</v>
      </c>
      <c r="C104" s="15" t="s">
        <v>44</v>
      </c>
      <c r="D104" s="16" t="s">
        <v>45</v>
      </c>
      <c r="E104" s="17">
        <v>60</v>
      </c>
      <c r="F104" s="17">
        <v>30</v>
      </c>
      <c r="G104" s="17">
        <v>60</v>
      </c>
      <c r="H104" s="17">
        <v>48</v>
      </c>
      <c r="I104" s="17">
        <v>50</v>
      </c>
    </row>
    <row r="105" spans="1:9" ht="28.8" x14ac:dyDescent="0.3">
      <c r="A105">
        <v>61</v>
      </c>
      <c r="B105">
        <v>2024</v>
      </c>
      <c r="C105" s="15" t="s">
        <v>48</v>
      </c>
      <c r="D105" s="16" t="s">
        <v>45</v>
      </c>
      <c r="E105" s="16" t="s">
        <v>542</v>
      </c>
      <c r="F105" s="17">
        <v>45</v>
      </c>
      <c r="G105" s="17">
        <v>65</v>
      </c>
      <c r="H105" s="17">
        <v>55</v>
      </c>
      <c r="I105" s="17">
        <v>55</v>
      </c>
    </row>
    <row r="106" spans="1:9" x14ac:dyDescent="0.3">
      <c r="A106">
        <v>61</v>
      </c>
      <c r="B106">
        <v>2024</v>
      </c>
      <c r="C106" s="15" t="s">
        <v>49</v>
      </c>
      <c r="D106" s="16" t="s">
        <v>50</v>
      </c>
      <c r="E106" s="17">
        <v>70</v>
      </c>
      <c r="F106" s="17">
        <v>60</v>
      </c>
      <c r="G106" s="17">
        <v>90</v>
      </c>
      <c r="H106" s="17">
        <v>74</v>
      </c>
      <c r="I106" s="17">
        <v>70</v>
      </c>
    </row>
    <row r="107" spans="1:9" x14ac:dyDescent="0.3">
      <c r="A107">
        <v>61</v>
      </c>
      <c r="B107">
        <v>2024</v>
      </c>
      <c r="C107" s="15" t="s">
        <v>52</v>
      </c>
      <c r="D107" s="16" t="s">
        <v>43</v>
      </c>
      <c r="E107" s="17">
        <v>60</v>
      </c>
      <c r="F107" s="17">
        <v>40</v>
      </c>
      <c r="G107" s="17">
        <v>65</v>
      </c>
      <c r="H107" s="17">
        <v>55</v>
      </c>
      <c r="I107" s="17">
        <v>60</v>
      </c>
    </row>
    <row r="108" spans="1:9" x14ac:dyDescent="0.3">
      <c r="A108">
        <v>61</v>
      </c>
      <c r="B108">
        <v>2024</v>
      </c>
      <c r="C108" s="15" t="s">
        <v>53</v>
      </c>
      <c r="D108" s="16" t="s">
        <v>43</v>
      </c>
      <c r="E108" s="17">
        <v>60</v>
      </c>
      <c r="F108" s="17">
        <v>30</v>
      </c>
      <c r="G108" s="17">
        <v>60</v>
      </c>
      <c r="H108" s="17">
        <v>47.5</v>
      </c>
      <c r="I108" s="17">
        <v>47.5</v>
      </c>
    </row>
    <row r="109" spans="1:9" x14ac:dyDescent="0.3">
      <c r="A109">
        <v>61</v>
      </c>
      <c r="B109">
        <v>2024</v>
      </c>
      <c r="C109" s="15" t="s">
        <v>54</v>
      </c>
      <c r="D109" s="16" t="s">
        <v>40</v>
      </c>
      <c r="E109" s="17">
        <v>100</v>
      </c>
      <c r="F109" s="17">
        <v>80</v>
      </c>
      <c r="G109" s="17">
        <v>100</v>
      </c>
      <c r="H109" s="17">
        <v>95</v>
      </c>
      <c r="I109" s="17">
        <v>100</v>
      </c>
    </row>
    <row r="110" spans="1:9" x14ac:dyDescent="0.3">
      <c r="A110">
        <v>61</v>
      </c>
      <c r="B110">
        <v>2024</v>
      </c>
      <c r="C110" s="15" t="s">
        <v>56</v>
      </c>
      <c r="D110" s="16" t="s">
        <v>43</v>
      </c>
      <c r="E110" s="16" t="s">
        <v>542</v>
      </c>
      <c r="F110" s="17">
        <v>65</v>
      </c>
      <c r="G110" s="17">
        <v>65</v>
      </c>
      <c r="H110" s="17">
        <v>65</v>
      </c>
      <c r="I110" s="17">
        <v>65</v>
      </c>
    </row>
    <row r="111" spans="1:9" ht="28.8" x14ac:dyDescent="0.3">
      <c r="A111">
        <v>61</v>
      </c>
      <c r="B111">
        <v>2024</v>
      </c>
      <c r="C111" s="15" t="s">
        <v>57</v>
      </c>
      <c r="D111" s="16" t="s">
        <v>40</v>
      </c>
      <c r="E111" s="17">
        <v>50</v>
      </c>
      <c r="F111" s="17">
        <v>50</v>
      </c>
      <c r="G111" s="17">
        <v>70</v>
      </c>
      <c r="H111" s="17">
        <v>57.5</v>
      </c>
      <c r="I111" s="17">
        <v>55</v>
      </c>
    </row>
    <row r="112" spans="1:9" ht="28.8" x14ac:dyDescent="0.3">
      <c r="A112">
        <v>61</v>
      </c>
      <c r="B112">
        <v>2024</v>
      </c>
      <c r="C112" s="15" t="s">
        <v>58</v>
      </c>
      <c r="D112" s="16" t="s">
        <v>40</v>
      </c>
      <c r="E112" s="17">
        <v>80</v>
      </c>
      <c r="F112" s="17">
        <v>70</v>
      </c>
      <c r="G112" s="17">
        <v>95</v>
      </c>
      <c r="H112" s="17">
        <v>81.25</v>
      </c>
      <c r="I112" s="17">
        <v>80</v>
      </c>
    </row>
    <row r="113" spans="1:9" ht="28.8" x14ac:dyDescent="0.3">
      <c r="A113">
        <v>61</v>
      </c>
      <c r="B113">
        <v>2024</v>
      </c>
      <c r="C113" s="15" t="s">
        <v>59</v>
      </c>
      <c r="D113" s="16" t="s">
        <v>45</v>
      </c>
      <c r="E113" s="17">
        <v>60</v>
      </c>
      <c r="F113" s="17">
        <v>50</v>
      </c>
      <c r="G113" s="17">
        <v>60</v>
      </c>
      <c r="H113" s="17">
        <v>57</v>
      </c>
      <c r="I113" s="17">
        <v>60</v>
      </c>
    </row>
    <row r="114" spans="1:9" x14ac:dyDescent="0.3">
      <c r="A114">
        <v>61</v>
      </c>
      <c r="B114">
        <v>2024</v>
      </c>
      <c r="C114" s="15" t="s">
        <v>60</v>
      </c>
      <c r="D114" s="16" t="s">
        <v>61</v>
      </c>
      <c r="E114" s="17">
        <v>100</v>
      </c>
      <c r="F114" s="17">
        <v>100</v>
      </c>
      <c r="G114" s="17">
        <v>150</v>
      </c>
      <c r="H114" s="17">
        <v>116.67</v>
      </c>
      <c r="I114" s="17">
        <v>100</v>
      </c>
    </row>
    <row r="115" spans="1:9" ht="28.8" x14ac:dyDescent="0.3">
      <c r="A115">
        <v>61</v>
      </c>
      <c r="B115">
        <v>2024</v>
      </c>
      <c r="C115" s="15" t="s">
        <v>63</v>
      </c>
      <c r="D115" s="16" t="s">
        <v>40</v>
      </c>
      <c r="E115" s="17">
        <v>80</v>
      </c>
      <c r="F115" s="17">
        <v>45</v>
      </c>
      <c r="G115" s="17">
        <v>80</v>
      </c>
      <c r="H115" s="17">
        <v>65.83</v>
      </c>
      <c r="I115" s="17">
        <v>65</v>
      </c>
    </row>
    <row r="116" spans="1:9" ht="28.8" x14ac:dyDescent="0.3">
      <c r="A116">
        <v>61</v>
      </c>
      <c r="B116">
        <v>2024</v>
      </c>
      <c r="C116" s="15" t="s">
        <v>64</v>
      </c>
      <c r="D116" s="16" t="s">
        <v>40</v>
      </c>
      <c r="E116" s="16" t="s">
        <v>542</v>
      </c>
      <c r="F116" s="17">
        <v>100</v>
      </c>
      <c r="G116" s="17">
        <v>140</v>
      </c>
      <c r="H116" s="17">
        <v>120</v>
      </c>
      <c r="I116" s="17">
        <v>120</v>
      </c>
    </row>
    <row r="117" spans="1:9" x14ac:dyDescent="0.3">
      <c r="A117">
        <v>61</v>
      </c>
      <c r="B117">
        <v>2024</v>
      </c>
      <c r="C117" s="15" t="s">
        <v>66</v>
      </c>
      <c r="D117" s="16" t="s">
        <v>45</v>
      </c>
      <c r="E117" s="16" t="s">
        <v>542</v>
      </c>
      <c r="F117" s="16" t="s">
        <v>542</v>
      </c>
      <c r="G117" s="16" t="s">
        <v>542</v>
      </c>
      <c r="H117" s="16" t="s">
        <v>542</v>
      </c>
      <c r="I117" s="16" t="s">
        <v>542</v>
      </c>
    </row>
    <row r="118" spans="1:9" ht="28.8" x14ac:dyDescent="0.3">
      <c r="A118">
        <v>61</v>
      </c>
      <c r="B118">
        <v>2024</v>
      </c>
      <c r="C118" s="15" t="s">
        <v>67</v>
      </c>
      <c r="D118" s="16" t="s">
        <v>45</v>
      </c>
      <c r="E118" s="16" t="s">
        <v>542</v>
      </c>
      <c r="F118" s="16" t="s">
        <v>542</v>
      </c>
      <c r="G118" s="16" t="s">
        <v>542</v>
      </c>
      <c r="H118" s="16" t="s">
        <v>542</v>
      </c>
      <c r="I118" s="16" t="s">
        <v>542</v>
      </c>
    </row>
    <row r="119" spans="1:9" ht="28.8" x14ac:dyDescent="0.3">
      <c r="A119">
        <v>61</v>
      </c>
      <c r="B119">
        <v>2024</v>
      </c>
      <c r="C119" s="15" t="s">
        <v>68</v>
      </c>
      <c r="D119" s="16" t="s">
        <v>45</v>
      </c>
      <c r="E119" s="16" t="s">
        <v>542</v>
      </c>
      <c r="F119" s="16" t="s">
        <v>542</v>
      </c>
      <c r="G119" s="16" t="s">
        <v>542</v>
      </c>
      <c r="H119" s="16" t="s">
        <v>542</v>
      </c>
      <c r="I119" s="16" t="s">
        <v>542</v>
      </c>
    </row>
    <row r="120" spans="1:9" x14ac:dyDescent="0.3">
      <c r="A120">
        <v>61</v>
      </c>
      <c r="B120">
        <v>2024</v>
      </c>
      <c r="C120" s="15" t="s">
        <v>69</v>
      </c>
      <c r="D120" s="16" t="s">
        <v>45</v>
      </c>
      <c r="E120" s="16" t="s">
        <v>542</v>
      </c>
      <c r="F120" s="17">
        <v>50</v>
      </c>
      <c r="G120" s="17">
        <v>50</v>
      </c>
      <c r="H120" s="17">
        <v>50</v>
      </c>
      <c r="I120" s="17">
        <v>50</v>
      </c>
    </row>
    <row r="121" spans="1:9" ht="28.8" x14ac:dyDescent="0.3">
      <c r="A121">
        <v>61</v>
      </c>
      <c r="B121">
        <v>2024</v>
      </c>
      <c r="C121" s="15" t="s">
        <v>70</v>
      </c>
      <c r="D121" s="16" t="s">
        <v>71</v>
      </c>
      <c r="E121" s="16" t="s">
        <v>542</v>
      </c>
      <c r="F121" s="17">
        <v>75</v>
      </c>
      <c r="G121" s="17">
        <v>75</v>
      </c>
      <c r="H121" s="17">
        <v>75</v>
      </c>
      <c r="I121" s="17">
        <v>75</v>
      </c>
    </row>
    <row r="122" spans="1:9" x14ac:dyDescent="0.3">
      <c r="A122">
        <v>74</v>
      </c>
      <c r="B122">
        <v>2024</v>
      </c>
      <c r="C122" s="15" t="s">
        <v>12</v>
      </c>
      <c r="D122" s="16" t="s">
        <v>13</v>
      </c>
      <c r="E122" s="17">
        <v>48</v>
      </c>
      <c r="F122" s="17">
        <v>36</v>
      </c>
      <c r="G122" s="17">
        <v>60</v>
      </c>
      <c r="H122" s="17">
        <v>48</v>
      </c>
      <c r="I122" s="17">
        <v>48</v>
      </c>
    </row>
    <row r="123" spans="1:9" x14ac:dyDescent="0.3">
      <c r="A123">
        <v>74</v>
      </c>
      <c r="B123">
        <v>2024</v>
      </c>
      <c r="C123" s="15" t="s">
        <v>14</v>
      </c>
      <c r="D123" s="16" t="s">
        <v>13</v>
      </c>
      <c r="E123" s="17">
        <v>84</v>
      </c>
      <c r="F123" s="17">
        <v>72</v>
      </c>
      <c r="G123" s="17">
        <v>84</v>
      </c>
      <c r="H123" s="17">
        <v>80</v>
      </c>
      <c r="I123" s="17">
        <v>84</v>
      </c>
    </row>
    <row r="124" spans="1:9" ht="28.8" x14ac:dyDescent="0.3">
      <c r="A124">
        <v>74</v>
      </c>
      <c r="B124">
        <v>2024</v>
      </c>
      <c r="C124" s="15" t="s">
        <v>15</v>
      </c>
      <c r="D124" s="16" t="s">
        <v>13</v>
      </c>
      <c r="E124" s="17">
        <v>36</v>
      </c>
      <c r="F124" s="17">
        <v>25</v>
      </c>
      <c r="G124" s="17">
        <v>42</v>
      </c>
      <c r="H124" s="17">
        <v>34.75</v>
      </c>
      <c r="I124" s="17">
        <v>36</v>
      </c>
    </row>
    <row r="125" spans="1:9" ht="28.8" x14ac:dyDescent="0.3">
      <c r="A125">
        <v>74</v>
      </c>
      <c r="B125">
        <v>2024</v>
      </c>
      <c r="C125" s="15" t="s">
        <v>16</v>
      </c>
      <c r="D125" s="16" t="s">
        <v>13</v>
      </c>
      <c r="E125" s="17">
        <v>18</v>
      </c>
      <c r="F125" s="17">
        <v>18</v>
      </c>
      <c r="G125" s="17">
        <v>24</v>
      </c>
      <c r="H125" s="17">
        <v>21</v>
      </c>
      <c r="I125" s="17">
        <v>21</v>
      </c>
    </row>
    <row r="126" spans="1:9" x14ac:dyDescent="0.3">
      <c r="A126">
        <v>74</v>
      </c>
      <c r="B126">
        <v>2024</v>
      </c>
      <c r="C126" s="15" t="s">
        <v>17</v>
      </c>
      <c r="D126" s="16" t="s">
        <v>13</v>
      </c>
      <c r="E126" s="17">
        <v>18</v>
      </c>
      <c r="F126" s="17">
        <v>18</v>
      </c>
      <c r="G126" s="17">
        <v>24</v>
      </c>
      <c r="H126" s="17">
        <v>21</v>
      </c>
      <c r="I126" s="17">
        <v>21</v>
      </c>
    </row>
    <row r="127" spans="1:9" x14ac:dyDescent="0.3">
      <c r="A127">
        <v>74</v>
      </c>
      <c r="B127">
        <v>2024</v>
      </c>
      <c r="C127" s="15" t="s">
        <v>18</v>
      </c>
      <c r="D127" s="16" t="s">
        <v>13</v>
      </c>
      <c r="E127" s="17">
        <v>60</v>
      </c>
      <c r="F127" s="17">
        <v>60</v>
      </c>
      <c r="G127" s="17">
        <v>60</v>
      </c>
      <c r="H127" s="17">
        <v>60</v>
      </c>
      <c r="I127" s="17">
        <v>60</v>
      </c>
    </row>
    <row r="128" spans="1:9" ht="43.2" x14ac:dyDescent="0.3">
      <c r="A128">
        <v>74</v>
      </c>
      <c r="B128">
        <v>2024</v>
      </c>
      <c r="C128" s="15" t="s">
        <v>19</v>
      </c>
      <c r="D128" s="16" t="s">
        <v>13</v>
      </c>
      <c r="E128" s="16" t="s">
        <v>542</v>
      </c>
      <c r="F128" s="17">
        <v>42</v>
      </c>
      <c r="G128" s="17">
        <v>72</v>
      </c>
      <c r="H128" s="17">
        <v>58</v>
      </c>
      <c r="I128" s="17">
        <v>60</v>
      </c>
    </row>
    <row r="129" spans="1:9" ht="28.8" x14ac:dyDescent="0.3">
      <c r="A129">
        <v>74</v>
      </c>
      <c r="B129">
        <v>2024</v>
      </c>
      <c r="C129" s="15" t="s">
        <v>20</v>
      </c>
      <c r="D129" s="16" t="s">
        <v>13</v>
      </c>
      <c r="E129" s="17">
        <v>72</v>
      </c>
      <c r="F129" s="17">
        <v>60</v>
      </c>
      <c r="G129" s="17">
        <v>72</v>
      </c>
      <c r="H129" s="17">
        <v>69</v>
      </c>
      <c r="I129" s="17">
        <v>72</v>
      </c>
    </row>
    <row r="130" spans="1:9" ht="28.8" x14ac:dyDescent="0.3">
      <c r="A130">
        <v>74</v>
      </c>
      <c r="B130">
        <v>2024</v>
      </c>
      <c r="C130" s="15" t="s">
        <v>21</v>
      </c>
      <c r="D130" s="16" t="s">
        <v>13</v>
      </c>
      <c r="E130" s="17">
        <v>18</v>
      </c>
      <c r="F130" s="17">
        <v>18</v>
      </c>
      <c r="G130" s="17">
        <v>24</v>
      </c>
      <c r="H130" s="17">
        <v>21</v>
      </c>
      <c r="I130" s="17">
        <v>21</v>
      </c>
    </row>
    <row r="131" spans="1:9" x14ac:dyDescent="0.3">
      <c r="A131">
        <v>74</v>
      </c>
      <c r="B131">
        <v>2024</v>
      </c>
      <c r="C131" s="15" t="s">
        <v>73</v>
      </c>
      <c r="D131" s="16" t="s">
        <v>13</v>
      </c>
      <c r="E131" s="16" t="s">
        <v>542</v>
      </c>
      <c r="F131" s="17">
        <v>50</v>
      </c>
      <c r="G131" s="17">
        <v>78</v>
      </c>
      <c r="H131" s="17">
        <v>62.67</v>
      </c>
      <c r="I131" s="17">
        <v>60</v>
      </c>
    </row>
    <row r="132" spans="1:9" x14ac:dyDescent="0.3">
      <c r="A132">
        <v>74</v>
      </c>
      <c r="B132">
        <v>2024</v>
      </c>
      <c r="C132" s="15" t="s">
        <v>23</v>
      </c>
      <c r="D132" s="16" t="s">
        <v>13</v>
      </c>
      <c r="E132" s="17">
        <v>18</v>
      </c>
      <c r="F132" s="17">
        <v>18</v>
      </c>
      <c r="G132" s="17">
        <v>24</v>
      </c>
      <c r="H132" s="17">
        <v>21</v>
      </c>
      <c r="I132" s="17">
        <v>21</v>
      </c>
    </row>
    <row r="133" spans="1:9" x14ac:dyDescent="0.3">
      <c r="A133">
        <v>74</v>
      </c>
      <c r="B133">
        <v>2024</v>
      </c>
      <c r="C133" s="15" t="s">
        <v>24</v>
      </c>
      <c r="D133" s="16" t="s">
        <v>13</v>
      </c>
      <c r="E133" s="17">
        <v>60</v>
      </c>
      <c r="F133" s="17">
        <v>48</v>
      </c>
      <c r="G133" s="17">
        <v>60</v>
      </c>
      <c r="H133" s="17">
        <v>56</v>
      </c>
      <c r="I133" s="17">
        <v>60</v>
      </c>
    </row>
    <row r="134" spans="1:9" x14ac:dyDescent="0.3">
      <c r="A134">
        <v>74</v>
      </c>
      <c r="B134">
        <v>2024</v>
      </c>
      <c r="C134" s="15" t="s">
        <v>25</v>
      </c>
      <c r="D134" s="16" t="s">
        <v>26</v>
      </c>
      <c r="E134" s="17">
        <v>60</v>
      </c>
      <c r="F134" s="17">
        <v>36</v>
      </c>
      <c r="G134" s="17">
        <v>60</v>
      </c>
      <c r="H134" s="17">
        <v>51</v>
      </c>
      <c r="I134" s="17">
        <v>54</v>
      </c>
    </row>
    <row r="135" spans="1:9" ht="28.8" x14ac:dyDescent="0.3">
      <c r="A135">
        <v>74</v>
      </c>
      <c r="B135">
        <v>2024</v>
      </c>
      <c r="C135" s="15" t="s">
        <v>27</v>
      </c>
      <c r="D135" s="16" t="s">
        <v>13</v>
      </c>
      <c r="E135" s="16" t="s">
        <v>542</v>
      </c>
      <c r="F135" s="17">
        <v>48</v>
      </c>
      <c r="G135" s="17">
        <v>72</v>
      </c>
      <c r="H135" s="17">
        <v>60</v>
      </c>
      <c r="I135" s="17">
        <v>60</v>
      </c>
    </row>
    <row r="136" spans="1:9" ht="28.8" x14ac:dyDescent="0.3">
      <c r="A136">
        <v>74</v>
      </c>
      <c r="B136">
        <v>2024</v>
      </c>
      <c r="C136" s="15" t="s">
        <v>28</v>
      </c>
      <c r="D136" s="16" t="s">
        <v>13</v>
      </c>
      <c r="E136" s="17">
        <v>24</v>
      </c>
      <c r="F136" s="17">
        <v>24</v>
      </c>
      <c r="G136" s="17">
        <v>36</v>
      </c>
      <c r="H136" s="17">
        <v>28.5</v>
      </c>
      <c r="I136" s="17">
        <v>27</v>
      </c>
    </row>
    <row r="137" spans="1:9" x14ac:dyDescent="0.3">
      <c r="A137">
        <v>74</v>
      </c>
      <c r="B137">
        <v>2024</v>
      </c>
      <c r="C137" s="15" t="s">
        <v>29</v>
      </c>
      <c r="D137" s="16" t="s">
        <v>13</v>
      </c>
      <c r="E137" s="17">
        <v>48</v>
      </c>
      <c r="F137" s="17">
        <v>48</v>
      </c>
      <c r="G137" s="17">
        <v>48</v>
      </c>
      <c r="H137" s="17">
        <v>48</v>
      </c>
      <c r="I137" s="17">
        <v>48</v>
      </c>
    </row>
    <row r="138" spans="1:9" x14ac:dyDescent="0.3">
      <c r="A138">
        <v>74</v>
      </c>
      <c r="B138">
        <v>2024</v>
      </c>
      <c r="C138" s="15" t="s">
        <v>31</v>
      </c>
      <c r="D138" s="16" t="s">
        <v>32</v>
      </c>
      <c r="E138" s="17">
        <v>5</v>
      </c>
      <c r="F138" s="17">
        <v>5</v>
      </c>
      <c r="G138" s="17">
        <v>5</v>
      </c>
      <c r="H138" s="17">
        <v>5</v>
      </c>
      <c r="I138" s="17">
        <v>5</v>
      </c>
    </row>
    <row r="139" spans="1:9" x14ac:dyDescent="0.3">
      <c r="A139">
        <v>74</v>
      </c>
      <c r="B139">
        <v>2024</v>
      </c>
      <c r="C139" s="15" t="s">
        <v>34</v>
      </c>
      <c r="D139" s="16" t="s">
        <v>35</v>
      </c>
      <c r="E139" s="17">
        <v>12</v>
      </c>
      <c r="F139" s="17">
        <v>12</v>
      </c>
      <c r="G139" s="17">
        <v>15</v>
      </c>
      <c r="H139" s="17">
        <v>13.5</v>
      </c>
      <c r="I139" s="17">
        <v>13.5</v>
      </c>
    </row>
    <row r="140" spans="1:9" x14ac:dyDescent="0.3">
      <c r="A140">
        <v>74</v>
      </c>
      <c r="B140">
        <v>2024</v>
      </c>
      <c r="C140" s="15" t="s">
        <v>36</v>
      </c>
      <c r="D140" s="16" t="s">
        <v>35</v>
      </c>
      <c r="E140" s="17">
        <v>35</v>
      </c>
      <c r="F140" s="17">
        <v>20</v>
      </c>
      <c r="G140" s="17">
        <v>35</v>
      </c>
      <c r="H140" s="17">
        <v>28.75</v>
      </c>
      <c r="I140" s="17">
        <v>30</v>
      </c>
    </row>
    <row r="141" spans="1:9" ht="28.8" x14ac:dyDescent="0.3">
      <c r="A141">
        <v>74</v>
      </c>
      <c r="B141">
        <v>2024</v>
      </c>
      <c r="C141" s="15" t="s">
        <v>516</v>
      </c>
      <c r="D141" s="16" t="s">
        <v>154</v>
      </c>
      <c r="E141" s="16" t="s">
        <v>542</v>
      </c>
      <c r="F141" s="17">
        <v>80</v>
      </c>
      <c r="G141" s="17">
        <v>80</v>
      </c>
      <c r="H141" s="17">
        <v>80</v>
      </c>
      <c r="I141" s="17">
        <v>80</v>
      </c>
    </row>
    <row r="142" spans="1:9" ht="28.8" x14ac:dyDescent="0.3">
      <c r="A142">
        <v>74</v>
      </c>
      <c r="B142">
        <v>2024</v>
      </c>
      <c r="C142" s="15" t="s">
        <v>39</v>
      </c>
      <c r="D142" s="16" t="s">
        <v>40</v>
      </c>
      <c r="E142" s="17">
        <v>40</v>
      </c>
      <c r="F142" s="17">
        <v>30</v>
      </c>
      <c r="G142" s="17">
        <v>40</v>
      </c>
      <c r="H142" s="17">
        <v>35</v>
      </c>
      <c r="I142" s="17">
        <v>35</v>
      </c>
    </row>
    <row r="143" spans="1:9" x14ac:dyDescent="0.3">
      <c r="A143">
        <v>74</v>
      </c>
      <c r="B143">
        <v>2024</v>
      </c>
      <c r="C143" s="15" t="s">
        <v>42</v>
      </c>
      <c r="D143" s="16" t="s">
        <v>43</v>
      </c>
      <c r="E143" s="17">
        <v>45</v>
      </c>
      <c r="F143" s="17">
        <v>45</v>
      </c>
      <c r="G143" s="17">
        <v>70</v>
      </c>
      <c r="H143" s="17">
        <v>56.25</v>
      </c>
      <c r="I143" s="17">
        <v>55</v>
      </c>
    </row>
    <row r="144" spans="1:9" ht="28.8" x14ac:dyDescent="0.3">
      <c r="A144">
        <v>74</v>
      </c>
      <c r="B144">
        <v>2024</v>
      </c>
      <c r="C144" s="15" t="s">
        <v>44</v>
      </c>
      <c r="D144" s="16" t="s">
        <v>45</v>
      </c>
      <c r="E144" s="16" t="s">
        <v>542</v>
      </c>
      <c r="F144" s="17">
        <v>50</v>
      </c>
      <c r="G144" s="17">
        <v>70</v>
      </c>
      <c r="H144" s="17">
        <v>60</v>
      </c>
      <c r="I144" s="17">
        <v>60</v>
      </c>
    </row>
    <row r="145" spans="1:9" ht="28.8" x14ac:dyDescent="0.3">
      <c r="A145">
        <v>74</v>
      </c>
      <c r="B145">
        <v>2024</v>
      </c>
      <c r="C145" s="15" t="s">
        <v>48</v>
      </c>
      <c r="D145" s="16" t="s">
        <v>45</v>
      </c>
      <c r="E145" s="16" t="s">
        <v>542</v>
      </c>
      <c r="F145" s="17">
        <v>45</v>
      </c>
      <c r="G145" s="17">
        <v>110</v>
      </c>
      <c r="H145" s="17">
        <v>81.67</v>
      </c>
      <c r="I145" s="17">
        <v>90</v>
      </c>
    </row>
    <row r="146" spans="1:9" x14ac:dyDescent="0.3">
      <c r="A146">
        <v>74</v>
      </c>
      <c r="B146">
        <v>2024</v>
      </c>
      <c r="C146" s="15" t="s">
        <v>49</v>
      </c>
      <c r="D146" s="16" t="s">
        <v>50</v>
      </c>
      <c r="E146" s="16" t="s">
        <v>542</v>
      </c>
      <c r="F146" s="17">
        <v>55</v>
      </c>
      <c r="G146" s="17">
        <v>70</v>
      </c>
      <c r="H146" s="17">
        <v>62.5</v>
      </c>
      <c r="I146" s="17">
        <v>62.5</v>
      </c>
    </row>
    <row r="147" spans="1:9" x14ac:dyDescent="0.3">
      <c r="A147">
        <v>74</v>
      </c>
      <c r="B147">
        <v>2024</v>
      </c>
      <c r="C147" s="15" t="s">
        <v>52</v>
      </c>
      <c r="D147" s="16" t="s">
        <v>43</v>
      </c>
      <c r="E147" s="17">
        <v>55</v>
      </c>
      <c r="F147" s="17">
        <v>40</v>
      </c>
      <c r="G147" s="17">
        <v>55</v>
      </c>
      <c r="H147" s="17">
        <v>48.75</v>
      </c>
      <c r="I147" s="17">
        <v>50</v>
      </c>
    </row>
    <row r="148" spans="1:9" x14ac:dyDescent="0.3">
      <c r="A148">
        <v>74</v>
      </c>
      <c r="B148">
        <v>2024</v>
      </c>
      <c r="C148" s="15" t="s">
        <v>53</v>
      </c>
      <c r="D148" s="16" t="s">
        <v>43</v>
      </c>
      <c r="E148" s="16" t="s">
        <v>542</v>
      </c>
      <c r="F148" s="17">
        <v>55</v>
      </c>
      <c r="G148" s="17">
        <v>85</v>
      </c>
      <c r="H148" s="17">
        <v>68.75</v>
      </c>
      <c r="I148" s="17">
        <v>67.5</v>
      </c>
    </row>
    <row r="149" spans="1:9" x14ac:dyDescent="0.3">
      <c r="A149">
        <v>74</v>
      </c>
      <c r="B149">
        <v>2024</v>
      </c>
      <c r="C149" s="15" t="s">
        <v>54</v>
      </c>
      <c r="D149" s="16" t="s">
        <v>40</v>
      </c>
      <c r="E149" s="16" t="s">
        <v>542</v>
      </c>
      <c r="F149" s="17">
        <v>90</v>
      </c>
      <c r="G149" s="17">
        <v>100</v>
      </c>
      <c r="H149" s="17">
        <v>95</v>
      </c>
      <c r="I149" s="17">
        <v>95</v>
      </c>
    </row>
    <row r="150" spans="1:9" x14ac:dyDescent="0.3">
      <c r="A150">
        <v>74</v>
      </c>
      <c r="B150">
        <v>2024</v>
      </c>
      <c r="C150" s="15" t="s">
        <v>56</v>
      </c>
      <c r="D150" s="16" t="s">
        <v>43</v>
      </c>
      <c r="E150" s="16" t="s">
        <v>542</v>
      </c>
      <c r="F150" s="17">
        <v>70</v>
      </c>
      <c r="G150" s="17">
        <v>70</v>
      </c>
      <c r="H150" s="17">
        <v>70</v>
      </c>
      <c r="I150" s="17">
        <v>70</v>
      </c>
    </row>
    <row r="151" spans="1:9" ht="28.8" x14ac:dyDescent="0.3">
      <c r="A151">
        <v>74</v>
      </c>
      <c r="B151">
        <v>2024</v>
      </c>
      <c r="C151" s="15" t="s">
        <v>57</v>
      </c>
      <c r="D151" s="16" t="s">
        <v>40</v>
      </c>
      <c r="E151" s="16" t="s">
        <v>542</v>
      </c>
      <c r="F151" s="17">
        <v>70</v>
      </c>
      <c r="G151" s="17">
        <v>80</v>
      </c>
      <c r="H151" s="17">
        <v>75</v>
      </c>
      <c r="I151" s="17">
        <v>75</v>
      </c>
    </row>
    <row r="152" spans="1:9" ht="28.8" x14ac:dyDescent="0.3">
      <c r="A152">
        <v>74</v>
      </c>
      <c r="B152">
        <v>2024</v>
      </c>
      <c r="C152" s="15" t="s">
        <v>58</v>
      </c>
      <c r="D152" s="16" t="s">
        <v>40</v>
      </c>
      <c r="E152" s="17">
        <v>100</v>
      </c>
      <c r="F152" s="17">
        <v>75</v>
      </c>
      <c r="G152" s="17">
        <v>100</v>
      </c>
      <c r="H152" s="17">
        <v>88.75</v>
      </c>
      <c r="I152" s="17">
        <v>90</v>
      </c>
    </row>
    <row r="153" spans="1:9" ht="28.8" x14ac:dyDescent="0.3">
      <c r="A153">
        <v>74</v>
      </c>
      <c r="B153">
        <v>2024</v>
      </c>
      <c r="C153" s="15" t="s">
        <v>59</v>
      </c>
      <c r="D153" s="16" t="s">
        <v>45</v>
      </c>
      <c r="E153" s="17">
        <v>45</v>
      </c>
      <c r="F153" s="17">
        <v>45</v>
      </c>
      <c r="G153" s="17">
        <v>85</v>
      </c>
      <c r="H153" s="17">
        <v>57.5</v>
      </c>
      <c r="I153" s="17">
        <v>50</v>
      </c>
    </row>
    <row r="154" spans="1:9" x14ac:dyDescent="0.3">
      <c r="A154">
        <v>74</v>
      </c>
      <c r="B154">
        <v>2024</v>
      </c>
      <c r="C154" s="15" t="s">
        <v>60</v>
      </c>
      <c r="D154" s="16" t="s">
        <v>61</v>
      </c>
      <c r="E154" s="17">
        <v>160</v>
      </c>
      <c r="F154" s="17">
        <v>150</v>
      </c>
      <c r="G154" s="17">
        <v>180</v>
      </c>
      <c r="H154" s="17">
        <v>162.5</v>
      </c>
      <c r="I154" s="17">
        <v>160</v>
      </c>
    </row>
    <row r="155" spans="1:9" ht="28.8" x14ac:dyDescent="0.3">
      <c r="A155">
        <v>74</v>
      </c>
      <c r="B155">
        <v>2024</v>
      </c>
      <c r="C155" s="15" t="s">
        <v>63</v>
      </c>
      <c r="D155" s="16" t="s">
        <v>40</v>
      </c>
      <c r="E155" s="16" t="s">
        <v>542</v>
      </c>
      <c r="F155" s="17">
        <v>50</v>
      </c>
      <c r="G155" s="17">
        <v>80</v>
      </c>
      <c r="H155" s="17">
        <v>65</v>
      </c>
      <c r="I155" s="17">
        <v>65</v>
      </c>
    </row>
    <row r="156" spans="1:9" ht="28.8" x14ac:dyDescent="0.3">
      <c r="A156">
        <v>74</v>
      </c>
      <c r="B156">
        <v>2024</v>
      </c>
      <c r="C156" s="15" t="s">
        <v>64</v>
      </c>
      <c r="D156" s="16" t="s">
        <v>40</v>
      </c>
      <c r="E156" s="16" t="s">
        <v>542</v>
      </c>
      <c r="F156" s="17">
        <v>90</v>
      </c>
      <c r="G156" s="17">
        <v>120</v>
      </c>
      <c r="H156" s="17">
        <v>103.33</v>
      </c>
      <c r="I156" s="17">
        <v>100</v>
      </c>
    </row>
    <row r="157" spans="1:9" x14ac:dyDescent="0.3">
      <c r="A157">
        <v>74</v>
      </c>
      <c r="B157">
        <v>2024</v>
      </c>
      <c r="C157" s="15" t="s">
        <v>66</v>
      </c>
      <c r="D157" s="16" t="s">
        <v>45</v>
      </c>
      <c r="E157" s="16" t="s">
        <v>542</v>
      </c>
      <c r="F157" s="16" t="s">
        <v>542</v>
      </c>
      <c r="G157" s="16" t="s">
        <v>542</v>
      </c>
      <c r="H157" s="16" t="s">
        <v>542</v>
      </c>
      <c r="I157" s="16" t="s">
        <v>542</v>
      </c>
    </row>
    <row r="158" spans="1:9" ht="28.8" x14ac:dyDescent="0.3">
      <c r="A158">
        <v>74</v>
      </c>
      <c r="B158">
        <v>2024</v>
      </c>
      <c r="C158" s="15" t="s">
        <v>67</v>
      </c>
      <c r="D158" s="16" t="s">
        <v>45</v>
      </c>
      <c r="E158" s="16" t="s">
        <v>542</v>
      </c>
      <c r="F158" s="16" t="s">
        <v>542</v>
      </c>
      <c r="G158" s="16" t="s">
        <v>542</v>
      </c>
      <c r="H158" s="16" t="s">
        <v>542</v>
      </c>
      <c r="I158" s="16" t="s">
        <v>542</v>
      </c>
    </row>
    <row r="159" spans="1:9" ht="28.8" x14ac:dyDescent="0.3">
      <c r="A159">
        <v>74</v>
      </c>
      <c r="B159">
        <v>2024</v>
      </c>
      <c r="C159" s="15" t="s">
        <v>68</v>
      </c>
      <c r="D159" s="16" t="s">
        <v>45</v>
      </c>
      <c r="E159" s="16" t="s">
        <v>542</v>
      </c>
      <c r="F159" s="16" t="s">
        <v>542</v>
      </c>
      <c r="G159" s="16" t="s">
        <v>542</v>
      </c>
      <c r="H159" s="16" t="s">
        <v>542</v>
      </c>
      <c r="I159" s="16" t="s">
        <v>542</v>
      </c>
    </row>
    <row r="160" spans="1:9" x14ac:dyDescent="0.3">
      <c r="A160">
        <v>74</v>
      </c>
      <c r="B160">
        <v>2024</v>
      </c>
      <c r="C160" s="15" t="s">
        <v>69</v>
      </c>
      <c r="D160" s="16" t="s">
        <v>45</v>
      </c>
      <c r="E160" s="16" t="s">
        <v>542</v>
      </c>
      <c r="F160" s="17">
        <v>70</v>
      </c>
      <c r="G160" s="17">
        <v>70</v>
      </c>
      <c r="H160" s="17">
        <v>70</v>
      </c>
      <c r="I160" s="17">
        <v>70</v>
      </c>
    </row>
    <row r="161" spans="1:9" ht="28.8" x14ac:dyDescent="0.3">
      <c r="A161">
        <v>74</v>
      </c>
      <c r="B161">
        <v>2024</v>
      </c>
      <c r="C161" s="15" t="s">
        <v>70</v>
      </c>
      <c r="D161" s="16" t="s">
        <v>71</v>
      </c>
      <c r="E161" s="16" t="s">
        <v>542</v>
      </c>
      <c r="F161" s="16" t="s">
        <v>542</v>
      </c>
      <c r="G161" s="16" t="s">
        <v>542</v>
      </c>
      <c r="H161" s="16" t="s">
        <v>542</v>
      </c>
      <c r="I161" s="16" t="s">
        <v>542</v>
      </c>
    </row>
    <row r="162" spans="1:9" x14ac:dyDescent="0.3">
      <c r="A162">
        <v>75</v>
      </c>
      <c r="B162">
        <v>2024</v>
      </c>
      <c r="C162" s="15" t="s">
        <v>12</v>
      </c>
      <c r="D162" s="16" t="s">
        <v>13</v>
      </c>
      <c r="E162" s="16" t="s">
        <v>542</v>
      </c>
      <c r="F162" s="17">
        <v>36</v>
      </c>
      <c r="G162" s="17">
        <v>60</v>
      </c>
      <c r="H162" s="17">
        <v>48</v>
      </c>
      <c r="I162" s="17">
        <v>48</v>
      </c>
    </row>
    <row r="163" spans="1:9" x14ac:dyDescent="0.3">
      <c r="A163">
        <v>75</v>
      </c>
      <c r="B163">
        <v>2024</v>
      </c>
      <c r="C163" s="15" t="s">
        <v>14</v>
      </c>
      <c r="D163" s="16" t="s">
        <v>13</v>
      </c>
      <c r="E163" s="17">
        <v>72</v>
      </c>
      <c r="F163" s="17">
        <v>78</v>
      </c>
      <c r="G163" s="17">
        <v>84</v>
      </c>
      <c r="H163" s="17">
        <v>78</v>
      </c>
      <c r="I163" s="17">
        <v>78</v>
      </c>
    </row>
    <row r="164" spans="1:9" ht="28.8" x14ac:dyDescent="0.3">
      <c r="A164">
        <v>75</v>
      </c>
      <c r="B164">
        <v>2024</v>
      </c>
      <c r="C164" s="15" t="s">
        <v>15</v>
      </c>
      <c r="D164" s="16" t="s">
        <v>13</v>
      </c>
      <c r="E164" s="17">
        <v>30</v>
      </c>
      <c r="F164" s="17">
        <v>30</v>
      </c>
      <c r="G164" s="17">
        <v>30</v>
      </c>
      <c r="H164" s="17">
        <v>30</v>
      </c>
      <c r="I164" s="17">
        <v>30</v>
      </c>
    </row>
    <row r="165" spans="1:9" ht="28.8" x14ac:dyDescent="0.3">
      <c r="A165">
        <v>75</v>
      </c>
      <c r="B165">
        <v>2024</v>
      </c>
      <c r="C165" s="15" t="s">
        <v>16</v>
      </c>
      <c r="D165" s="16" t="s">
        <v>13</v>
      </c>
      <c r="E165" s="17">
        <v>18</v>
      </c>
      <c r="F165" s="17">
        <v>18</v>
      </c>
      <c r="G165" s="17">
        <v>20</v>
      </c>
      <c r="H165" s="17">
        <v>18.670000000000002</v>
      </c>
      <c r="I165" s="17">
        <v>18</v>
      </c>
    </row>
    <row r="166" spans="1:9" x14ac:dyDescent="0.3">
      <c r="A166">
        <v>75</v>
      </c>
      <c r="B166">
        <v>2024</v>
      </c>
      <c r="C166" s="15" t="s">
        <v>17</v>
      </c>
      <c r="D166" s="16" t="s">
        <v>13</v>
      </c>
      <c r="E166" s="17">
        <v>18</v>
      </c>
      <c r="F166" s="17">
        <v>18</v>
      </c>
      <c r="G166" s="17">
        <v>20</v>
      </c>
      <c r="H166" s="17">
        <v>18.670000000000002</v>
      </c>
      <c r="I166" s="17">
        <v>18</v>
      </c>
    </row>
    <row r="167" spans="1:9" x14ac:dyDescent="0.3">
      <c r="A167">
        <v>75</v>
      </c>
      <c r="B167">
        <v>2024</v>
      </c>
      <c r="C167" s="15" t="s">
        <v>18</v>
      </c>
      <c r="D167" s="16" t="s">
        <v>13</v>
      </c>
      <c r="E167" s="17">
        <v>48</v>
      </c>
      <c r="F167" s="16" t="s">
        <v>542</v>
      </c>
      <c r="G167" s="17">
        <v>60</v>
      </c>
      <c r="H167" s="17">
        <v>54</v>
      </c>
      <c r="I167" s="17">
        <v>54</v>
      </c>
    </row>
    <row r="168" spans="1:9" ht="43.2" x14ac:dyDescent="0.3">
      <c r="A168">
        <v>75</v>
      </c>
      <c r="B168">
        <v>2024</v>
      </c>
      <c r="C168" s="15" t="s">
        <v>19</v>
      </c>
      <c r="D168" s="16" t="s">
        <v>13</v>
      </c>
      <c r="E168" s="17">
        <v>60</v>
      </c>
      <c r="F168" s="16" t="s">
        <v>542</v>
      </c>
      <c r="G168" s="17">
        <v>72</v>
      </c>
      <c r="H168" s="17">
        <v>66</v>
      </c>
      <c r="I168" s="17">
        <v>66</v>
      </c>
    </row>
    <row r="169" spans="1:9" ht="28.8" x14ac:dyDescent="0.3">
      <c r="A169">
        <v>75</v>
      </c>
      <c r="B169">
        <v>2024</v>
      </c>
      <c r="C169" s="15" t="s">
        <v>20</v>
      </c>
      <c r="D169" s="16" t="s">
        <v>13</v>
      </c>
      <c r="E169" s="17">
        <v>72</v>
      </c>
      <c r="F169" s="17">
        <v>72</v>
      </c>
      <c r="G169" s="17">
        <v>72</v>
      </c>
      <c r="H169" s="17">
        <v>72</v>
      </c>
      <c r="I169" s="17">
        <v>72</v>
      </c>
    </row>
    <row r="170" spans="1:9" ht="28.8" x14ac:dyDescent="0.3">
      <c r="A170">
        <v>75</v>
      </c>
      <c r="B170">
        <v>2024</v>
      </c>
      <c r="C170" s="15" t="s">
        <v>21</v>
      </c>
      <c r="D170" s="16" t="s">
        <v>13</v>
      </c>
      <c r="E170" s="17">
        <v>18</v>
      </c>
      <c r="F170" s="17">
        <v>18</v>
      </c>
      <c r="G170" s="17">
        <v>25</v>
      </c>
      <c r="H170" s="17">
        <v>20.329999999999998</v>
      </c>
      <c r="I170" s="17">
        <v>18</v>
      </c>
    </row>
    <row r="171" spans="1:9" x14ac:dyDescent="0.3">
      <c r="A171">
        <v>75</v>
      </c>
      <c r="B171">
        <v>2024</v>
      </c>
      <c r="C171" s="15" t="s">
        <v>73</v>
      </c>
      <c r="D171" s="16" t="s">
        <v>13</v>
      </c>
      <c r="E171" s="17">
        <v>72</v>
      </c>
      <c r="F171" s="17">
        <v>72</v>
      </c>
      <c r="G171" s="17">
        <v>72</v>
      </c>
      <c r="H171" s="17">
        <v>72</v>
      </c>
      <c r="I171" s="17">
        <v>72</v>
      </c>
    </row>
    <row r="172" spans="1:9" x14ac:dyDescent="0.3">
      <c r="A172">
        <v>75</v>
      </c>
      <c r="B172">
        <v>2024</v>
      </c>
      <c r="C172" s="15" t="s">
        <v>23</v>
      </c>
      <c r="D172" s="16" t="s">
        <v>13</v>
      </c>
      <c r="E172" s="17">
        <v>18</v>
      </c>
      <c r="F172" s="17">
        <v>18</v>
      </c>
      <c r="G172" s="17">
        <v>20</v>
      </c>
      <c r="H172" s="17">
        <v>18.670000000000002</v>
      </c>
      <c r="I172" s="17">
        <v>18</v>
      </c>
    </row>
    <row r="173" spans="1:9" x14ac:dyDescent="0.3">
      <c r="A173">
        <v>75</v>
      </c>
      <c r="B173">
        <v>2024</v>
      </c>
      <c r="C173" s="15" t="s">
        <v>24</v>
      </c>
      <c r="D173" s="16" t="s">
        <v>13</v>
      </c>
      <c r="E173" s="17">
        <v>48</v>
      </c>
      <c r="F173" s="17">
        <v>48</v>
      </c>
      <c r="G173" s="17">
        <v>72</v>
      </c>
      <c r="H173" s="17">
        <v>60</v>
      </c>
      <c r="I173" s="17">
        <v>60</v>
      </c>
    </row>
    <row r="174" spans="1:9" x14ac:dyDescent="0.3">
      <c r="A174">
        <v>75</v>
      </c>
      <c r="B174">
        <v>2024</v>
      </c>
      <c r="C174" s="15" t="s">
        <v>25</v>
      </c>
      <c r="D174" s="16" t="s">
        <v>26</v>
      </c>
      <c r="E174" s="17">
        <v>48</v>
      </c>
      <c r="F174" s="17">
        <v>40</v>
      </c>
      <c r="G174" s="17">
        <v>60</v>
      </c>
      <c r="H174" s="17">
        <v>52</v>
      </c>
      <c r="I174" s="17">
        <v>50</v>
      </c>
    </row>
    <row r="175" spans="1:9" ht="28.8" x14ac:dyDescent="0.3">
      <c r="A175">
        <v>75</v>
      </c>
      <c r="B175">
        <v>2024</v>
      </c>
      <c r="C175" s="15" t="s">
        <v>27</v>
      </c>
      <c r="D175" s="16" t="s">
        <v>13</v>
      </c>
      <c r="E175" s="17">
        <v>48</v>
      </c>
      <c r="F175" s="16" t="s">
        <v>542</v>
      </c>
      <c r="G175" s="17">
        <v>60</v>
      </c>
      <c r="H175" s="17">
        <v>50</v>
      </c>
      <c r="I175" s="16" t="s">
        <v>542</v>
      </c>
    </row>
    <row r="176" spans="1:9" ht="28.8" x14ac:dyDescent="0.3">
      <c r="A176">
        <v>75</v>
      </c>
      <c r="B176">
        <v>2024</v>
      </c>
      <c r="C176" s="15" t="s">
        <v>28</v>
      </c>
      <c r="D176" s="16" t="s">
        <v>13</v>
      </c>
      <c r="E176" s="17">
        <v>30</v>
      </c>
      <c r="F176" s="17">
        <v>24</v>
      </c>
      <c r="G176" s="17">
        <v>30</v>
      </c>
      <c r="H176" s="17">
        <v>28</v>
      </c>
      <c r="I176" s="17">
        <v>30</v>
      </c>
    </row>
    <row r="177" spans="1:9" x14ac:dyDescent="0.3">
      <c r="A177">
        <v>75</v>
      </c>
      <c r="B177">
        <v>2024</v>
      </c>
      <c r="C177" s="15" t="s">
        <v>29</v>
      </c>
      <c r="D177" s="16" t="s">
        <v>13</v>
      </c>
      <c r="E177" s="17">
        <v>48</v>
      </c>
      <c r="F177" s="16" t="s">
        <v>542</v>
      </c>
      <c r="G177" s="17">
        <v>60</v>
      </c>
      <c r="H177" s="17">
        <v>54</v>
      </c>
      <c r="I177" s="17">
        <v>54</v>
      </c>
    </row>
    <row r="178" spans="1:9" x14ac:dyDescent="0.3">
      <c r="A178">
        <v>75</v>
      </c>
      <c r="B178">
        <v>2024</v>
      </c>
      <c r="C178" s="15" t="s">
        <v>31</v>
      </c>
      <c r="D178" s="16" t="s">
        <v>32</v>
      </c>
      <c r="E178" s="17">
        <v>5</v>
      </c>
      <c r="F178" s="17">
        <v>5</v>
      </c>
      <c r="G178" s="17">
        <v>5</v>
      </c>
      <c r="H178" s="17">
        <v>5</v>
      </c>
      <c r="I178" s="17">
        <v>5</v>
      </c>
    </row>
    <row r="179" spans="1:9" x14ac:dyDescent="0.3">
      <c r="A179">
        <v>75</v>
      </c>
      <c r="B179">
        <v>2024</v>
      </c>
      <c r="C179" s="15" t="s">
        <v>34</v>
      </c>
      <c r="D179" s="16" t="s">
        <v>35</v>
      </c>
      <c r="E179" s="17">
        <v>15</v>
      </c>
      <c r="F179" s="17">
        <v>12</v>
      </c>
      <c r="G179" s="17">
        <v>15</v>
      </c>
      <c r="H179" s="17">
        <v>14</v>
      </c>
      <c r="I179" s="17">
        <v>15</v>
      </c>
    </row>
    <row r="180" spans="1:9" x14ac:dyDescent="0.3">
      <c r="A180">
        <v>75</v>
      </c>
      <c r="B180">
        <v>2024</v>
      </c>
      <c r="C180" s="15" t="s">
        <v>36</v>
      </c>
      <c r="D180" s="16" t="s">
        <v>35</v>
      </c>
      <c r="E180" s="17">
        <v>25</v>
      </c>
      <c r="F180" s="17">
        <v>25</v>
      </c>
      <c r="G180" s="17">
        <v>30</v>
      </c>
      <c r="H180" s="17">
        <v>26.67</v>
      </c>
      <c r="I180" s="17">
        <v>25</v>
      </c>
    </row>
    <row r="181" spans="1:9" ht="28.8" x14ac:dyDescent="0.3">
      <c r="A181">
        <v>75</v>
      </c>
      <c r="B181">
        <v>2024</v>
      </c>
      <c r="C181" s="15" t="s">
        <v>516</v>
      </c>
      <c r="D181" s="16" t="s">
        <v>154</v>
      </c>
      <c r="E181" s="17">
        <v>75</v>
      </c>
      <c r="F181" s="17">
        <v>75</v>
      </c>
      <c r="G181" s="17">
        <v>80</v>
      </c>
      <c r="H181" s="17">
        <v>76.67</v>
      </c>
      <c r="I181" s="17">
        <v>75</v>
      </c>
    </row>
    <row r="182" spans="1:9" ht="28.8" x14ac:dyDescent="0.3">
      <c r="A182">
        <v>75</v>
      </c>
      <c r="B182">
        <v>2024</v>
      </c>
      <c r="C182" s="15" t="s">
        <v>39</v>
      </c>
      <c r="D182" s="16" t="s">
        <v>40</v>
      </c>
      <c r="E182" s="17">
        <v>25</v>
      </c>
      <c r="F182" s="17">
        <v>25</v>
      </c>
      <c r="G182" s="17">
        <v>40</v>
      </c>
      <c r="H182" s="17">
        <v>28.57</v>
      </c>
      <c r="I182" s="17">
        <v>25</v>
      </c>
    </row>
    <row r="183" spans="1:9" x14ac:dyDescent="0.3">
      <c r="A183">
        <v>75</v>
      </c>
      <c r="B183">
        <v>2024</v>
      </c>
      <c r="C183" s="15" t="s">
        <v>42</v>
      </c>
      <c r="D183" s="16" t="s">
        <v>43</v>
      </c>
      <c r="E183" s="17">
        <v>70</v>
      </c>
      <c r="F183" s="17">
        <v>45</v>
      </c>
      <c r="G183" s="17">
        <v>70</v>
      </c>
      <c r="H183" s="17">
        <v>60.83</v>
      </c>
      <c r="I183" s="17">
        <v>67.5</v>
      </c>
    </row>
    <row r="184" spans="1:9" ht="28.8" x14ac:dyDescent="0.3">
      <c r="A184">
        <v>75</v>
      </c>
      <c r="B184">
        <v>2024</v>
      </c>
      <c r="C184" s="15" t="s">
        <v>44</v>
      </c>
      <c r="D184" s="16" t="s">
        <v>45</v>
      </c>
      <c r="E184" s="17">
        <v>50</v>
      </c>
      <c r="F184" s="17">
        <v>50</v>
      </c>
      <c r="G184" s="17">
        <v>65</v>
      </c>
      <c r="H184" s="17">
        <v>56</v>
      </c>
      <c r="I184" s="17">
        <v>55</v>
      </c>
    </row>
    <row r="185" spans="1:9" ht="28.8" x14ac:dyDescent="0.3">
      <c r="A185">
        <v>75</v>
      </c>
      <c r="B185">
        <v>2024</v>
      </c>
      <c r="C185" s="15" t="s">
        <v>48</v>
      </c>
      <c r="D185" s="16" t="s">
        <v>45</v>
      </c>
      <c r="E185" s="17">
        <v>45</v>
      </c>
      <c r="F185" s="16" t="s">
        <v>542</v>
      </c>
      <c r="G185" s="17">
        <v>80</v>
      </c>
      <c r="H185" s="17">
        <v>66.67</v>
      </c>
      <c r="I185" s="17">
        <v>75</v>
      </c>
    </row>
    <row r="186" spans="1:9" x14ac:dyDescent="0.3">
      <c r="A186">
        <v>75</v>
      </c>
      <c r="B186">
        <v>2024</v>
      </c>
      <c r="C186" s="15" t="s">
        <v>49</v>
      </c>
      <c r="D186" s="16" t="s">
        <v>50</v>
      </c>
      <c r="E186" s="17">
        <v>50</v>
      </c>
      <c r="F186" s="17">
        <v>50</v>
      </c>
      <c r="G186" s="17">
        <v>65</v>
      </c>
      <c r="H186" s="17">
        <v>57.5</v>
      </c>
      <c r="I186" s="17">
        <v>56.67</v>
      </c>
    </row>
    <row r="187" spans="1:9" x14ac:dyDescent="0.3">
      <c r="A187">
        <v>75</v>
      </c>
      <c r="B187">
        <v>2024</v>
      </c>
      <c r="C187" s="15" t="s">
        <v>52</v>
      </c>
      <c r="D187" s="16" t="s">
        <v>43</v>
      </c>
      <c r="E187" s="17">
        <v>45</v>
      </c>
      <c r="F187" s="17">
        <v>40</v>
      </c>
      <c r="G187" s="17">
        <v>60</v>
      </c>
      <c r="H187" s="17">
        <v>48.57</v>
      </c>
      <c r="I187" s="17">
        <v>45</v>
      </c>
    </row>
    <row r="188" spans="1:9" x14ac:dyDescent="0.3">
      <c r="A188">
        <v>75</v>
      </c>
      <c r="B188">
        <v>2024</v>
      </c>
      <c r="C188" s="15" t="s">
        <v>53</v>
      </c>
      <c r="D188" s="16" t="s">
        <v>43</v>
      </c>
      <c r="E188" s="17">
        <v>40</v>
      </c>
      <c r="F188" s="17">
        <v>55</v>
      </c>
      <c r="G188" s="17">
        <v>55</v>
      </c>
      <c r="H188" s="17">
        <v>51.43</v>
      </c>
      <c r="I188" s="17">
        <v>55</v>
      </c>
    </row>
    <row r="189" spans="1:9" x14ac:dyDescent="0.3">
      <c r="A189">
        <v>75</v>
      </c>
      <c r="B189">
        <v>2024</v>
      </c>
      <c r="C189" s="15" t="s">
        <v>54</v>
      </c>
      <c r="D189" s="16" t="s">
        <v>40</v>
      </c>
      <c r="E189" s="17">
        <v>100</v>
      </c>
      <c r="F189" s="17">
        <v>120</v>
      </c>
      <c r="G189" s="17">
        <v>130</v>
      </c>
      <c r="H189" s="17">
        <v>116</v>
      </c>
      <c r="I189" s="17">
        <v>120</v>
      </c>
    </row>
    <row r="190" spans="1:9" x14ac:dyDescent="0.3">
      <c r="A190">
        <v>75</v>
      </c>
      <c r="B190">
        <v>2024</v>
      </c>
      <c r="C190" s="15" t="s">
        <v>56</v>
      </c>
      <c r="D190" s="16" t="s">
        <v>43</v>
      </c>
      <c r="E190" s="17">
        <v>55</v>
      </c>
      <c r="F190" s="16" t="s">
        <v>542</v>
      </c>
      <c r="G190" s="17">
        <v>55</v>
      </c>
      <c r="H190" s="17">
        <v>55</v>
      </c>
      <c r="I190" s="17">
        <v>55</v>
      </c>
    </row>
    <row r="191" spans="1:9" ht="28.8" x14ac:dyDescent="0.3">
      <c r="A191">
        <v>75</v>
      </c>
      <c r="B191">
        <v>2024</v>
      </c>
      <c r="C191" s="15" t="s">
        <v>57</v>
      </c>
      <c r="D191" s="16" t="s">
        <v>40</v>
      </c>
      <c r="E191" s="17">
        <v>60</v>
      </c>
      <c r="F191" s="17">
        <v>50</v>
      </c>
      <c r="G191" s="17">
        <v>85</v>
      </c>
      <c r="H191" s="17">
        <v>60</v>
      </c>
      <c r="I191" s="17">
        <v>63.75</v>
      </c>
    </row>
    <row r="192" spans="1:9" ht="28.8" x14ac:dyDescent="0.3">
      <c r="A192">
        <v>75</v>
      </c>
      <c r="B192">
        <v>2024</v>
      </c>
      <c r="C192" s="15" t="s">
        <v>58</v>
      </c>
      <c r="D192" s="16" t="s">
        <v>40</v>
      </c>
      <c r="E192" s="17">
        <v>75</v>
      </c>
      <c r="F192" s="16" t="s">
        <v>542</v>
      </c>
      <c r="G192" s="17">
        <v>100</v>
      </c>
      <c r="H192" s="17">
        <v>87.5</v>
      </c>
      <c r="I192" s="17">
        <v>87.5</v>
      </c>
    </row>
    <row r="193" spans="1:9" ht="28.8" x14ac:dyDescent="0.3">
      <c r="A193">
        <v>75</v>
      </c>
      <c r="B193">
        <v>2024</v>
      </c>
      <c r="C193" s="15" t="s">
        <v>59</v>
      </c>
      <c r="D193" s="16" t="s">
        <v>45</v>
      </c>
      <c r="E193" s="17">
        <v>40</v>
      </c>
      <c r="F193" s="17">
        <v>50</v>
      </c>
      <c r="G193" s="17">
        <v>70</v>
      </c>
      <c r="H193" s="17">
        <v>52.14</v>
      </c>
      <c r="I193" s="17">
        <v>50</v>
      </c>
    </row>
    <row r="194" spans="1:9" x14ac:dyDescent="0.3">
      <c r="A194">
        <v>75</v>
      </c>
      <c r="B194">
        <v>2024</v>
      </c>
      <c r="C194" s="15" t="s">
        <v>60</v>
      </c>
      <c r="D194" s="16" t="s">
        <v>61</v>
      </c>
      <c r="E194" s="17">
        <v>180</v>
      </c>
      <c r="F194" s="17">
        <v>150</v>
      </c>
      <c r="G194" s="17">
        <v>180</v>
      </c>
      <c r="H194" s="17">
        <v>166.67</v>
      </c>
      <c r="I194" s="17">
        <v>165</v>
      </c>
    </row>
    <row r="195" spans="1:9" ht="28.8" x14ac:dyDescent="0.3">
      <c r="A195">
        <v>75</v>
      </c>
      <c r="B195">
        <v>2024</v>
      </c>
      <c r="C195" s="15" t="s">
        <v>63</v>
      </c>
      <c r="D195" s="16" t="s">
        <v>40</v>
      </c>
      <c r="E195" s="17">
        <v>60</v>
      </c>
      <c r="F195" s="17">
        <v>70</v>
      </c>
      <c r="G195" s="17">
        <v>80</v>
      </c>
      <c r="H195" s="17">
        <v>68.569999999999993</v>
      </c>
      <c r="I195" s="17">
        <v>70</v>
      </c>
    </row>
    <row r="196" spans="1:9" ht="28.8" x14ac:dyDescent="0.3">
      <c r="A196">
        <v>75</v>
      </c>
      <c r="B196">
        <v>2024</v>
      </c>
      <c r="C196" s="15" t="s">
        <v>64</v>
      </c>
      <c r="D196" s="16" t="s">
        <v>40</v>
      </c>
      <c r="E196" s="17">
        <v>80</v>
      </c>
      <c r="F196" s="16" t="s">
        <v>542</v>
      </c>
      <c r="G196" s="17">
        <v>120</v>
      </c>
      <c r="H196" s="17">
        <v>95</v>
      </c>
      <c r="I196" s="17">
        <v>97.5</v>
      </c>
    </row>
    <row r="197" spans="1:9" x14ac:dyDescent="0.3">
      <c r="A197">
        <v>75</v>
      </c>
      <c r="B197">
        <v>2024</v>
      </c>
      <c r="C197" s="15" t="s">
        <v>66</v>
      </c>
      <c r="D197" s="16" t="s">
        <v>45</v>
      </c>
      <c r="E197" s="16" t="s">
        <v>542</v>
      </c>
      <c r="F197" s="16" t="s">
        <v>542</v>
      </c>
      <c r="G197" s="16" t="s">
        <v>542</v>
      </c>
      <c r="H197" s="16" t="s">
        <v>542</v>
      </c>
      <c r="I197" s="16" t="s">
        <v>542</v>
      </c>
    </row>
    <row r="198" spans="1:9" ht="28.8" x14ac:dyDescent="0.3">
      <c r="A198">
        <v>75</v>
      </c>
      <c r="B198">
        <v>2024</v>
      </c>
      <c r="C198" s="15" t="s">
        <v>67</v>
      </c>
      <c r="D198" s="16" t="s">
        <v>45</v>
      </c>
      <c r="E198" s="16" t="s">
        <v>542</v>
      </c>
      <c r="F198" s="16" t="s">
        <v>542</v>
      </c>
      <c r="G198" s="16" t="s">
        <v>542</v>
      </c>
      <c r="H198" s="16" t="s">
        <v>542</v>
      </c>
      <c r="I198" s="16" t="s">
        <v>542</v>
      </c>
    </row>
    <row r="199" spans="1:9" ht="28.8" x14ac:dyDescent="0.3">
      <c r="A199">
        <v>75</v>
      </c>
      <c r="B199">
        <v>2024</v>
      </c>
      <c r="C199" s="15" t="s">
        <v>68</v>
      </c>
      <c r="D199" s="16" t="s">
        <v>45</v>
      </c>
      <c r="E199" s="16" t="s">
        <v>542</v>
      </c>
      <c r="F199" s="16" t="s">
        <v>542</v>
      </c>
      <c r="G199" s="16" t="s">
        <v>542</v>
      </c>
      <c r="H199" s="16" t="s">
        <v>542</v>
      </c>
      <c r="I199" s="16" t="s">
        <v>542</v>
      </c>
    </row>
    <row r="200" spans="1:9" x14ac:dyDescent="0.3">
      <c r="A200">
        <v>75</v>
      </c>
      <c r="B200">
        <v>2024</v>
      </c>
      <c r="C200" s="15" t="s">
        <v>69</v>
      </c>
      <c r="D200" s="16" t="s">
        <v>45</v>
      </c>
      <c r="E200" s="16" t="s">
        <v>542</v>
      </c>
      <c r="F200" s="16" t="s">
        <v>542</v>
      </c>
      <c r="G200" s="16" t="s">
        <v>542</v>
      </c>
      <c r="H200" s="16" t="s">
        <v>542</v>
      </c>
      <c r="I200" s="16" t="s">
        <v>542</v>
      </c>
    </row>
    <row r="201" spans="1:9" ht="28.8" x14ac:dyDescent="0.3">
      <c r="A201">
        <v>75</v>
      </c>
      <c r="B201">
        <v>2024</v>
      </c>
      <c r="C201" s="15" t="s">
        <v>70</v>
      </c>
      <c r="D201" s="16" t="s">
        <v>71</v>
      </c>
      <c r="E201" s="16" t="s">
        <v>542</v>
      </c>
      <c r="F201" s="16" t="s">
        <v>542</v>
      </c>
      <c r="G201" s="16" t="s">
        <v>542</v>
      </c>
      <c r="H201" s="16" t="s">
        <v>542</v>
      </c>
      <c r="I201" s="16" t="s">
        <v>542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96"/>
  <sheetViews>
    <sheetView tabSelected="1" zoomScaleNormal="100" workbookViewId="0">
      <pane ySplit="1" topLeftCell="A901" activePane="bottomLeft" state="frozen"/>
      <selection pane="bottomLeft" activeCell="E1472" sqref="E1472"/>
    </sheetView>
  </sheetViews>
  <sheetFormatPr defaultColWidth="8.44140625" defaultRowHeight="14.4" x14ac:dyDescent="0.3"/>
  <cols>
    <col min="1" max="1" width="8.33203125" style="1" bestFit="1" customWidth="1"/>
    <col min="2" max="2" width="7.77734375" style="1" bestFit="1" customWidth="1"/>
    <col min="3" max="3" width="8.6640625" style="1" bestFit="1" customWidth="1"/>
    <col min="4" max="4" width="14.44140625" style="1" customWidth="1"/>
    <col min="5" max="5" width="11.21875" style="1" customWidth="1"/>
    <col min="6" max="6" width="11.6640625" style="1" customWidth="1"/>
    <col min="7" max="7" width="11.77734375" style="1" customWidth="1"/>
    <col min="8" max="8" width="15.44140625" style="1" customWidth="1"/>
    <col min="10" max="10" width="124.21875" style="1" customWidth="1"/>
  </cols>
  <sheetData>
    <row r="1" spans="1:10" x14ac:dyDescent="0.3">
      <c r="A1" s="18" t="s">
        <v>635</v>
      </c>
      <c r="B1" s="18" t="s">
        <v>636</v>
      </c>
      <c r="C1" s="18" t="s">
        <v>637</v>
      </c>
      <c r="D1" s="18" t="s">
        <v>638</v>
      </c>
      <c r="E1" s="18" t="s">
        <v>639</v>
      </c>
      <c r="F1" s="18" t="s">
        <v>640</v>
      </c>
      <c r="G1" s="18" t="s">
        <v>641</v>
      </c>
      <c r="H1" s="18" t="s">
        <v>642</v>
      </c>
    </row>
    <row r="2" spans="1:10" x14ac:dyDescent="0.3">
      <c r="A2" s="1">
        <v>1</v>
      </c>
      <c r="B2" s="1">
        <v>1</v>
      </c>
      <c r="C2" s="1">
        <v>1</v>
      </c>
      <c r="D2" s="1" t="str">
        <f>IF('Boletins Nuppa Site'!G2&lt;&gt;0,'Boletins Nuppa Site'!G2,"NULL")</f>
        <v>NULL</v>
      </c>
      <c r="E2" s="19">
        <f>IF('Boletins Nuppa Site'!H2&lt;&gt;0,'Boletins Nuppa Site'!H2,"NULL")</f>
        <v>32</v>
      </c>
      <c r="F2" s="19">
        <f>IF('Boletins Nuppa Site'!I2&lt;&gt;0,'Boletins Nuppa Site'!I2,"NULL")</f>
        <v>32</v>
      </c>
      <c r="G2" s="19">
        <f>IF('Boletins Nuppa Site'!J2&lt;&gt;0,'Boletins Nuppa Site'!J2,"NULL")</f>
        <v>32</v>
      </c>
      <c r="H2" s="19">
        <f>IF('Boletins Nuppa Site'!K2&lt;&gt;0,'Boletins Nuppa Site'!K2,"NULL")</f>
        <v>32</v>
      </c>
      <c r="J2" s="1" t="str">
        <f t="shared" ref="J2:J65" si="0">"INSERT INTO COTACAO (blt_id, pap_id, cot_prc_comum, cot_prc_min, cot_prc_max, cot_prc_med, cot_prc_mediana) VALUES ("&amp;B2&amp;", "&amp;C2&amp;", "&amp;D2&amp;", "&amp;E2&amp;", "&amp;F2&amp;", "&amp;G2&amp;", "&amp;H2&amp;");"</f>
        <v>INSERT INTO COTACAO (blt_id, pap_id, cot_prc_comum, cot_prc_min, cot_prc_max, cot_prc_med, cot_prc_mediana) VALUES (1, 1, NULL, 32, 32, 32, 32);</v>
      </c>
    </row>
    <row r="3" spans="1:10" x14ac:dyDescent="0.3">
      <c r="A3" s="1">
        <v>2</v>
      </c>
      <c r="B3" s="1">
        <v>1</v>
      </c>
      <c r="C3" s="1">
        <v>2</v>
      </c>
      <c r="D3" s="1" t="str">
        <f>IF('Boletins Nuppa Site'!G3&lt;&gt;0,'Boletins Nuppa Site'!G3,"NULL")</f>
        <v>NULL</v>
      </c>
      <c r="E3" s="19">
        <f>IF('Boletins Nuppa Site'!H3&lt;&gt;0,'Boletins Nuppa Site'!H3,"NULL")</f>
        <v>60</v>
      </c>
      <c r="F3" s="19">
        <f>IF('Boletins Nuppa Site'!I3&lt;&gt;0,'Boletins Nuppa Site'!I3,"NULL")</f>
        <v>60</v>
      </c>
      <c r="G3" s="19">
        <f>IF('Boletins Nuppa Site'!J3&lt;&gt;0,'Boletins Nuppa Site'!J3,"NULL")</f>
        <v>60</v>
      </c>
      <c r="H3" s="19">
        <f>IF('Boletins Nuppa Site'!K3&lt;&gt;0,'Boletins Nuppa Site'!K3,"NULL")</f>
        <v>60</v>
      </c>
      <c r="J3" s="1" t="str">
        <f t="shared" si="0"/>
        <v>INSERT INTO COTACAO (blt_id, pap_id, cot_prc_comum, cot_prc_min, cot_prc_max, cot_prc_med, cot_prc_mediana) VALUES (1, 2, NULL, 60, 60, 60, 60);</v>
      </c>
    </row>
    <row r="4" spans="1:10" x14ac:dyDescent="0.3">
      <c r="A4" s="1">
        <v>3</v>
      </c>
      <c r="B4" s="1">
        <v>1</v>
      </c>
      <c r="C4" s="1">
        <v>3</v>
      </c>
      <c r="D4" s="1" t="str">
        <f>IF('Boletins Nuppa Site'!G4&lt;&gt;0,'Boletins Nuppa Site'!G4,"NULL")</f>
        <v>NULL</v>
      </c>
      <c r="E4" s="19">
        <f>IF('Boletins Nuppa Site'!H4&lt;&gt;0,'Boletins Nuppa Site'!H4,"NULL")</f>
        <v>24</v>
      </c>
      <c r="F4" s="19">
        <f>IF('Boletins Nuppa Site'!I4&lt;&gt;0,'Boletins Nuppa Site'!I4,"NULL")</f>
        <v>36</v>
      </c>
      <c r="G4" s="19">
        <f>IF('Boletins Nuppa Site'!J4&lt;&gt;0,'Boletins Nuppa Site'!J4,"NULL")</f>
        <v>30</v>
      </c>
      <c r="H4" s="19">
        <f>IF('Boletins Nuppa Site'!K4&lt;&gt;0,'Boletins Nuppa Site'!K4,"NULL")</f>
        <v>30</v>
      </c>
      <c r="J4" s="1" t="str">
        <f t="shared" si="0"/>
        <v>INSERT INTO COTACAO (blt_id, pap_id, cot_prc_comum, cot_prc_min, cot_prc_max, cot_prc_med, cot_prc_mediana) VALUES (1, 3, NULL, 24, 36, 30, 30);</v>
      </c>
    </row>
    <row r="5" spans="1:10" x14ac:dyDescent="0.3">
      <c r="A5" s="1">
        <v>4</v>
      </c>
      <c r="B5" s="1">
        <v>1</v>
      </c>
      <c r="C5" s="1">
        <v>4</v>
      </c>
      <c r="D5" s="1" t="str">
        <f>IF('Boletins Nuppa Site'!G5&lt;&gt;0,'Boletins Nuppa Site'!G5,"NULL")</f>
        <v>NULL</v>
      </c>
      <c r="E5" s="19">
        <f>IF('Boletins Nuppa Site'!H5&lt;&gt;0,'Boletins Nuppa Site'!H5,"NULL")</f>
        <v>18</v>
      </c>
      <c r="F5" s="19">
        <f>IF('Boletins Nuppa Site'!I5&lt;&gt;0,'Boletins Nuppa Site'!I5,"NULL")</f>
        <v>30</v>
      </c>
      <c r="G5" s="19">
        <f>IF('Boletins Nuppa Site'!J5&lt;&gt;0,'Boletins Nuppa Site'!J5,"NULL")</f>
        <v>24</v>
      </c>
      <c r="H5" s="19">
        <f>IF('Boletins Nuppa Site'!K5&lt;&gt;0,'Boletins Nuppa Site'!K5,"NULL")</f>
        <v>24</v>
      </c>
      <c r="J5" s="1" t="str">
        <f t="shared" si="0"/>
        <v>INSERT INTO COTACAO (blt_id, pap_id, cot_prc_comum, cot_prc_min, cot_prc_max, cot_prc_med, cot_prc_mediana) VALUES (1, 4, NULL, 18, 30, 24, 24);</v>
      </c>
    </row>
    <row r="6" spans="1:10" x14ac:dyDescent="0.3">
      <c r="A6" s="1">
        <v>5</v>
      </c>
      <c r="B6" s="1">
        <v>1</v>
      </c>
      <c r="C6" s="1">
        <v>5</v>
      </c>
      <c r="D6" s="1" t="str">
        <f>IF('Boletins Nuppa Site'!G6&lt;&gt;0,'Boletins Nuppa Site'!G6,"NULL")</f>
        <v>NULL</v>
      </c>
      <c r="E6" s="19">
        <f>IF('Boletins Nuppa Site'!H6&lt;&gt;0,'Boletins Nuppa Site'!H6,"NULL")</f>
        <v>18</v>
      </c>
      <c r="F6" s="19">
        <f>IF('Boletins Nuppa Site'!I6&lt;&gt;0,'Boletins Nuppa Site'!I6,"NULL")</f>
        <v>30</v>
      </c>
      <c r="G6" s="19">
        <f>IF('Boletins Nuppa Site'!J6&lt;&gt;0,'Boletins Nuppa Site'!J6,"NULL")</f>
        <v>24</v>
      </c>
      <c r="H6" s="19">
        <f>IF('Boletins Nuppa Site'!K6&lt;&gt;0,'Boletins Nuppa Site'!K6,"NULL")</f>
        <v>24</v>
      </c>
      <c r="J6" s="1" t="str">
        <f t="shared" si="0"/>
        <v>INSERT INTO COTACAO (blt_id, pap_id, cot_prc_comum, cot_prc_min, cot_prc_max, cot_prc_med, cot_prc_mediana) VALUES (1, 5, NULL, 18, 30, 24, 24);</v>
      </c>
    </row>
    <row r="7" spans="1:10" x14ac:dyDescent="0.3">
      <c r="A7" s="1">
        <v>6</v>
      </c>
      <c r="B7" s="1">
        <v>1</v>
      </c>
      <c r="C7" s="1">
        <v>6</v>
      </c>
      <c r="D7" s="1" t="str">
        <f>IF('Boletins Nuppa Site'!G7&lt;&gt;0,'Boletins Nuppa Site'!G7,"NULL")</f>
        <v>NULL</v>
      </c>
      <c r="E7" s="19">
        <f>IF('Boletins Nuppa Site'!H7&lt;&gt;0,'Boletins Nuppa Site'!H7,"NULL")</f>
        <v>48</v>
      </c>
      <c r="F7" s="19">
        <f>IF('Boletins Nuppa Site'!I7&lt;&gt;0,'Boletins Nuppa Site'!I7,"NULL")</f>
        <v>48</v>
      </c>
      <c r="G7" s="19">
        <f>IF('Boletins Nuppa Site'!J7&lt;&gt;0,'Boletins Nuppa Site'!J7,"NULL")</f>
        <v>48</v>
      </c>
      <c r="H7" s="19">
        <f>IF('Boletins Nuppa Site'!K7&lt;&gt;0,'Boletins Nuppa Site'!K7,"NULL")</f>
        <v>48</v>
      </c>
      <c r="J7" s="1" t="str">
        <f t="shared" si="0"/>
        <v>INSERT INTO COTACAO (blt_id, pap_id, cot_prc_comum, cot_prc_min, cot_prc_max, cot_prc_med, cot_prc_mediana) VALUES (1, 6, NULL, 48, 48, 48, 48);</v>
      </c>
    </row>
    <row r="8" spans="1:10" x14ac:dyDescent="0.3">
      <c r="A8" s="1">
        <v>7</v>
      </c>
      <c r="B8" s="1">
        <v>1</v>
      </c>
      <c r="C8" s="1">
        <v>7</v>
      </c>
      <c r="D8" s="1" t="str">
        <f>IF('Boletins Nuppa Site'!G8&lt;&gt;0,'Boletins Nuppa Site'!G8,"NULL")</f>
        <v>NULL</v>
      </c>
      <c r="E8" s="19">
        <f>IF('Boletins Nuppa Site'!H8&lt;&gt;0,'Boletins Nuppa Site'!H8,"NULL")</f>
        <v>60</v>
      </c>
      <c r="F8" s="19">
        <f>IF('Boletins Nuppa Site'!I8&lt;&gt;0,'Boletins Nuppa Site'!I8,"NULL")</f>
        <v>60</v>
      </c>
      <c r="G8" s="19">
        <f>IF('Boletins Nuppa Site'!J8&lt;&gt;0,'Boletins Nuppa Site'!J8,"NULL")</f>
        <v>60</v>
      </c>
      <c r="H8" s="19">
        <f>IF('Boletins Nuppa Site'!K8&lt;&gt;0,'Boletins Nuppa Site'!K8,"NULL")</f>
        <v>60</v>
      </c>
      <c r="J8" s="1" t="str">
        <f t="shared" si="0"/>
        <v>INSERT INTO COTACAO (blt_id, pap_id, cot_prc_comum, cot_prc_min, cot_prc_max, cot_prc_med, cot_prc_mediana) VALUES (1, 7, NULL, 60, 60, 60, 60);</v>
      </c>
    </row>
    <row r="9" spans="1:10" x14ac:dyDescent="0.3">
      <c r="A9" s="1">
        <v>8</v>
      </c>
      <c r="B9" s="1">
        <v>1</v>
      </c>
      <c r="C9" s="1">
        <v>8</v>
      </c>
      <c r="D9" s="19">
        <f>IF('Boletins Nuppa Site'!G9&lt;&gt;0,'Boletins Nuppa Site'!G9,"NULL")</f>
        <v>48</v>
      </c>
      <c r="E9" s="19">
        <f>IF('Boletins Nuppa Site'!H9&lt;&gt;0,'Boletins Nuppa Site'!H9,"NULL")</f>
        <v>48</v>
      </c>
      <c r="F9" s="19">
        <f>IF('Boletins Nuppa Site'!I9&lt;&gt;0,'Boletins Nuppa Site'!I9,"NULL")</f>
        <v>60</v>
      </c>
      <c r="G9" s="19">
        <f>IF('Boletins Nuppa Site'!J9&lt;&gt;0,'Boletins Nuppa Site'!J9,"NULL")</f>
        <v>52</v>
      </c>
      <c r="H9" s="19">
        <f>IF('Boletins Nuppa Site'!K9&lt;&gt;0,'Boletins Nuppa Site'!K9,"NULL")</f>
        <v>48</v>
      </c>
      <c r="J9" s="1" t="str">
        <f t="shared" si="0"/>
        <v>INSERT INTO COTACAO (blt_id, pap_id, cot_prc_comum, cot_prc_min, cot_prc_max, cot_prc_med, cot_prc_mediana) VALUES (1, 8, 48, 48, 60, 52, 48);</v>
      </c>
    </row>
    <row r="10" spans="1:10" x14ac:dyDescent="0.3">
      <c r="A10" s="1">
        <v>9</v>
      </c>
      <c r="B10" s="1">
        <v>1</v>
      </c>
      <c r="C10" s="1">
        <v>9</v>
      </c>
      <c r="D10" s="19">
        <f>IF('Boletins Nuppa Site'!G10&lt;&gt;0,'Boletins Nuppa Site'!G10,"NULL")</f>
        <v>15</v>
      </c>
      <c r="E10" s="19">
        <f>IF('Boletins Nuppa Site'!H10&lt;&gt;0,'Boletins Nuppa Site'!H10,"NULL")</f>
        <v>15</v>
      </c>
      <c r="F10" s="19">
        <f>IF('Boletins Nuppa Site'!I10&lt;&gt;0,'Boletins Nuppa Site'!I10,"NULL")</f>
        <v>24</v>
      </c>
      <c r="G10" s="19">
        <f>IF('Boletins Nuppa Site'!J10&lt;&gt;0,'Boletins Nuppa Site'!J10,"NULL")</f>
        <v>18</v>
      </c>
      <c r="H10" s="19">
        <f>IF('Boletins Nuppa Site'!K10&lt;&gt;0,'Boletins Nuppa Site'!K10,"NULL")</f>
        <v>15</v>
      </c>
      <c r="J10" s="1" t="str">
        <f t="shared" si="0"/>
        <v>INSERT INTO COTACAO (blt_id, pap_id, cot_prc_comum, cot_prc_min, cot_prc_max, cot_prc_med, cot_prc_mediana) VALUES (1, 9, 15, 15, 24, 18, 15);</v>
      </c>
    </row>
    <row r="11" spans="1:10" x14ac:dyDescent="0.3">
      <c r="A11" s="1">
        <v>10</v>
      </c>
      <c r="B11" s="1">
        <v>1</v>
      </c>
      <c r="C11" s="1">
        <v>10</v>
      </c>
      <c r="D11" s="1" t="str">
        <f>IF('Boletins Nuppa Site'!G11&lt;&gt;0,'Boletins Nuppa Site'!G11,"NULL")</f>
        <v>NULL</v>
      </c>
      <c r="E11" s="19">
        <f>IF('Boletins Nuppa Site'!H11&lt;&gt;0,'Boletins Nuppa Site'!H11,"NULL")</f>
        <v>60</v>
      </c>
      <c r="F11" s="19">
        <f>IF('Boletins Nuppa Site'!I11&lt;&gt;0,'Boletins Nuppa Site'!I11,"NULL")</f>
        <v>60</v>
      </c>
      <c r="G11" s="19">
        <f>IF('Boletins Nuppa Site'!J11&lt;&gt;0,'Boletins Nuppa Site'!J11,"NULL")</f>
        <v>60</v>
      </c>
      <c r="H11" s="19">
        <f>IF('Boletins Nuppa Site'!K11&lt;&gt;0,'Boletins Nuppa Site'!K11,"NULL")</f>
        <v>60</v>
      </c>
      <c r="J11" s="1" t="str">
        <f t="shared" si="0"/>
        <v>INSERT INTO COTACAO (blt_id, pap_id, cot_prc_comum, cot_prc_min, cot_prc_max, cot_prc_med, cot_prc_mediana) VALUES (1, 10, NULL, 60, 60, 60, 60);</v>
      </c>
    </row>
    <row r="12" spans="1:10" x14ac:dyDescent="0.3">
      <c r="A12" s="1">
        <v>11</v>
      </c>
      <c r="B12" s="1">
        <v>1</v>
      </c>
      <c r="C12" s="1">
        <v>11</v>
      </c>
      <c r="D12" s="1" t="str">
        <f>IF('Boletins Nuppa Site'!G12&lt;&gt;0,'Boletins Nuppa Site'!G12,"NULL")</f>
        <v>NULL</v>
      </c>
      <c r="E12" s="19">
        <f>IF('Boletins Nuppa Site'!H12&lt;&gt;0,'Boletins Nuppa Site'!H12,"NULL")</f>
        <v>18</v>
      </c>
      <c r="F12" s="19">
        <f>IF('Boletins Nuppa Site'!I12&lt;&gt;0,'Boletins Nuppa Site'!I12,"NULL")</f>
        <v>30</v>
      </c>
      <c r="G12" s="19">
        <f>IF('Boletins Nuppa Site'!J12&lt;&gt;0,'Boletins Nuppa Site'!J12,"NULL")</f>
        <v>24</v>
      </c>
      <c r="H12" s="19">
        <f>IF('Boletins Nuppa Site'!K12&lt;&gt;0,'Boletins Nuppa Site'!K12,"NULL")</f>
        <v>24</v>
      </c>
      <c r="J12" s="1" t="str">
        <f t="shared" si="0"/>
        <v>INSERT INTO COTACAO (blt_id, pap_id, cot_prc_comum, cot_prc_min, cot_prc_max, cot_prc_med, cot_prc_mediana) VALUES (1, 11, NULL, 18, 30, 24, 24);</v>
      </c>
    </row>
    <row r="13" spans="1:10" x14ac:dyDescent="0.3">
      <c r="A13" s="1">
        <v>12</v>
      </c>
      <c r="B13" s="1">
        <v>1</v>
      </c>
      <c r="C13" s="1">
        <v>12</v>
      </c>
      <c r="D13" s="1" t="str">
        <f>IF('Boletins Nuppa Site'!G13&lt;&gt;0,'Boletins Nuppa Site'!G13,"NULL")</f>
        <v>NULL</v>
      </c>
      <c r="E13" s="19">
        <f>IF('Boletins Nuppa Site'!H13&lt;&gt;0,'Boletins Nuppa Site'!H13,"NULL")</f>
        <v>42</v>
      </c>
      <c r="F13" s="19">
        <f>IF('Boletins Nuppa Site'!I13&lt;&gt;0,'Boletins Nuppa Site'!I13,"NULL")</f>
        <v>54</v>
      </c>
      <c r="G13" s="19">
        <f>IF('Boletins Nuppa Site'!J13&lt;&gt;0,'Boletins Nuppa Site'!J13,"NULL")</f>
        <v>48</v>
      </c>
      <c r="H13" s="19">
        <f>IF('Boletins Nuppa Site'!K13&lt;&gt;0,'Boletins Nuppa Site'!K13,"NULL")</f>
        <v>48</v>
      </c>
      <c r="J13" s="1" t="str">
        <f t="shared" si="0"/>
        <v>INSERT INTO COTACAO (blt_id, pap_id, cot_prc_comum, cot_prc_min, cot_prc_max, cot_prc_med, cot_prc_mediana) VALUES (1, 12, NULL, 42, 54, 48, 48);</v>
      </c>
    </row>
    <row r="14" spans="1:10" x14ac:dyDescent="0.3">
      <c r="A14" s="1">
        <v>13</v>
      </c>
      <c r="B14" s="1">
        <v>1</v>
      </c>
      <c r="C14" s="1">
        <v>13</v>
      </c>
      <c r="D14" s="1" t="str">
        <f>IF('Boletins Nuppa Site'!G14&lt;&gt;0,'Boletins Nuppa Site'!G14,"NULL")</f>
        <v>NULL</v>
      </c>
      <c r="E14" s="19">
        <f>IF('Boletins Nuppa Site'!H14&lt;&gt;0,'Boletins Nuppa Site'!H14,"NULL")</f>
        <v>36</v>
      </c>
      <c r="F14" s="19">
        <f>IF('Boletins Nuppa Site'!I14&lt;&gt;0,'Boletins Nuppa Site'!I14,"NULL")</f>
        <v>48</v>
      </c>
      <c r="G14" s="19">
        <f>IF('Boletins Nuppa Site'!J14&lt;&gt;0,'Boletins Nuppa Site'!J14,"NULL")</f>
        <v>42</v>
      </c>
      <c r="H14" s="19">
        <f>IF('Boletins Nuppa Site'!K14&lt;&gt;0,'Boletins Nuppa Site'!K14,"NULL")</f>
        <v>42</v>
      </c>
      <c r="J14" s="1" t="str">
        <f t="shared" si="0"/>
        <v>INSERT INTO COTACAO (blt_id, pap_id, cot_prc_comum, cot_prc_min, cot_prc_max, cot_prc_med, cot_prc_mediana) VALUES (1, 13, NULL, 36, 48, 42, 42);</v>
      </c>
    </row>
    <row r="15" spans="1:10" x14ac:dyDescent="0.3">
      <c r="A15" s="1">
        <v>14</v>
      </c>
      <c r="B15" s="1">
        <v>1</v>
      </c>
      <c r="C15" s="1">
        <v>14</v>
      </c>
      <c r="D15" s="1" t="str">
        <f>IF('Boletins Nuppa Site'!G15&lt;&gt;0,'Boletins Nuppa Site'!G15,"NULL")</f>
        <v>NULL</v>
      </c>
      <c r="E15" s="19">
        <f>IF('Boletins Nuppa Site'!H15&lt;&gt;0,'Boletins Nuppa Site'!H15,"NULL")</f>
        <v>60</v>
      </c>
      <c r="F15" s="19">
        <f>IF('Boletins Nuppa Site'!I15&lt;&gt;0,'Boletins Nuppa Site'!I15,"NULL")</f>
        <v>60</v>
      </c>
      <c r="G15" s="19">
        <f>IF('Boletins Nuppa Site'!J15&lt;&gt;0,'Boletins Nuppa Site'!J15,"NULL")</f>
        <v>60</v>
      </c>
      <c r="H15" s="19">
        <f>IF('Boletins Nuppa Site'!K15&lt;&gt;0,'Boletins Nuppa Site'!K15,"NULL")</f>
        <v>60</v>
      </c>
      <c r="J15" s="1" t="str">
        <f t="shared" si="0"/>
        <v>INSERT INTO COTACAO (blt_id, pap_id, cot_prc_comum, cot_prc_min, cot_prc_max, cot_prc_med, cot_prc_mediana) VALUES (1, 14, NULL, 60, 60, 60, 60);</v>
      </c>
    </row>
    <row r="16" spans="1:10" x14ac:dyDescent="0.3">
      <c r="A16" s="1">
        <v>15</v>
      </c>
      <c r="B16" s="1">
        <v>1</v>
      </c>
      <c r="C16" s="1">
        <v>15</v>
      </c>
      <c r="D16" s="1" t="str">
        <f>IF('Boletins Nuppa Site'!G16&lt;&gt;0,'Boletins Nuppa Site'!G16,"NULL")</f>
        <v>NULL</v>
      </c>
      <c r="E16" s="19">
        <f>IF('Boletins Nuppa Site'!H16&lt;&gt;0,'Boletins Nuppa Site'!H16,"NULL")</f>
        <v>24</v>
      </c>
      <c r="F16" s="19">
        <f>IF('Boletins Nuppa Site'!I16&lt;&gt;0,'Boletins Nuppa Site'!I16,"NULL")</f>
        <v>36</v>
      </c>
      <c r="G16" s="19">
        <f>IF('Boletins Nuppa Site'!J16&lt;&gt;0,'Boletins Nuppa Site'!J16,"NULL")</f>
        <v>30</v>
      </c>
      <c r="H16" s="19">
        <f>IF('Boletins Nuppa Site'!K16&lt;&gt;0,'Boletins Nuppa Site'!K16,"NULL")</f>
        <v>30</v>
      </c>
      <c r="J16" s="1" t="str">
        <f t="shared" si="0"/>
        <v>INSERT INTO COTACAO (blt_id, pap_id, cot_prc_comum, cot_prc_min, cot_prc_max, cot_prc_med, cot_prc_mediana) VALUES (1, 15, NULL, 24, 36, 30, 30);</v>
      </c>
    </row>
    <row r="17" spans="1:10" x14ac:dyDescent="0.3">
      <c r="A17" s="1">
        <v>16</v>
      </c>
      <c r="B17" s="1">
        <v>1</v>
      </c>
      <c r="C17" s="1">
        <v>16</v>
      </c>
      <c r="D17" s="19">
        <f>IF('Boletins Nuppa Site'!G17&lt;&gt;0,'Boletins Nuppa Site'!G17,"NULL")</f>
        <v>42</v>
      </c>
      <c r="E17" s="19">
        <f>IF('Boletins Nuppa Site'!H17&lt;&gt;0,'Boletins Nuppa Site'!H17,"NULL")</f>
        <v>36</v>
      </c>
      <c r="F17" s="19">
        <f>IF('Boletins Nuppa Site'!I17&lt;&gt;0,'Boletins Nuppa Site'!I17,"NULL")</f>
        <v>42</v>
      </c>
      <c r="G17" s="19">
        <f>IF('Boletins Nuppa Site'!J17&lt;&gt;0,'Boletins Nuppa Site'!J17,"NULL")</f>
        <v>40</v>
      </c>
      <c r="H17" s="19">
        <f>IF('Boletins Nuppa Site'!K17&lt;&gt;0,'Boletins Nuppa Site'!K17,"NULL")</f>
        <v>42</v>
      </c>
      <c r="J17" s="1" t="str">
        <f t="shared" si="0"/>
        <v>INSERT INTO COTACAO (blt_id, pap_id, cot_prc_comum, cot_prc_min, cot_prc_max, cot_prc_med, cot_prc_mediana) VALUES (1, 16, 42, 36, 42, 40, 42);</v>
      </c>
    </row>
    <row r="18" spans="1:10" x14ac:dyDescent="0.3">
      <c r="A18" s="1">
        <v>17</v>
      </c>
      <c r="B18" s="1">
        <v>1</v>
      </c>
      <c r="C18" s="1">
        <v>17</v>
      </c>
      <c r="D18" s="19">
        <f>IF('Boletins Nuppa Site'!G18&lt;&gt;0,'Boletins Nuppa Site'!G18,"NULL")</f>
        <v>4</v>
      </c>
      <c r="E18" s="19">
        <f>IF('Boletins Nuppa Site'!H18&lt;&gt;0,'Boletins Nuppa Site'!H18,"NULL")</f>
        <v>3</v>
      </c>
      <c r="F18" s="19">
        <f>IF('Boletins Nuppa Site'!I18&lt;&gt;0,'Boletins Nuppa Site'!I18,"NULL")</f>
        <v>4</v>
      </c>
      <c r="G18" s="1" t="str">
        <f>IF('Boletins Nuppa Site'!J18&lt;&gt;0,'Boletins Nuppa Site'!J18,"NULL")</f>
        <v>3.67</v>
      </c>
      <c r="H18" s="19">
        <f>IF('Boletins Nuppa Site'!K18&lt;&gt;0,'Boletins Nuppa Site'!K18,"NULL")</f>
        <v>4</v>
      </c>
      <c r="J18" s="1" t="str">
        <f t="shared" si="0"/>
        <v>INSERT INTO COTACAO (blt_id, pap_id, cot_prc_comum, cot_prc_min, cot_prc_max, cot_prc_med, cot_prc_mediana) VALUES (1, 17, 4, 3, 4, 3.67, 4);</v>
      </c>
    </row>
    <row r="19" spans="1:10" x14ac:dyDescent="0.3">
      <c r="A19" s="1">
        <v>18</v>
      </c>
      <c r="B19" s="1">
        <v>1</v>
      </c>
      <c r="C19" s="1">
        <v>18</v>
      </c>
      <c r="D19" s="19">
        <f>IF('Boletins Nuppa Site'!G19&lt;&gt;0,'Boletins Nuppa Site'!G19,"NULL")</f>
        <v>25</v>
      </c>
      <c r="E19" s="19">
        <f>IF('Boletins Nuppa Site'!H19&lt;&gt;0,'Boletins Nuppa Site'!H19,"NULL")</f>
        <v>25</v>
      </c>
      <c r="F19" s="19">
        <f>IF('Boletins Nuppa Site'!I19&lt;&gt;0,'Boletins Nuppa Site'!I19,"NULL")</f>
        <v>25</v>
      </c>
      <c r="G19" s="19">
        <f>IF('Boletins Nuppa Site'!J19&lt;&gt;0,'Boletins Nuppa Site'!J19,"NULL")</f>
        <v>25</v>
      </c>
      <c r="H19" s="19">
        <f>IF('Boletins Nuppa Site'!K19&lt;&gt;0,'Boletins Nuppa Site'!K19,"NULL")</f>
        <v>25</v>
      </c>
      <c r="J19" s="1" t="str">
        <f t="shared" si="0"/>
        <v>INSERT INTO COTACAO (blt_id, pap_id, cot_prc_comum, cot_prc_min, cot_prc_max, cot_prc_med, cot_prc_mediana) VALUES (1, 18, 25, 25, 25, 25, 25);</v>
      </c>
    </row>
    <row r="20" spans="1:10" x14ac:dyDescent="0.3">
      <c r="A20" s="1">
        <v>19</v>
      </c>
      <c r="B20" s="1">
        <v>1</v>
      </c>
      <c r="C20" s="1">
        <v>19</v>
      </c>
      <c r="D20" s="19">
        <f>IF('Boletins Nuppa Site'!G20&lt;&gt;0,'Boletins Nuppa Site'!G20,"NULL")</f>
        <v>25</v>
      </c>
      <c r="E20" s="19">
        <f>IF('Boletins Nuppa Site'!H20&lt;&gt;0,'Boletins Nuppa Site'!H20,"NULL")</f>
        <v>20</v>
      </c>
      <c r="F20" s="19">
        <f>IF('Boletins Nuppa Site'!I20&lt;&gt;0,'Boletins Nuppa Site'!I20,"NULL")</f>
        <v>25</v>
      </c>
      <c r="G20" s="1" t="str">
        <f>IF('Boletins Nuppa Site'!J20&lt;&gt;0,'Boletins Nuppa Site'!J20,"NULL")</f>
        <v>22.5</v>
      </c>
      <c r="H20" s="1" t="str">
        <f>IF('Boletins Nuppa Site'!K20&lt;&gt;0,'Boletins Nuppa Site'!K20,"NULL")</f>
        <v>22.5</v>
      </c>
      <c r="J20" s="1" t="str">
        <f t="shared" si="0"/>
        <v>INSERT INTO COTACAO (blt_id, pap_id, cot_prc_comum, cot_prc_min, cot_prc_max, cot_prc_med, cot_prc_mediana) VALUES (1, 19, 25, 20, 25, 22.5, 22.5);</v>
      </c>
    </row>
    <row r="21" spans="1:10" x14ac:dyDescent="0.3">
      <c r="A21" s="1">
        <v>20</v>
      </c>
      <c r="B21" s="1">
        <v>1</v>
      </c>
      <c r="C21" s="1">
        <v>21</v>
      </c>
      <c r="D21" s="19">
        <f>IF('Boletins Nuppa Site'!G21&lt;&gt;0,'Boletins Nuppa Site'!G21,"NULL")</f>
        <v>60</v>
      </c>
      <c r="E21" s="19">
        <f>IF('Boletins Nuppa Site'!H21&lt;&gt;0,'Boletins Nuppa Site'!H21,"NULL")</f>
        <v>50</v>
      </c>
      <c r="F21" s="19">
        <f>IF('Boletins Nuppa Site'!I21&lt;&gt;0,'Boletins Nuppa Site'!I21,"NULL")</f>
        <v>60</v>
      </c>
      <c r="G21" s="1" t="str">
        <f>IF('Boletins Nuppa Site'!J21&lt;&gt;0,'Boletins Nuppa Site'!J21,"NULL")</f>
        <v>57.5</v>
      </c>
      <c r="H21" s="19">
        <f>IF('Boletins Nuppa Site'!K21&lt;&gt;0,'Boletins Nuppa Site'!K21,"NULL")</f>
        <v>60</v>
      </c>
      <c r="J21" s="1" t="str">
        <f t="shared" si="0"/>
        <v>INSERT INTO COTACAO (blt_id, pap_id, cot_prc_comum, cot_prc_min, cot_prc_max, cot_prc_med, cot_prc_mediana) VALUES (1, 21, 60, 50, 60, 57.5, 60);</v>
      </c>
    </row>
    <row r="22" spans="1:10" x14ac:dyDescent="0.3">
      <c r="A22" s="1">
        <v>21</v>
      </c>
      <c r="B22" s="1">
        <v>1</v>
      </c>
      <c r="C22" s="1">
        <v>22</v>
      </c>
      <c r="D22" s="19">
        <f>IF('Boletins Nuppa Site'!G22&lt;&gt;0,'Boletins Nuppa Site'!G22,"NULL")</f>
        <v>50</v>
      </c>
      <c r="E22" s="19">
        <f>IF('Boletins Nuppa Site'!H22&lt;&gt;0,'Boletins Nuppa Site'!H22,"NULL")</f>
        <v>50</v>
      </c>
      <c r="F22" s="19">
        <f>IF('Boletins Nuppa Site'!I22&lt;&gt;0,'Boletins Nuppa Site'!I22,"NULL")</f>
        <v>65</v>
      </c>
      <c r="G22" s="19">
        <f>IF('Boletins Nuppa Site'!J22&lt;&gt;0,'Boletins Nuppa Site'!J22,"NULL")</f>
        <v>55</v>
      </c>
      <c r="H22" s="19">
        <f>IF('Boletins Nuppa Site'!K22&lt;&gt;0,'Boletins Nuppa Site'!K22,"NULL")</f>
        <v>50</v>
      </c>
      <c r="J22" s="1" t="str">
        <f t="shared" si="0"/>
        <v>INSERT INTO COTACAO (blt_id, pap_id, cot_prc_comum, cot_prc_min, cot_prc_max, cot_prc_med, cot_prc_mediana) VALUES (1, 22, 50, 50, 65, 55, 50);</v>
      </c>
    </row>
    <row r="23" spans="1:10" x14ac:dyDescent="0.3">
      <c r="A23" s="1">
        <v>22</v>
      </c>
      <c r="B23" s="1">
        <v>1</v>
      </c>
      <c r="C23" s="1">
        <v>23</v>
      </c>
      <c r="D23" s="19">
        <f>IF('Boletins Nuppa Site'!G23&lt;&gt;0,'Boletins Nuppa Site'!G23,"NULL")</f>
        <v>40</v>
      </c>
      <c r="E23" s="19">
        <f>IF('Boletins Nuppa Site'!H23&lt;&gt;0,'Boletins Nuppa Site'!H23,"NULL")</f>
        <v>40</v>
      </c>
      <c r="F23" s="19">
        <f>IF('Boletins Nuppa Site'!I23&lt;&gt;0,'Boletins Nuppa Site'!I23,"NULL")</f>
        <v>50</v>
      </c>
      <c r="G23" s="1" t="str">
        <f>IF('Boletins Nuppa Site'!J23&lt;&gt;0,'Boletins Nuppa Site'!J23,"NULL")</f>
        <v>44.17</v>
      </c>
      <c r="H23" s="1" t="str">
        <f>IF('Boletins Nuppa Site'!K23&lt;&gt;0,'Boletins Nuppa Site'!K23,"NULL")</f>
        <v>42.5</v>
      </c>
      <c r="J23" s="1" t="str">
        <f t="shared" si="0"/>
        <v>INSERT INTO COTACAO (blt_id, pap_id, cot_prc_comum, cot_prc_min, cot_prc_max, cot_prc_med, cot_prc_mediana) VALUES (1, 23, 40, 40, 50, 44.17, 42.5);</v>
      </c>
    </row>
    <row r="24" spans="1:10" x14ac:dyDescent="0.3">
      <c r="A24" s="1">
        <v>23</v>
      </c>
      <c r="B24" s="1">
        <v>1</v>
      </c>
      <c r="C24" s="1">
        <v>24</v>
      </c>
      <c r="D24" s="1" t="str">
        <f>IF('Boletins Nuppa Site'!G24&lt;&gt;0,'Boletins Nuppa Site'!G24,"NULL")</f>
        <v>NULL</v>
      </c>
      <c r="E24" s="1" t="str">
        <f>IF('Boletins Nuppa Site'!H24&lt;&gt;0,'Boletins Nuppa Site'!H24,"NULL")</f>
        <v>NULL</v>
      </c>
      <c r="F24" s="1" t="str">
        <f>IF('Boletins Nuppa Site'!I24&lt;&gt;0,'Boletins Nuppa Site'!I24,"NULL")</f>
        <v>NULL</v>
      </c>
      <c r="G24" s="1" t="str">
        <f>IF('Boletins Nuppa Site'!J24&lt;&gt;0,'Boletins Nuppa Site'!J24,"NULL")</f>
        <v>NULL</v>
      </c>
      <c r="H24" s="1" t="str">
        <f>IF('Boletins Nuppa Site'!K24&lt;&gt;0,'Boletins Nuppa Site'!K24,"NULL")</f>
        <v>NULL</v>
      </c>
      <c r="J24" s="1" t="str">
        <f t="shared" si="0"/>
        <v>INSERT INTO COTACAO (blt_id, pap_id, cot_prc_comum, cot_prc_min, cot_prc_max, cot_prc_med, cot_prc_mediana) VALUES (1, 24, NULL, NULL, NULL, NULL, NULL);</v>
      </c>
    </row>
    <row r="25" spans="1:10" x14ac:dyDescent="0.3">
      <c r="A25" s="1">
        <v>24</v>
      </c>
      <c r="B25" s="1">
        <v>1</v>
      </c>
      <c r="C25" s="1">
        <v>25</v>
      </c>
      <c r="D25" s="1" t="str">
        <f>IF('Boletins Nuppa Site'!G25&lt;&gt;0,'Boletins Nuppa Site'!G25,"NULL")</f>
        <v>NULL</v>
      </c>
      <c r="E25" s="19">
        <f>IF('Boletins Nuppa Site'!H25&lt;&gt;0,'Boletins Nuppa Site'!H25,"NULL")</f>
        <v>48</v>
      </c>
      <c r="F25" s="19">
        <f>IF('Boletins Nuppa Site'!I25&lt;&gt;0,'Boletins Nuppa Site'!I25,"NULL")</f>
        <v>60</v>
      </c>
      <c r="G25" s="1" t="str">
        <f>IF('Boletins Nuppa Site'!J25&lt;&gt;0,'Boletins Nuppa Site'!J25,"NULL")</f>
        <v>52.67</v>
      </c>
      <c r="H25" s="19">
        <f>IF('Boletins Nuppa Site'!K25&lt;&gt;0,'Boletins Nuppa Site'!K25,"NULL")</f>
        <v>50</v>
      </c>
      <c r="J25" s="1" t="str">
        <f t="shared" si="0"/>
        <v>INSERT INTO COTACAO (blt_id, pap_id, cot_prc_comum, cot_prc_min, cot_prc_max, cot_prc_med, cot_prc_mediana) VALUES (1, 25, NULL, 48, 60, 52.67, 50);</v>
      </c>
    </row>
    <row r="26" spans="1:10" x14ac:dyDescent="0.3">
      <c r="A26" s="1">
        <v>25</v>
      </c>
      <c r="B26" s="1">
        <v>1</v>
      </c>
      <c r="C26" s="1">
        <v>26</v>
      </c>
      <c r="D26" s="19">
        <f>IF('Boletins Nuppa Site'!G26&lt;&gt;0,'Boletins Nuppa Site'!G26,"NULL")</f>
        <v>55</v>
      </c>
      <c r="E26" s="19">
        <f>IF('Boletins Nuppa Site'!H26&lt;&gt;0,'Boletins Nuppa Site'!H26,"NULL")</f>
        <v>50</v>
      </c>
      <c r="F26" s="19">
        <f>IF('Boletins Nuppa Site'!I26&lt;&gt;0,'Boletins Nuppa Site'!I26,"NULL")</f>
        <v>60</v>
      </c>
      <c r="G26" s="19">
        <f>IF('Boletins Nuppa Site'!J26&lt;&gt;0,'Boletins Nuppa Site'!J26,"NULL")</f>
        <v>55</v>
      </c>
      <c r="H26" s="19">
        <f>IF('Boletins Nuppa Site'!K26&lt;&gt;0,'Boletins Nuppa Site'!K26,"NULL")</f>
        <v>55</v>
      </c>
      <c r="J26" s="1" t="str">
        <f t="shared" si="0"/>
        <v>INSERT INTO COTACAO (blt_id, pap_id, cot_prc_comum, cot_prc_min, cot_prc_max, cot_prc_med, cot_prc_mediana) VALUES (1, 26, 55, 50, 60, 55, 55);</v>
      </c>
    </row>
    <row r="27" spans="1:10" x14ac:dyDescent="0.3">
      <c r="A27" s="1">
        <v>26</v>
      </c>
      <c r="B27" s="1">
        <v>1</v>
      </c>
      <c r="C27" s="1">
        <v>27</v>
      </c>
      <c r="D27" s="19">
        <f>IF('Boletins Nuppa Site'!G27&lt;&gt;0,'Boletins Nuppa Site'!G27,"NULL")</f>
        <v>40</v>
      </c>
      <c r="E27" s="19">
        <f>IF('Boletins Nuppa Site'!H27&lt;&gt;0,'Boletins Nuppa Site'!H27,"NULL")</f>
        <v>30</v>
      </c>
      <c r="F27" s="19">
        <f>IF('Boletins Nuppa Site'!I27&lt;&gt;0,'Boletins Nuppa Site'!I27,"NULL")</f>
        <v>50</v>
      </c>
      <c r="G27" s="19">
        <f>IF('Boletins Nuppa Site'!J27&lt;&gt;0,'Boletins Nuppa Site'!J27,"NULL")</f>
        <v>40</v>
      </c>
      <c r="H27" s="19">
        <f>IF('Boletins Nuppa Site'!K27&lt;&gt;0,'Boletins Nuppa Site'!K27,"NULL")</f>
        <v>40</v>
      </c>
      <c r="J27" s="1" t="str">
        <f t="shared" si="0"/>
        <v>INSERT INTO COTACAO (blt_id, pap_id, cot_prc_comum, cot_prc_min, cot_prc_max, cot_prc_med, cot_prc_mediana) VALUES (1, 27, 40, 30, 50, 40, 40);</v>
      </c>
    </row>
    <row r="28" spans="1:10" x14ac:dyDescent="0.3">
      <c r="A28" s="1">
        <v>27</v>
      </c>
      <c r="B28" s="1">
        <v>1</v>
      </c>
      <c r="C28" s="1">
        <v>28</v>
      </c>
      <c r="D28" s="19">
        <f>IF('Boletins Nuppa Site'!G28&lt;&gt;0,'Boletins Nuppa Site'!G28,"NULL")</f>
        <v>50</v>
      </c>
      <c r="E28" s="19">
        <f>IF('Boletins Nuppa Site'!H28&lt;&gt;0,'Boletins Nuppa Site'!H28,"NULL")</f>
        <v>50</v>
      </c>
      <c r="F28" s="19">
        <f>IF('Boletins Nuppa Site'!I28&lt;&gt;0,'Boletins Nuppa Site'!I28,"NULL")</f>
        <v>70</v>
      </c>
      <c r="G28" s="1" t="str">
        <f>IF('Boletins Nuppa Site'!J28&lt;&gt;0,'Boletins Nuppa Site'!J28,"NULL")</f>
        <v>56.67</v>
      </c>
      <c r="H28" s="19">
        <f>IF('Boletins Nuppa Site'!K28&lt;&gt;0,'Boletins Nuppa Site'!K28,"NULL")</f>
        <v>50</v>
      </c>
      <c r="J28" s="1" t="str">
        <f t="shared" si="0"/>
        <v>INSERT INTO COTACAO (blt_id, pap_id, cot_prc_comum, cot_prc_min, cot_prc_max, cot_prc_med, cot_prc_mediana) VALUES (1, 28, 50, 50, 70, 56.67, 50);</v>
      </c>
    </row>
    <row r="29" spans="1:10" x14ac:dyDescent="0.3">
      <c r="A29" s="1">
        <v>28</v>
      </c>
      <c r="B29" s="1">
        <v>1</v>
      </c>
      <c r="C29" s="1">
        <v>29</v>
      </c>
      <c r="D29" s="1" t="str">
        <f>IF('Boletins Nuppa Site'!G29&lt;&gt;0,'Boletins Nuppa Site'!G29,"NULL")</f>
        <v>NULL</v>
      </c>
      <c r="E29" s="1" t="str">
        <f>IF('Boletins Nuppa Site'!H29&lt;&gt;0,'Boletins Nuppa Site'!H29,"NULL")</f>
        <v>NULL</v>
      </c>
      <c r="F29" s="1" t="str">
        <f>IF('Boletins Nuppa Site'!I29&lt;&gt;0,'Boletins Nuppa Site'!I29,"NULL")</f>
        <v>NULL</v>
      </c>
      <c r="G29" s="1" t="str">
        <f>IF('Boletins Nuppa Site'!J29&lt;&gt;0,'Boletins Nuppa Site'!J29,"NULL")</f>
        <v>NULL</v>
      </c>
      <c r="H29" s="1" t="str">
        <f>IF('Boletins Nuppa Site'!K29&lt;&gt;0,'Boletins Nuppa Site'!K29,"NULL")</f>
        <v>NULL</v>
      </c>
      <c r="J29" s="1" t="str">
        <f t="shared" si="0"/>
        <v>INSERT INTO COTACAO (blt_id, pap_id, cot_prc_comum, cot_prc_min, cot_prc_max, cot_prc_med, cot_prc_mediana) VALUES (1, 29, NULL, NULL, NULL, NULL, NULL);</v>
      </c>
    </row>
    <row r="30" spans="1:10" x14ac:dyDescent="0.3">
      <c r="A30" s="1">
        <v>29</v>
      </c>
      <c r="B30" s="1">
        <v>1</v>
      </c>
      <c r="C30" s="1">
        <v>30</v>
      </c>
      <c r="D30" s="19">
        <f>IF('Boletins Nuppa Site'!G30&lt;&gt;0,'Boletins Nuppa Site'!G30,"NULL")</f>
        <v>50</v>
      </c>
      <c r="E30" s="19">
        <f>IF('Boletins Nuppa Site'!H30&lt;&gt;0,'Boletins Nuppa Site'!H30,"NULL")</f>
        <v>40</v>
      </c>
      <c r="F30" s="19">
        <f>IF('Boletins Nuppa Site'!I30&lt;&gt;0,'Boletins Nuppa Site'!I30,"NULL")</f>
        <v>60</v>
      </c>
      <c r="G30" s="19">
        <f>IF('Boletins Nuppa Site'!J30&lt;&gt;0,'Boletins Nuppa Site'!J30,"NULL")</f>
        <v>50</v>
      </c>
      <c r="H30" s="19">
        <f>IF('Boletins Nuppa Site'!K30&lt;&gt;0,'Boletins Nuppa Site'!K30,"NULL")</f>
        <v>50</v>
      </c>
      <c r="J30" s="1" t="str">
        <f t="shared" si="0"/>
        <v>INSERT INTO COTACAO (blt_id, pap_id, cot_prc_comum, cot_prc_min, cot_prc_max, cot_prc_med, cot_prc_mediana) VALUES (1, 30, 50, 40, 60, 50, 50);</v>
      </c>
    </row>
    <row r="31" spans="1:10" x14ac:dyDescent="0.3">
      <c r="A31" s="1">
        <v>30</v>
      </c>
      <c r="B31" s="1">
        <v>1</v>
      </c>
      <c r="C31" s="1">
        <v>31</v>
      </c>
      <c r="D31" s="19">
        <f>IF('Boletins Nuppa Site'!G31&lt;&gt;0,'Boletins Nuppa Site'!G31,"NULL")</f>
        <v>50</v>
      </c>
      <c r="E31" s="19">
        <f>IF('Boletins Nuppa Site'!H31&lt;&gt;0,'Boletins Nuppa Site'!H31,"NULL")</f>
        <v>50</v>
      </c>
      <c r="F31" s="19">
        <f>IF('Boletins Nuppa Site'!I31&lt;&gt;0,'Boletins Nuppa Site'!I31,"NULL")</f>
        <v>60</v>
      </c>
      <c r="G31" s="19">
        <f>IF('Boletins Nuppa Site'!J31&lt;&gt;0,'Boletins Nuppa Site'!J31,"NULL")</f>
        <v>55</v>
      </c>
      <c r="H31" s="19">
        <f>IF('Boletins Nuppa Site'!K31&lt;&gt;0,'Boletins Nuppa Site'!K31,"NULL")</f>
        <v>55</v>
      </c>
      <c r="J31" s="1" t="str">
        <f t="shared" si="0"/>
        <v>INSERT INTO COTACAO (blt_id, pap_id, cot_prc_comum, cot_prc_min, cot_prc_max, cot_prc_med, cot_prc_mediana) VALUES (1, 31, 50, 50, 60, 55, 55);</v>
      </c>
    </row>
    <row r="32" spans="1:10" x14ac:dyDescent="0.3">
      <c r="A32" s="1">
        <v>31</v>
      </c>
      <c r="B32" s="1">
        <v>1</v>
      </c>
      <c r="C32" s="1">
        <v>32</v>
      </c>
      <c r="D32" s="1" t="str">
        <f>IF('Boletins Nuppa Site'!G32&lt;&gt;0,'Boletins Nuppa Site'!G32,"NULL")</f>
        <v>NULL</v>
      </c>
      <c r="E32" s="19">
        <f>IF('Boletins Nuppa Site'!H32&lt;&gt;0,'Boletins Nuppa Site'!H32,"NULL")</f>
        <v>30</v>
      </c>
      <c r="F32" s="19">
        <f>IF('Boletins Nuppa Site'!I32&lt;&gt;0,'Boletins Nuppa Site'!I32,"NULL")</f>
        <v>50</v>
      </c>
      <c r="G32" s="19">
        <f>IF('Boletins Nuppa Site'!J32&lt;&gt;0,'Boletins Nuppa Site'!J32,"NULL")</f>
        <v>40</v>
      </c>
      <c r="H32" s="19">
        <f>IF('Boletins Nuppa Site'!K32&lt;&gt;0,'Boletins Nuppa Site'!K32,"NULL")</f>
        <v>40</v>
      </c>
      <c r="J32" s="1" t="str">
        <f t="shared" si="0"/>
        <v>INSERT INTO COTACAO (blt_id, pap_id, cot_prc_comum, cot_prc_min, cot_prc_max, cot_prc_med, cot_prc_mediana) VALUES (1, 32, NULL, 30, 50, 40, 40);</v>
      </c>
    </row>
    <row r="33" spans="1:10" x14ac:dyDescent="0.3">
      <c r="A33" s="1">
        <v>32</v>
      </c>
      <c r="B33" s="1">
        <v>1</v>
      </c>
      <c r="C33" s="1">
        <v>33</v>
      </c>
      <c r="D33" s="19">
        <f>IF('Boletins Nuppa Site'!G33&lt;&gt;0,'Boletins Nuppa Site'!G33,"NULL")</f>
        <v>70</v>
      </c>
      <c r="E33" s="19">
        <f>IF('Boletins Nuppa Site'!H33&lt;&gt;0,'Boletins Nuppa Site'!H33,"NULL")</f>
        <v>60</v>
      </c>
      <c r="F33" s="19">
        <f>IF('Boletins Nuppa Site'!I33&lt;&gt;0,'Boletins Nuppa Site'!I33,"NULL")</f>
        <v>80</v>
      </c>
      <c r="G33" s="1" t="str">
        <f>IF('Boletins Nuppa Site'!J33&lt;&gt;0,'Boletins Nuppa Site'!J33,"NULL")</f>
        <v>68.33</v>
      </c>
      <c r="H33" s="19">
        <f>IF('Boletins Nuppa Site'!K33&lt;&gt;0,'Boletins Nuppa Site'!K33,"NULL")</f>
        <v>70</v>
      </c>
      <c r="J33" s="1" t="str">
        <f t="shared" si="0"/>
        <v>INSERT INTO COTACAO (blt_id, pap_id, cot_prc_comum, cot_prc_min, cot_prc_max, cot_prc_med, cot_prc_mediana) VALUES (1, 33, 70, 60, 80, 68.33, 70);</v>
      </c>
    </row>
    <row r="34" spans="1:10" x14ac:dyDescent="0.3">
      <c r="A34" s="1">
        <v>33</v>
      </c>
      <c r="B34" s="1">
        <v>1</v>
      </c>
      <c r="C34" s="1">
        <v>34</v>
      </c>
      <c r="D34" s="19">
        <f>IF('Boletins Nuppa Site'!G34&lt;&gt;0,'Boletins Nuppa Site'!G34,"NULL")</f>
        <v>100</v>
      </c>
      <c r="E34" s="19">
        <f>IF('Boletins Nuppa Site'!H34&lt;&gt;0,'Boletins Nuppa Site'!H34,"NULL")</f>
        <v>90</v>
      </c>
      <c r="F34" s="19">
        <f>IF('Boletins Nuppa Site'!I34&lt;&gt;0,'Boletins Nuppa Site'!I34,"NULL")</f>
        <v>110</v>
      </c>
      <c r="G34" s="19">
        <f>IF('Boletins Nuppa Site'!J34&lt;&gt;0,'Boletins Nuppa Site'!J34,"NULL")</f>
        <v>100</v>
      </c>
      <c r="H34" s="19">
        <f>IF('Boletins Nuppa Site'!K34&lt;&gt;0,'Boletins Nuppa Site'!K34,"NULL")</f>
        <v>100</v>
      </c>
      <c r="J34" s="1" t="str">
        <f t="shared" si="0"/>
        <v>INSERT INTO COTACAO (blt_id, pap_id, cot_prc_comum, cot_prc_min, cot_prc_max, cot_prc_med, cot_prc_mediana) VALUES (1, 34, 100, 90, 110, 100, 100);</v>
      </c>
    </row>
    <row r="35" spans="1:10" x14ac:dyDescent="0.3">
      <c r="A35" s="1">
        <v>34</v>
      </c>
      <c r="B35" s="1">
        <v>1</v>
      </c>
      <c r="C35" s="1">
        <v>35</v>
      </c>
      <c r="D35" s="19">
        <f>IF('Boletins Nuppa Site'!G35&lt;&gt;0,'Boletins Nuppa Site'!G35,"NULL")</f>
        <v>80</v>
      </c>
      <c r="E35" s="19">
        <f>IF('Boletins Nuppa Site'!H35&lt;&gt;0,'Boletins Nuppa Site'!H35,"NULL")</f>
        <v>70</v>
      </c>
      <c r="F35" s="19">
        <f>IF('Boletins Nuppa Site'!I35&lt;&gt;0,'Boletins Nuppa Site'!I35,"NULL")</f>
        <v>100</v>
      </c>
      <c r="G35" s="19">
        <f>IF('Boletins Nuppa Site'!J35&lt;&gt;0,'Boletins Nuppa Site'!J35,"NULL")</f>
        <v>83</v>
      </c>
      <c r="H35" s="19">
        <f>IF('Boletins Nuppa Site'!K35&lt;&gt;0,'Boletins Nuppa Site'!K35,"NULL")</f>
        <v>80</v>
      </c>
      <c r="J35" s="1" t="str">
        <f t="shared" si="0"/>
        <v>INSERT INTO COTACAO (blt_id, pap_id, cot_prc_comum, cot_prc_min, cot_prc_max, cot_prc_med, cot_prc_mediana) VALUES (1, 35, 80, 70, 100, 83, 80);</v>
      </c>
    </row>
    <row r="36" spans="1:10" x14ac:dyDescent="0.3">
      <c r="A36" s="1">
        <v>35</v>
      </c>
      <c r="B36" s="1">
        <v>1</v>
      </c>
      <c r="C36" s="1">
        <v>36</v>
      </c>
      <c r="D36" s="1" t="str">
        <f>IF('Boletins Nuppa Site'!G36&lt;&gt;0,'Boletins Nuppa Site'!G36,"NULL")</f>
        <v>NULL</v>
      </c>
      <c r="E36" s="1" t="str">
        <f>IF('Boletins Nuppa Site'!H36&lt;&gt;0,'Boletins Nuppa Site'!H36,"NULL")</f>
        <v>NULL</v>
      </c>
      <c r="F36" s="1" t="str">
        <f>IF('Boletins Nuppa Site'!I36&lt;&gt;0,'Boletins Nuppa Site'!I36,"NULL")</f>
        <v>NULL</v>
      </c>
      <c r="G36" s="1" t="str">
        <f>IF('Boletins Nuppa Site'!J36&lt;&gt;0,'Boletins Nuppa Site'!J36,"NULL")</f>
        <v>NULL</v>
      </c>
      <c r="H36" s="1" t="str">
        <f>IF('Boletins Nuppa Site'!K36&lt;&gt;0,'Boletins Nuppa Site'!K36,"NULL")</f>
        <v>NULL</v>
      </c>
      <c r="J36" s="1" t="str">
        <f t="shared" si="0"/>
        <v>INSERT INTO COTACAO (blt_id, pap_id, cot_prc_comum, cot_prc_min, cot_prc_max, cot_prc_med, cot_prc_mediana) VALUES (1, 36, NULL, NULL, NULL, NULL, NULL);</v>
      </c>
    </row>
    <row r="37" spans="1:10" x14ac:dyDescent="0.3">
      <c r="A37" s="1">
        <v>36</v>
      </c>
      <c r="B37" s="1">
        <v>1</v>
      </c>
      <c r="C37" s="1">
        <v>37</v>
      </c>
      <c r="D37" s="1" t="str">
        <f>IF('Boletins Nuppa Site'!G37&lt;&gt;0,'Boletins Nuppa Site'!G37,"NULL")</f>
        <v>NULL</v>
      </c>
      <c r="E37" s="1" t="str">
        <f>IF('Boletins Nuppa Site'!H37&lt;&gt;0,'Boletins Nuppa Site'!H37,"NULL")</f>
        <v>NULL</v>
      </c>
      <c r="F37" s="1" t="str">
        <f>IF('Boletins Nuppa Site'!I37&lt;&gt;0,'Boletins Nuppa Site'!I37,"NULL")</f>
        <v>NULL</v>
      </c>
      <c r="G37" s="1" t="str">
        <f>IF('Boletins Nuppa Site'!J37&lt;&gt;0,'Boletins Nuppa Site'!J37,"NULL")</f>
        <v>NULL</v>
      </c>
      <c r="H37" s="1" t="str">
        <f>IF('Boletins Nuppa Site'!K37&lt;&gt;0,'Boletins Nuppa Site'!K37,"NULL")</f>
        <v>NULL</v>
      </c>
      <c r="J37" s="1" t="str">
        <f t="shared" si="0"/>
        <v>INSERT INTO COTACAO (blt_id, pap_id, cot_prc_comum, cot_prc_min, cot_prc_max, cot_prc_med, cot_prc_mediana) VALUES (1, 37, NULL, NULL, NULL, NULL, NULL);</v>
      </c>
    </row>
    <row r="38" spans="1:10" x14ac:dyDescent="0.3">
      <c r="A38" s="1">
        <v>37</v>
      </c>
      <c r="B38" s="1">
        <v>1</v>
      </c>
      <c r="C38" s="1">
        <v>38</v>
      </c>
      <c r="D38" s="1" t="str">
        <f>IF('Boletins Nuppa Site'!G38&lt;&gt;0,'Boletins Nuppa Site'!G38,"NULL")</f>
        <v>NULL</v>
      </c>
      <c r="E38" s="1" t="str">
        <f>IF('Boletins Nuppa Site'!H38&lt;&gt;0,'Boletins Nuppa Site'!H38,"NULL")</f>
        <v>NULL</v>
      </c>
      <c r="F38" s="1" t="str">
        <f>IF('Boletins Nuppa Site'!I38&lt;&gt;0,'Boletins Nuppa Site'!I38,"NULL")</f>
        <v>NULL</v>
      </c>
      <c r="G38" s="1" t="str">
        <f>IF('Boletins Nuppa Site'!J38&lt;&gt;0,'Boletins Nuppa Site'!J38,"NULL")</f>
        <v>NULL</v>
      </c>
      <c r="H38" s="1" t="str">
        <f>IF('Boletins Nuppa Site'!K38&lt;&gt;0,'Boletins Nuppa Site'!K38,"NULL")</f>
        <v>NULL</v>
      </c>
      <c r="J38" s="1" t="str">
        <f t="shared" si="0"/>
        <v>INSERT INTO COTACAO (blt_id, pap_id, cot_prc_comum, cot_prc_min, cot_prc_max, cot_prc_med, cot_prc_mediana) VALUES (1, 38, NULL, NULL, NULL, NULL, NULL);</v>
      </c>
    </row>
    <row r="39" spans="1:10" x14ac:dyDescent="0.3">
      <c r="A39" s="1">
        <v>38</v>
      </c>
      <c r="B39" s="1">
        <v>1</v>
      </c>
      <c r="C39" s="1">
        <v>39</v>
      </c>
      <c r="D39" s="1" t="str">
        <f>IF('Boletins Nuppa Site'!G39&lt;&gt;0,'Boletins Nuppa Site'!G39,"NULL")</f>
        <v>NULL</v>
      </c>
      <c r="E39" s="1" t="str">
        <f>IF('Boletins Nuppa Site'!H39&lt;&gt;0,'Boletins Nuppa Site'!H39,"NULL")</f>
        <v>NULL</v>
      </c>
      <c r="F39" s="1" t="str">
        <f>IF('Boletins Nuppa Site'!I39&lt;&gt;0,'Boletins Nuppa Site'!I39,"NULL")</f>
        <v>NULL</v>
      </c>
      <c r="G39" s="1" t="str">
        <f>IF('Boletins Nuppa Site'!J39&lt;&gt;0,'Boletins Nuppa Site'!J39,"NULL")</f>
        <v>NULL</v>
      </c>
      <c r="H39" s="1" t="str">
        <f>IF('Boletins Nuppa Site'!K39&lt;&gt;0,'Boletins Nuppa Site'!K39,"NULL")</f>
        <v>NULL</v>
      </c>
      <c r="J39" s="1" t="str">
        <f t="shared" si="0"/>
        <v>INSERT INTO COTACAO (blt_id, pap_id, cot_prc_comum, cot_prc_min, cot_prc_max, cot_prc_med, cot_prc_mediana) VALUES (1, 39, NULL, NULL, NULL, NULL, NULL);</v>
      </c>
    </row>
    <row r="40" spans="1:10" x14ac:dyDescent="0.3">
      <c r="A40" s="1">
        <v>39</v>
      </c>
      <c r="B40" s="1">
        <v>1</v>
      </c>
      <c r="C40" s="1">
        <v>40</v>
      </c>
      <c r="D40" s="1" t="str">
        <f>IF('Boletins Nuppa Site'!G40&lt;&gt;0,'Boletins Nuppa Site'!G40,"NULL")</f>
        <v>NULL</v>
      </c>
      <c r="E40" s="1" t="str">
        <f>IF('Boletins Nuppa Site'!H40&lt;&gt;0,'Boletins Nuppa Site'!H40,"NULL")</f>
        <v>NULL</v>
      </c>
      <c r="F40" s="1" t="str">
        <f>IF('Boletins Nuppa Site'!I40&lt;&gt;0,'Boletins Nuppa Site'!I40,"NULL")</f>
        <v>NULL</v>
      </c>
      <c r="G40" s="1" t="str">
        <f>IF('Boletins Nuppa Site'!J40&lt;&gt;0,'Boletins Nuppa Site'!J40,"NULL")</f>
        <v>NULL</v>
      </c>
      <c r="H40" s="1" t="str">
        <f>IF('Boletins Nuppa Site'!K40&lt;&gt;0,'Boletins Nuppa Site'!K40,"NULL")</f>
        <v>NULL</v>
      </c>
      <c r="J40" s="1" t="str">
        <f t="shared" si="0"/>
        <v>INSERT INTO COTACAO (blt_id, pap_id, cot_prc_comum, cot_prc_min, cot_prc_max, cot_prc_med, cot_prc_mediana) VALUES (1, 40, NULL, NULL, NULL, NULL, NULL);</v>
      </c>
    </row>
    <row r="41" spans="1:10" x14ac:dyDescent="0.3">
      <c r="A41" s="1">
        <v>40</v>
      </c>
      <c r="B41" s="1">
        <v>2</v>
      </c>
      <c r="C41" s="1">
        <v>1</v>
      </c>
      <c r="D41" s="19">
        <f>IF('Boletins Nuppa Site'!G41&lt;&gt;0,'Boletins Nuppa Site'!G41,"NULL")</f>
        <v>42</v>
      </c>
      <c r="E41" s="19">
        <f>IF('Boletins Nuppa Site'!H41&lt;&gt;0,'Boletins Nuppa Site'!H41,"NULL")</f>
        <v>42</v>
      </c>
      <c r="F41" s="19">
        <f>IF('Boletins Nuppa Site'!I41&lt;&gt;0,'Boletins Nuppa Site'!I41,"NULL")</f>
        <v>42</v>
      </c>
      <c r="G41" s="19">
        <f>IF('Boletins Nuppa Site'!J41&lt;&gt;0,'Boletins Nuppa Site'!J41,"NULL")</f>
        <v>42</v>
      </c>
      <c r="H41" s="19">
        <f>IF('Boletins Nuppa Site'!K41&lt;&gt;0,'Boletins Nuppa Site'!K41,"NULL")</f>
        <v>42</v>
      </c>
      <c r="J41" s="1" t="str">
        <f t="shared" si="0"/>
        <v>INSERT INTO COTACAO (blt_id, pap_id, cot_prc_comum, cot_prc_min, cot_prc_max, cot_prc_med, cot_prc_mediana) VALUES (2, 1, 42, 42, 42, 42, 42);</v>
      </c>
    </row>
    <row r="42" spans="1:10" x14ac:dyDescent="0.3">
      <c r="A42" s="1">
        <v>41</v>
      </c>
      <c r="B42" s="1">
        <v>2</v>
      </c>
      <c r="C42" s="1">
        <v>2</v>
      </c>
      <c r="D42" s="19">
        <f>IF('Boletins Nuppa Site'!G42&lt;&gt;0,'Boletins Nuppa Site'!G42,"NULL")</f>
        <v>60</v>
      </c>
      <c r="E42" s="19">
        <f>IF('Boletins Nuppa Site'!H42&lt;&gt;0,'Boletins Nuppa Site'!H42,"NULL")</f>
        <v>60</v>
      </c>
      <c r="F42" s="19">
        <f>IF('Boletins Nuppa Site'!I42&lt;&gt;0,'Boletins Nuppa Site'!I42,"NULL")</f>
        <v>60</v>
      </c>
      <c r="G42" s="19">
        <f>IF('Boletins Nuppa Site'!J42&lt;&gt;0,'Boletins Nuppa Site'!J42,"NULL")</f>
        <v>60</v>
      </c>
      <c r="H42" s="19">
        <f>IF('Boletins Nuppa Site'!K42&lt;&gt;0,'Boletins Nuppa Site'!K42,"NULL")</f>
        <v>60</v>
      </c>
      <c r="J42" s="1" t="str">
        <f t="shared" si="0"/>
        <v>INSERT INTO COTACAO (blt_id, pap_id, cot_prc_comum, cot_prc_min, cot_prc_max, cot_prc_med, cot_prc_mediana) VALUES (2, 2, 60, 60, 60, 60, 60);</v>
      </c>
    </row>
    <row r="43" spans="1:10" x14ac:dyDescent="0.3">
      <c r="A43" s="1">
        <v>42</v>
      </c>
      <c r="B43" s="1">
        <v>2</v>
      </c>
      <c r="C43" s="1">
        <v>3</v>
      </c>
      <c r="D43" s="19">
        <f>IF('Boletins Nuppa Site'!G43&lt;&gt;0,'Boletins Nuppa Site'!G43,"NULL")</f>
        <v>30</v>
      </c>
      <c r="E43" s="19">
        <f>IF('Boletins Nuppa Site'!H43&lt;&gt;0,'Boletins Nuppa Site'!H43,"NULL")</f>
        <v>30</v>
      </c>
      <c r="F43" s="19">
        <f>IF('Boletins Nuppa Site'!I43&lt;&gt;0,'Boletins Nuppa Site'!I43,"NULL")</f>
        <v>36</v>
      </c>
      <c r="G43" s="19">
        <f>IF('Boletins Nuppa Site'!J43&lt;&gt;0,'Boletins Nuppa Site'!J43,"NULL")</f>
        <v>32</v>
      </c>
      <c r="H43" s="19">
        <f>IF('Boletins Nuppa Site'!K43&lt;&gt;0,'Boletins Nuppa Site'!K43,"NULL")</f>
        <v>30</v>
      </c>
      <c r="J43" s="1" t="str">
        <f t="shared" si="0"/>
        <v>INSERT INTO COTACAO (blt_id, pap_id, cot_prc_comum, cot_prc_min, cot_prc_max, cot_prc_med, cot_prc_mediana) VALUES (2, 3, 30, 30, 36, 32, 30);</v>
      </c>
    </row>
    <row r="44" spans="1:10" x14ac:dyDescent="0.3">
      <c r="A44" s="1">
        <v>43</v>
      </c>
      <c r="B44" s="1">
        <v>2</v>
      </c>
      <c r="C44" s="1">
        <v>4</v>
      </c>
      <c r="D44" s="19">
        <f>IF('Boletins Nuppa Site'!G44&lt;&gt;0,'Boletins Nuppa Site'!G44,"NULL")</f>
        <v>24</v>
      </c>
      <c r="E44" s="19">
        <f>IF('Boletins Nuppa Site'!H44&lt;&gt;0,'Boletins Nuppa Site'!H44,"NULL")</f>
        <v>18</v>
      </c>
      <c r="F44" s="19">
        <f>IF('Boletins Nuppa Site'!I44&lt;&gt;0,'Boletins Nuppa Site'!I44,"NULL")</f>
        <v>24</v>
      </c>
      <c r="G44" s="1" t="str">
        <f>IF('Boletins Nuppa Site'!J44&lt;&gt;0,'Boletins Nuppa Site'!J44,"NULL")</f>
        <v>21.5</v>
      </c>
      <c r="H44" s="19">
        <f>IF('Boletins Nuppa Site'!K44&lt;&gt;0,'Boletins Nuppa Site'!K44,"NULL")</f>
        <v>22</v>
      </c>
      <c r="J44" s="1" t="str">
        <f t="shared" si="0"/>
        <v>INSERT INTO COTACAO (blt_id, pap_id, cot_prc_comum, cot_prc_min, cot_prc_max, cot_prc_med, cot_prc_mediana) VALUES (2, 4, 24, 18, 24, 21.5, 22);</v>
      </c>
    </row>
    <row r="45" spans="1:10" x14ac:dyDescent="0.3">
      <c r="A45" s="1">
        <v>44</v>
      </c>
      <c r="B45" s="1">
        <v>2</v>
      </c>
      <c r="C45" s="1">
        <v>5</v>
      </c>
      <c r="D45" s="1" t="str">
        <f>IF('Boletins Nuppa Site'!G45&lt;&gt;0,'Boletins Nuppa Site'!G45,"NULL")</f>
        <v>NULL</v>
      </c>
      <c r="E45" s="19">
        <f>IF('Boletins Nuppa Site'!H45&lt;&gt;0,'Boletins Nuppa Site'!H45,"NULL")</f>
        <v>15</v>
      </c>
      <c r="F45" s="19">
        <f>IF('Boletins Nuppa Site'!I45&lt;&gt;0,'Boletins Nuppa Site'!I45,"NULL")</f>
        <v>24</v>
      </c>
      <c r="G45" s="19">
        <f>IF('Boletins Nuppa Site'!J45&lt;&gt;0,'Boletins Nuppa Site'!J45,"NULL")</f>
        <v>19</v>
      </c>
      <c r="H45" s="19">
        <f>IF('Boletins Nuppa Site'!K45&lt;&gt;0,'Boletins Nuppa Site'!K45,"NULL")</f>
        <v>18</v>
      </c>
      <c r="J45" s="1" t="str">
        <f t="shared" si="0"/>
        <v>INSERT INTO COTACAO (blt_id, pap_id, cot_prc_comum, cot_prc_min, cot_prc_max, cot_prc_med, cot_prc_mediana) VALUES (2, 5, NULL, 15, 24, 19, 18);</v>
      </c>
    </row>
    <row r="46" spans="1:10" x14ac:dyDescent="0.3">
      <c r="A46" s="1">
        <v>45</v>
      </c>
      <c r="B46" s="1">
        <v>2</v>
      </c>
      <c r="C46" s="1">
        <v>6</v>
      </c>
      <c r="D46" s="1" t="str">
        <f>IF('Boletins Nuppa Site'!G46&lt;&gt;0,'Boletins Nuppa Site'!G46,"NULL")</f>
        <v>NULL</v>
      </c>
      <c r="E46" s="19">
        <f>IF('Boletins Nuppa Site'!H46&lt;&gt;0,'Boletins Nuppa Site'!H46,"NULL")</f>
        <v>42</v>
      </c>
      <c r="F46" s="19">
        <f>IF('Boletins Nuppa Site'!I46&lt;&gt;0,'Boletins Nuppa Site'!I46,"NULL")</f>
        <v>48</v>
      </c>
      <c r="G46" s="19">
        <f>IF('Boletins Nuppa Site'!J46&lt;&gt;0,'Boletins Nuppa Site'!J46,"NULL")</f>
        <v>45</v>
      </c>
      <c r="H46" s="19">
        <f>IF('Boletins Nuppa Site'!K46&lt;&gt;0,'Boletins Nuppa Site'!K46,"NULL")</f>
        <v>45</v>
      </c>
      <c r="J46" s="1" t="str">
        <f t="shared" si="0"/>
        <v>INSERT INTO COTACAO (blt_id, pap_id, cot_prc_comum, cot_prc_min, cot_prc_max, cot_prc_med, cot_prc_mediana) VALUES (2, 6, NULL, 42, 48, 45, 45);</v>
      </c>
    </row>
    <row r="47" spans="1:10" x14ac:dyDescent="0.3">
      <c r="A47" s="1">
        <v>46</v>
      </c>
      <c r="B47" s="1">
        <v>2</v>
      </c>
      <c r="C47" s="1">
        <v>7</v>
      </c>
      <c r="D47" s="1" t="str">
        <f>IF('Boletins Nuppa Site'!G47&lt;&gt;0,'Boletins Nuppa Site'!G47,"NULL")</f>
        <v>NULL</v>
      </c>
      <c r="E47" s="19">
        <f>IF('Boletins Nuppa Site'!H47&lt;&gt;0,'Boletins Nuppa Site'!H47,"NULL")</f>
        <v>66</v>
      </c>
      <c r="F47" s="19">
        <f>IF('Boletins Nuppa Site'!I47&lt;&gt;0,'Boletins Nuppa Site'!I47,"NULL")</f>
        <v>72</v>
      </c>
      <c r="G47" s="19">
        <f>IF('Boletins Nuppa Site'!J47&lt;&gt;0,'Boletins Nuppa Site'!J47,"NULL")</f>
        <v>69</v>
      </c>
      <c r="H47" s="19">
        <f>IF('Boletins Nuppa Site'!K47&lt;&gt;0,'Boletins Nuppa Site'!K47,"NULL")</f>
        <v>69</v>
      </c>
      <c r="J47" s="1" t="str">
        <f t="shared" si="0"/>
        <v>INSERT INTO COTACAO (blt_id, pap_id, cot_prc_comum, cot_prc_min, cot_prc_max, cot_prc_med, cot_prc_mediana) VALUES (2, 7, NULL, 66, 72, 69, 69);</v>
      </c>
    </row>
    <row r="48" spans="1:10" x14ac:dyDescent="0.3">
      <c r="A48" s="1">
        <v>47</v>
      </c>
      <c r="B48" s="1">
        <v>2</v>
      </c>
      <c r="C48" s="1">
        <v>8</v>
      </c>
      <c r="D48" s="1" t="str">
        <f>IF('Boletins Nuppa Site'!G48&lt;&gt;0,'Boletins Nuppa Site'!G48,"NULL")</f>
        <v>NULL</v>
      </c>
      <c r="E48" s="19">
        <f>IF('Boletins Nuppa Site'!H48&lt;&gt;0,'Boletins Nuppa Site'!H48,"NULL")</f>
        <v>48</v>
      </c>
      <c r="F48" s="19">
        <f>IF('Boletins Nuppa Site'!I48&lt;&gt;0,'Boletins Nuppa Site'!I48,"NULL")</f>
        <v>72</v>
      </c>
      <c r="G48" s="19">
        <f>IF('Boletins Nuppa Site'!J48&lt;&gt;0,'Boletins Nuppa Site'!J48,"NULL")</f>
        <v>60</v>
      </c>
      <c r="H48" s="19">
        <f>IF('Boletins Nuppa Site'!K48&lt;&gt;0,'Boletins Nuppa Site'!K48,"NULL")</f>
        <v>60</v>
      </c>
      <c r="J48" s="1" t="str">
        <f t="shared" si="0"/>
        <v>INSERT INTO COTACAO (blt_id, pap_id, cot_prc_comum, cot_prc_min, cot_prc_max, cot_prc_med, cot_prc_mediana) VALUES (2, 8, NULL, 48, 72, 60, 60);</v>
      </c>
    </row>
    <row r="49" spans="1:10" x14ac:dyDescent="0.3">
      <c r="A49" s="1">
        <v>48</v>
      </c>
      <c r="B49" s="1">
        <v>2</v>
      </c>
      <c r="C49" s="1">
        <v>9</v>
      </c>
      <c r="D49" s="1" t="str">
        <f>IF('Boletins Nuppa Site'!G49&lt;&gt;0,'Boletins Nuppa Site'!G49,"NULL")</f>
        <v>NULL</v>
      </c>
      <c r="E49" s="19">
        <f>IF('Boletins Nuppa Site'!H49&lt;&gt;0,'Boletins Nuppa Site'!H49,"NULL")</f>
        <v>15</v>
      </c>
      <c r="F49" s="19">
        <f>IF('Boletins Nuppa Site'!I49&lt;&gt;0,'Boletins Nuppa Site'!I49,"NULL")</f>
        <v>24</v>
      </c>
      <c r="G49" s="19">
        <f>IF('Boletins Nuppa Site'!J49&lt;&gt;0,'Boletins Nuppa Site'!J49,"NULL")</f>
        <v>19</v>
      </c>
      <c r="H49" s="19">
        <f>IF('Boletins Nuppa Site'!K49&lt;&gt;0,'Boletins Nuppa Site'!K49,"NULL")</f>
        <v>18</v>
      </c>
      <c r="J49" s="1" t="str">
        <f t="shared" si="0"/>
        <v>INSERT INTO COTACAO (blt_id, pap_id, cot_prc_comum, cot_prc_min, cot_prc_max, cot_prc_med, cot_prc_mediana) VALUES (2, 9, NULL, 15, 24, 19, 18);</v>
      </c>
    </row>
    <row r="50" spans="1:10" x14ac:dyDescent="0.3">
      <c r="A50" s="1">
        <v>49</v>
      </c>
      <c r="B50" s="1">
        <v>2</v>
      </c>
      <c r="C50" s="1">
        <v>10</v>
      </c>
      <c r="D50" s="19">
        <f>IF('Boletins Nuppa Site'!G50&lt;&gt;0,'Boletins Nuppa Site'!G50,"NULL")</f>
        <v>60</v>
      </c>
      <c r="E50" s="19">
        <f>IF('Boletins Nuppa Site'!H50&lt;&gt;0,'Boletins Nuppa Site'!H50,"NULL")</f>
        <v>60</v>
      </c>
      <c r="F50" s="19">
        <f>IF('Boletins Nuppa Site'!I50&lt;&gt;0,'Boletins Nuppa Site'!I50,"NULL")</f>
        <v>66</v>
      </c>
      <c r="G50" s="19">
        <f>IF('Boletins Nuppa Site'!J50&lt;&gt;0,'Boletins Nuppa Site'!J50,"NULL")</f>
        <v>62</v>
      </c>
      <c r="H50" s="19">
        <f>IF('Boletins Nuppa Site'!K50&lt;&gt;0,'Boletins Nuppa Site'!K50,"NULL")</f>
        <v>60</v>
      </c>
      <c r="J50" s="1" t="str">
        <f t="shared" si="0"/>
        <v>INSERT INTO COTACAO (blt_id, pap_id, cot_prc_comum, cot_prc_min, cot_prc_max, cot_prc_med, cot_prc_mediana) VALUES (2, 10, 60, 60, 66, 62, 60);</v>
      </c>
    </row>
    <row r="51" spans="1:10" x14ac:dyDescent="0.3">
      <c r="A51" s="1">
        <v>50</v>
      </c>
      <c r="B51" s="1">
        <v>2</v>
      </c>
      <c r="C51" s="1">
        <v>11</v>
      </c>
      <c r="D51" s="1" t="str">
        <f>IF('Boletins Nuppa Site'!G51&lt;&gt;0,'Boletins Nuppa Site'!G51,"NULL")</f>
        <v>NULL</v>
      </c>
      <c r="E51" s="19">
        <f>IF('Boletins Nuppa Site'!H51&lt;&gt;0,'Boletins Nuppa Site'!H51,"NULL")</f>
        <v>15</v>
      </c>
      <c r="F51" s="19">
        <f>IF('Boletins Nuppa Site'!I51&lt;&gt;0,'Boletins Nuppa Site'!I51,"NULL")</f>
        <v>24</v>
      </c>
      <c r="G51" s="19">
        <f>IF('Boletins Nuppa Site'!J51&lt;&gt;0,'Boletins Nuppa Site'!J51,"NULL")</f>
        <v>19</v>
      </c>
      <c r="H51" s="19">
        <f>IF('Boletins Nuppa Site'!K51&lt;&gt;0,'Boletins Nuppa Site'!K51,"NULL")</f>
        <v>18</v>
      </c>
      <c r="J51" s="1" t="str">
        <f t="shared" si="0"/>
        <v>INSERT INTO COTACAO (blt_id, pap_id, cot_prc_comum, cot_prc_min, cot_prc_max, cot_prc_med, cot_prc_mediana) VALUES (2, 11, NULL, 15, 24, 19, 18);</v>
      </c>
    </row>
    <row r="52" spans="1:10" x14ac:dyDescent="0.3">
      <c r="A52" s="1">
        <v>51</v>
      </c>
      <c r="B52" s="1">
        <v>2</v>
      </c>
      <c r="C52" s="1">
        <v>12</v>
      </c>
      <c r="D52" s="1" t="str">
        <f>IF('Boletins Nuppa Site'!G52&lt;&gt;0,'Boletins Nuppa Site'!G52,"NULL")</f>
        <v>NULL</v>
      </c>
      <c r="E52" s="19">
        <f>IF('Boletins Nuppa Site'!H52&lt;&gt;0,'Boletins Nuppa Site'!H52,"NULL")</f>
        <v>54</v>
      </c>
      <c r="F52" s="19">
        <f>IF('Boletins Nuppa Site'!I52&lt;&gt;0,'Boletins Nuppa Site'!I52,"NULL")</f>
        <v>60</v>
      </c>
      <c r="G52" s="19">
        <f>IF('Boletins Nuppa Site'!J52&lt;&gt;0,'Boletins Nuppa Site'!J52,"NULL")</f>
        <v>57</v>
      </c>
      <c r="H52" s="19">
        <f>IF('Boletins Nuppa Site'!K52&lt;&gt;0,'Boletins Nuppa Site'!K52,"NULL")</f>
        <v>57</v>
      </c>
      <c r="J52" s="1" t="str">
        <f t="shared" si="0"/>
        <v>INSERT INTO COTACAO (blt_id, pap_id, cot_prc_comum, cot_prc_min, cot_prc_max, cot_prc_med, cot_prc_mediana) VALUES (2, 12, NULL, 54, 60, 57, 57);</v>
      </c>
    </row>
    <row r="53" spans="1:10" x14ac:dyDescent="0.3">
      <c r="A53" s="1">
        <v>52</v>
      </c>
      <c r="B53" s="1">
        <v>2</v>
      </c>
      <c r="C53" s="1">
        <v>13</v>
      </c>
      <c r="D53" s="1" t="str">
        <f>IF('Boletins Nuppa Site'!G53&lt;&gt;0,'Boletins Nuppa Site'!G53,"NULL")</f>
        <v>NULL</v>
      </c>
      <c r="E53" s="19">
        <f>IF('Boletins Nuppa Site'!H53&lt;&gt;0,'Boletins Nuppa Site'!H53,"NULL")</f>
        <v>54</v>
      </c>
      <c r="F53" s="19">
        <f>IF('Boletins Nuppa Site'!I53&lt;&gt;0,'Boletins Nuppa Site'!I53,"NULL")</f>
        <v>60</v>
      </c>
      <c r="G53" s="19">
        <f>IF('Boletins Nuppa Site'!J53&lt;&gt;0,'Boletins Nuppa Site'!J53,"NULL")</f>
        <v>57</v>
      </c>
      <c r="H53" s="19">
        <f>IF('Boletins Nuppa Site'!K53&lt;&gt;0,'Boletins Nuppa Site'!K53,"NULL")</f>
        <v>57</v>
      </c>
      <c r="J53" s="1" t="str">
        <f t="shared" si="0"/>
        <v>INSERT INTO COTACAO (blt_id, pap_id, cot_prc_comum, cot_prc_min, cot_prc_max, cot_prc_med, cot_prc_mediana) VALUES (2, 13, NULL, 54, 60, 57, 57);</v>
      </c>
    </row>
    <row r="54" spans="1:10" x14ac:dyDescent="0.3">
      <c r="A54" s="1">
        <v>53</v>
      </c>
      <c r="B54" s="1">
        <v>2</v>
      </c>
      <c r="C54" s="1">
        <v>14</v>
      </c>
      <c r="D54" s="1" t="str">
        <f>IF('Boletins Nuppa Site'!G54&lt;&gt;0,'Boletins Nuppa Site'!G54,"NULL")</f>
        <v>NULL</v>
      </c>
      <c r="E54" s="19">
        <f>IF('Boletins Nuppa Site'!H54&lt;&gt;0,'Boletins Nuppa Site'!H54,"NULL")</f>
        <v>30</v>
      </c>
      <c r="F54" s="19">
        <f>IF('Boletins Nuppa Site'!I54&lt;&gt;0,'Boletins Nuppa Site'!I54,"NULL")</f>
        <v>60</v>
      </c>
      <c r="G54" s="19">
        <f>IF('Boletins Nuppa Site'!J54&lt;&gt;0,'Boletins Nuppa Site'!J54,"NULL")</f>
        <v>42</v>
      </c>
      <c r="H54" s="19">
        <f>IF('Boletins Nuppa Site'!K54&lt;&gt;0,'Boletins Nuppa Site'!K54,"NULL")</f>
        <v>36</v>
      </c>
      <c r="J54" s="1" t="str">
        <f t="shared" si="0"/>
        <v>INSERT INTO COTACAO (blt_id, pap_id, cot_prc_comum, cot_prc_min, cot_prc_max, cot_prc_med, cot_prc_mediana) VALUES (2, 14, NULL, 30, 60, 42, 36);</v>
      </c>
    </row>
    <row r="55" spans="1:10" x14ac:dyDescent="0.3">
      <c r="A55" s="1">
        <v>54</v>
      </c>
      <c r="B55" s="1">
        <v>2</v>
      </c>
      <c r="C55" s="1">
        <v>15</v>
      </c>
      <c r="D55" s="1" t="str">
        <f>IF('Boletins Nuppa Site'!G55&lt;&gt;0,'Boletins Nuppa Site'!G55,"NULL")</f>
        <v>NULL</v>
      </c>
      <c r="E55" s="19">
        <f>IF('Boletins Nuppa Site'!H55&lt;&gt;0,'Boletins Nuppa Site'!H55,"NULL")</f>
        <v>20</v>
      </c>
      <c r="F55" s="19">
        <f>IF('Boletins Nuppa Site'!I55&lt;&gt;0,'Boletins Nuppa Site'!I55,"NULL")</f>
        <v>36</v>
      </c>
      <c r="G55" s="19">
        <f>IF('Boletins Nuppa Site'!J55&lt;&gt;0,'Boletins Nuppa Site'!J55,"NULL")</f>
        <v>27</v>
      </c>
      <c r="H55" s="19">
        <f>IF('Boletins Nuppa Site'!K55&lt;&gt;0,'Boletins Nuppa Site'!K55,"NULL")</f>
        <v>25</v>
      </c>
      <c r="J55" s="1" t="str">
        <f t="shared" si="0"/>
        <v>INSERT INTO COTACAO (blt_id, pap_id, cot_prc_comum, cot_prc_min, cot_prc_max, cot_prc_med, cot_prc_mediana) VALUES (2, 15, NULL, 20, 36, 27, 25);</v>
      </c>
    </row>
    <row r="56" spans="1:10" x14ac:dyDescent="0.3">
      <c r="A56" s="1">
        <v>55</v>
      </c>
      <c r="B56" s="1">
        <v>2</v>
      </c>
      <c r="C56" s="1">
        <v>16</v>
      </c>
      <c r="D56" s="19">
        <f>IF('Boletins Nuppa Site'!G56&lt;&gt;0,'Boletins Nuppa Site'!G56,"NULL")</f>
        <v>42</v>
      </c>
      <c r="E56" s="19">
        <f>IF('Boletins Nuppa Site'!H56&lt;&gt;0,'Boletins Nuppa Site'!H56,"NULL")</f>
        <v>36</v>
      </c>
      <c r="F56" s="19">
        <f>IF('Boletins Nuppa Site'!I56&lt;&gt;0,'Boletins Nuppa Site'!I56,"NULL")</f>
        <v>42</v>
      </c>
      <c r="G56" s="19">
        <f>IF('Boletins Nuppa Site'!J56&lt;&gt;0,'Boletins Nuppa Site'!J56,"NULL")</f>
        <v>40</v>
      </c>
      <c r="H56" s="19">
        <f>IF('Boletins Nuppa Site'!K56&lt;&gt;0,'Boletins Nuppa Site'!K56,"NULL")</f>
        <v>42</v>
      </c>
      <c r="J56" s="1" t="str">
        <f t="shared" si="0"/>
        <v>INSERT INTO COTACAO (blt_id, pap_id, cot_prc_comum, cot_prc_min, cot_prc_max, cot_prc_med, cot_prc_mediana) VALUES (2, 16, 42, 36, 42, 40, 42);</v>
      </c>
    </row>
    <row r="57" spans="1:10" x14ac:dyDescent="0.3">
      <c r="A57" s="1">
        <v>56</v>
      </c>
      <c r="B57" s="1">
        <v>2</v>
      </c>
      <c r="C57" s="1">
        <v>17</v>
      </c>
      <c r="D57" s="19">
        <f>IF('Boletins Nuppa Site'!G57&lt;&gt;0,'Boletins Nuppa Site'!G57,"NULL")</f>
        <v>4</v>
      </c>
      <c r="E57" s="1" t="str">
        <f>IF('Boletins Nuppa Site'!H57&lt;&gt;0,'Boletins Nuppa Site'!H57,"NULL")</f>
        <v>3.5</v>
      </c>
      <c r="F57" s="19">
        <f>IF('Boletins Nuppa Site'!I57&lt;&gt;0,'Boletins Nuppa Site'!I57,"NULL")</f>
        <v>5</v>
      </c>
      <c r="G57" s="1" t="str">
        <f>IF('Boletins Nuppa Site'!J57&lt;&gt;0,'Boletins Nuppa Site'!J57,"NULL")</f>
        <v>4.13</v>
      </c>
      <c r="H57" s="19">
        <f>IF('Boletins Nuppa Site'!K57&lt;&gt;0,'Boletins Nuppa Site'!K57,"NULL")</f>
        <v>4</v>
      </c>
      <c r="J57" s="1" t="str">
        <f t="shared" si="0"/>
        <v>INSERT INTO COTACAO (blt_id, pap_id, cot_prc_comum, cot_prc_min, cot_prc_max, cot_prc_med, cot_prc_mediana) VALUES (2, 17, 4, 3.5, 5, 4.13, 4);</v>
      </c>
    </row>
    <row r="58" spans="1:10" x14ac:dyDescent="0.3">
      <c r="A58" s="1">
        <v>57</v>
      </c>
      <c r="B58" s="1">
        <v>2</v>
      </c>
      <c r="C58" s="1">
        <v>18</v>
      </c>
      <c r="D58" s="19">
        <f>IF('Boletins Nuppa Site'!G58&lt;&gt;0,'Boletins Nuppa Site'!G58,"NULL")</f>
        <v>20</v>
      </c>
      <c r="E58" s="19">
        <f>IF('Boletins Nuppa Site'!H58&lt;&gt;0,'Boletins Nuppa Site'!H58,"NULL")</f>
        <v>20</v>
      </c>
      <c r="F58" s="19">
        <f>IF('Boletins Nuppa Site'!I58&lt;&gt;0,'Boletins Nuppa Site'!I58,"NULL")</f>
        <v>25</v>
      </c>
      <c r="G58" s="19">
        <f>IF('Boletins Nuppa Site'!J58&lt;&gt;0,'Boletins Nuppa Site'!J58,"NULL")</f>
        <v>21</v>
      </c>
      <c r="H58" s="19">
        <f>IF('Boletins Nuppa Site'!K58&lt;&gt;0,'Boletins Nuppa Site'!K58,"NULL")</f>
        <v>20</v>
      </c>
      <c r="J58" s="1" t="str">
        <f t="shared" si="0"/>
        <v>INSERT INTO COTACAO (blt_id, pap_id, cot_prc_comum, cot_prc_min, cot_prc_max, cot_prc_med, cot_prc_mediana) VALUES (2, 18, 20, 20, 25, 21, 20);</v>
      </c>
    </row>
    <row r="59" spans="1:10" x14ac:dyDescent="0.3">
      <c r="A59" s="1">
        <v>58</v>
      </c>
      <c r="B59" s="1">
        <v>2</v>
      </c>
      <c r="C59" s="1">
        <v>19</v>
      </c>
      <c r="D59" s="19">
        <f>IF('Boletins Nuppa Site'!G59&lt;&gt;0,'Boletins Nuppa Site'!G59,"NULL")</f>
        <v>20</v>
      </c>
      <c r="E59" s="19">
        <f>IF('Boletins Nuppa Site'!H59&lt;&gt;0,'Boletins Nuppa Site'!H59,"NULL")</f>
        <v>20</v>
      </c>
      <c r="F59" s="19">
        <f>IF('Boletins Nuppa Site'!I59&lt;&gt;0,'Boletins Nuppa Site'!I59,"NULL")</f>
        <v>25</v>
      </c>
      <c r="G59" s="1" t="str">
        <f>IF('Boletins Nuppa Site'!J59&lt;&gt;0,'Boletins Nuppa Site'!J59,"NULL")</f>
        <v>22.5</v>
      </c>
      <c r="H59" s="1" t="str">
        <f>IF('Boletins Nuppa Site'!K59&lt;&gt;0,'Boletins Nuppa Site'!K59,"NULL")</f>
        <v>22.5</v>
      </c>
      <c r="J59" s="1" t="str">
        <f t="shared" si="0"/>
        <v>INSERT INTO COTACAO (blt_id, pap_id, cot_prc_comum, cot_prc_min, cot_prc_max, cot_prc_med, cot_prc_mediana) VALUES (2, 19, 20, 20, 25, 22.5, 22.5);</v>
      </c>
    </row>
    <row r="60" spans="1:10" x14ac:dyDescent="0.3">
      <c r="A60" s="1">
        <v>59</v>
      </c>
      <c r="B60" s="1">
        <v>2</v>
      </c>
      <c r="C60" s="1">
        <v>21</v>
      </c>
      <c r="D60" s="19">
        <f>IF('Boletins Nuppa Site'!G60&lt;&gt;0,'Boletins Nuppa Site'!G60,"NULL")</f>
        <v>100</v>
      </c>
      <c r="E60" s="19">
        <f>IF('Boletins Nuppa Site'!H60&lt;&gt;0,'Boletins Nuppa Site'!H60,"NULL")</f>
        <v>80</v>
      </c>
      <c r="F60" s="19">
        <f>IF('Boletins Nuppa Site'!I60&lt;&gt;0,'Boletins Nuppa Site'!I60,"NULL")</f>
        <v>100</v>
      </c>
      <c r="G60" s="1" t="str">
        <f>IF('Boletins Nuppa Site'!J60&lt;&gt;0,'Boletins Nuppa Site'!J60,"NULL")</f>
        <v>95.71</v>
      </c>
      <c r="H60" s="19">
        <f>IF('Boletins Nuppa Site'!K60&lt;&gt;0,'Boletins Nuppa Site'!K60,"NULL")</f>
        <v>100</v>
      </c>
      <c r="J60" s="1" t="str">
        <f t="shared" si="0"/>
        <v>INSERT INTO COTACAO (blt_id, pap_id, cot_prc_comum, cot_prc_min, cot_prc_max, cot_prc_med, cot_prc_mediana) VALUES (2, 21, 100, 80, 100, 95.71, 100);</v>
      </c>
    </row>
    <row r="61" spans="1:10" x14ac:dyDescent="0.3">
      <c r="A61" s="1">
        <v>60</v>
      </c>
      <c r="B61" s="1">
        <v>2</v>
      </c>
      <c r="C61" s="1">
        <v>22</v>
      </c>
      <c r="D61" s="1" t="str">
        <f>IF('Boletins Nuppa Site'!G61&lt;&gt;0,'Boletins Nuppa Site'!G61,"NULL")</f>
        <v>NULL</v>
      </c>
      <c r="E61" s="19">
        <f>IF('Boletins Nuppa Site'!H61&lt;&gt;0,'Boletins Nuppa Site'!H61,"NULL")</f>
        <v>40</v>
      </c>
      <c r="F61" s="19">
        <f>IF('Boletins Nuppa Site'!I61&lt;&gt;0,'Boletins Nuppa Site'!I61,"NULL")</f>
        <v>65</v>
      </c>
      <c r="G61" s="1" t="str">
        <f>IF('Boletins Nuppa Site'!J61&lt;&gt;0,'Boletins Nuppa Site'!J61,"NULL")</f>
        <v>52.5</v>
      </c>
      <c r="H61" s="1" t="str">
        <f>IF('Boletins Nuppa Site'!K61&lt;&gt;0,'Boletins Nuppa Site'!K61,"NULL")</f>
        <v>52.5</v>
      </c>
      <c r="J61" s="1" t="str">
        <f t="shared" si="0"/>
        <v>INSERT INTO COTACAO (blt_id, pap_id, cot_prc_comum, cot_prc_min, cot_prc_max, cot_prc_med, cot_prc_mediana) VALUES (2, 22, NULL, 40, 65, 52.5, 52.5);</v>
      </c>
    </row>
    <row r="62" spans="1:10" x14ac:dyDescent="0.3">
      <c r="A62" s="1">
        <v>61</v>
      </c>
      <c r="B62" s="1">
        <v>2</v>
      </c>
      <c r="C62" s="1">
        <v>23</v>
      </c>
      <c r="D62" s="19">
        <f>IF('Boletins Nuppa Site'!G62&lt;&gt;0,'Boletins Nuppa Site'!G62,"NULL")</f>
        <v>50</v>
      </c>
      <c r="E62" s="19">
        <f>IF('Boletins Nuppa Site'!H62&lt;&gt;0,'Boletins Nuppa Site'!H62,"NULL")</f>
        <v>45</v>
      </c>
      <c r="F62" s="19">
        <f>IF('Boletins Nuppa Site'!I62&lt;&gt;0,'Boletins Nuppa Site'!I62,"NULL")</f>
        <v>55</v>
      </c>
      <c r="G62" s="19">
        <f>IF('Boletins Nuppa Site'!J62&lt;&gt;0,'Boletins Nuppa Site'!J62,"NULL")</f>
        <v>50</v>
      </c>
      <c r="H62" s="19">
        <f>IF('Boletins Nuppa Site'!K62&lt;&gt;0,'Boletins Nuppa Site'!K62,"NULL")</f>
        <v>50</v>
      </c>
      <c r="J62" s="1" t="str">
        <f t="shared" si="0"/>
        <v>INSERT INTO COTACAO (blt_id, pap_id, cot_prc_comum, cot_prc_min, cot_prc_max, cot_prc_med, cot_prc_mediana) VALUES (2, 23, 50, 45, 55, 50, 50);</v>
      </c>
    </row>
    <row r="63" spans="1:10" x14ac:dyDescent="0.3">
      <c r="A63" s="1">
        <v>62</v>
      </c>
      <c r="B63" s="1">
        <v>2</v>
      </c>
      <c r="C63" s="1">
        <v>24</v>
      </c>
      <c r="D63" s="1" t="str">
        <f>IF('Boletins Nuppa Site'!G63&lt;&gt;0,'Boletins Nuppa Site'!G63,"NULL")</f>
        <v>NULL</v>
      </c>
      <c r="E63" s="1" t="str">
        <f>IF('Boletins Nuppa Site'!H63&lt;&gt;0,'Boletins Nuppa Site'!H63,"NULL")</f>
        <v>NULL</v>
      </c>
      <c r="F63" s="1" t="str">
        <f>IF('Boletins Nuppa Site'!I63&lt;&gt;0,'Boletins Nuppa Site'!I63,"NULL")</f>
        <v>NULL</v>
      </c>
      <c r="G63" s="1" t="str">
        <f>IF('Boletins Nuppa Site'!J63&lt;&gt;0,'Boletins Nuppa Site'!J63,"NULL")</f>
        <v>NULL</v>
      </c>
      <c r="H63" s="1" t="str">
        <f>IF('Boletins Nuppa Site'!K63&lt;&gt;0,'Boletins Nuppa Site'!K63,"NULL")</f>
        <v>NULL</v>
      </c>
      <c r="J63" s="1" t="str">
        <f t="shared" si="0"/>
        <v>INSERT INTO COTACAO (blt_id, pap_id, cot_prc_comum, cot_prc_min, cot_prc_max, cot_prc_med, cot_prc_mediana) VALUES (2, 24, NULL, NULL, NULL, NULL, NULL);</v>
      </c>
    </row>
    <row r="64" spans="1:10" x14ac:dyDescent="0.3">
      <c r="A64" s="1">
        <v>63</v>
      </c>
      <c r="B64" s="1">
        <v>2</v>
      </c>
      <c r="C64" s="1">
        <v>25</v>
      </c>
      <c r="D64" s="19">
        <f>IF('Boletins Nuppa Site'!G64&lt;&gt;0,'Boletins Nuppa Site'!G64,"NULL")</f>
        <v>50</v>
      </c>
      <c r="E64" s="19">
        <f>IF('Boletins Nuppa Site'!H64&lt;&gt;0,'Boletins Nuppa Site'!H64,"NULL")</f>
        <v>50</v>
      </c>
      <c r="F64" s="19">
        <f>IF('Boletins Nuppa Site'!I64&lt;&gt;0,'Boletins Nuppa Site'!I64,"NULL")</f>
        <v>60</v>
      </c>
      <c r="G64" s="19">
        <f>IF('Boletins Nuppa Site'!J64&lt;&gt;0,'Boletins Nuppa Site'!J64,"NULL")</f>
        <v>55</v>
      </c>
      <c r="H64" s="19">
        <f>IF('Boletins Nuppa Site'!K64&lt;&gt;0,'Boletins Nuppa Site'!K64,"NULL")</f>
        <v>55</v>
      </c>
      <c r="J64" s="1" t="str">
        <f t="shared" si="0"/>
        <v>INSERT INTO COTACAO (blt_id, pap_id, cot_prc_comum, cot_prc_min, cot_prc_max, cot_prc_med, cot_prc_mediana) VALUES (2, 25, 50, 50, 60, 55, 55);</v>
      </c>
    </row>
    <row r="65" spans="1:10" x14ac:dyDescent="0.3">
      <c r="A65" s="1">
        <v>64</v>
      </c>
      <c r="B65" s="1">
        <v>2</v>
      </c>
      <c r="C65" s="1">
        <v>26</v>
      </c>
      <c r="D65" s="19">
        <f>IF('Boletins Nuppa Site'!G65&lt;&gt;0,'Boletins Nuppa Site'!G65,"NULL")</f>
        <v>50</v>
      </c>
      <c r="E65" s="19">
        <f>IF('Boletins Nuppa Site'!H65&lt;&gt;0,'Boletins Nuppa Site'!H65,"NULL")</f>
        <v>40</v>
      </c>
      <c r="F65" s="19">
        <f>IF('Boletins Nuppa Site'!I65&lt;&gt;0,'Boletins Nuppa Site'!I65,"NULL")</f>
        <v>75</v>
      </c>
      <c r="G65" s="1" t="str">
        <f>IF('Boletins Nuppa Site'!J65&lt;&gt;0,'Boletins Nuppa Site'!J65,"NULL")</f>
        <v>56.67</v>
      </c>
      <c r="H65" s="1" t="str">
        <f>IF('Boletins Nuppa Site'!K65&lt;&gt;0,'Boletins Nuppa Site'!K65,"NULL")</f>
        <v>52.5</v>
      </c>
      <c r="J65" s="1" t="str">
        <f t="shared" si="0"/>
        <v>INSERT INTO COTACAO (blt_id, pap_id, cot_prc_comum, cot_prc_min, cot_prc_max, cot_prc_med, cot_prc_mediana) VALUES (2, 26, 50, 40, 75, 56.67, 52.5);</v>
      </c>
    </row>
    <row r="66" spans="1:10" x14ac:dyDescent="0.3">
      <c r="A66" s="1">
        <v>65</v>
      </c>
      <c r="B66" s="1">
        <v>2</v>
      </c>
      <c r="C66" s="1">
        <v>27</v>
      </c>
      <c r="D66" s="19">
        <f>IF('Boletins Nuppa Site'!G66&lt;&gt;0,'Boletins Nuppa Site'!G66,"NULL")</f>
        <v>70</v>
      </c>
      <c r="E66" s="19">
        <f>IF('Boletins Nuppa Site'!H66&lt;&gt;0,'Boletins Nuppa Site'!H66,"NULL")</f>
        <v>50</v>
      </c>
      <c r="F66" s="19">
        <f>IF('Boletins Nuppa Site'!I66&lt;&gt;0,'Boletins Nuppa Site'!I66,"NULL")</f>
        <v>90</v>
      </c>
      <c r="G66" s="1" t="str">
        <f>IF('Boletins Nuppa Site'!J66&lt;&gt;0,'Boletins Nuppa Site'!J66,"NULL")</f>
        <v>71.43</v>
      </c>
      <c r="H66" s="19">
        <f>IF('Boletins Nuppa Site'!K66&lt;&gt;0,'Boletins Nuppa Site'!K66,"NULL")</f>
        <v>70</v>
      </c>
      <c r="J66" s="1" t="str">
        <f t="shared" ref="J66:J129" si="1">"INSERT INTO COTACAO (blt_id, pap_id, cot_prc_comum, cot_prc_min, cot_prc_max, cot_prc_med, cot_prc_mediana) VALUES ("&amp;B66&amp;", "&amp;C66&amp;", "&amp;D66&amp;", "&amp;E66&amp;", "&amp;F66&amp;", "&amp;G66&amp;", "&amp;H66&amp;");"</f>
        <v>INSERT INTO COTACAO (blt_id, pap_id, cot_prc_comum, cot_prc_min, cot_prc_max, cot_prc_med, cot_prc_mediana) VALUES (2, 27, 70, 50, 90, 71.43, 70);</v>
      </c>
    </row>
    <row r="67" spans="1:10" x14ac:dyDescent="0.3">
      <c r="A67" s="1">
        <v>66</v>
      </c>
      <c r="B67" s="1">
        <v>2</v>
      </c>
      <c r="C67" s="1">
        <v>28</v>
      </c>
      <c r="D67" s="1" t="str">
        <f>IF('Boletins Nuppa Site'!G67&lt;&gt;0,'Boletins Nuppa Site'!G67,"NULL")</f>
        <v>NULL</v>
      </c>
      <c r="E67" s="19">
        <f>IF('Boletins Nuppa Site'!H67&lt;&gt;0,'Boletins Nuppa Site'!H67,"NULL")</f>
        <v>60</v>
      </c>
      <c r="F67" s="19">
        <f>IF('Boletins Nuppa Site'!I67&lt;&gt;0,'Boletins Nuppa Site'!I67,"NULL")</f>
        <v>65</v>
      </c>
      <c r="G67" s="1" t="str">
        <f>IF('Boletins Nuppa Site'!J67&lt;&gt;0,'Boletins Nuppa Site'!J67,"NULL")</f>
        <v>62.5</v>
      </c>
      <c r="H67" s="1" t="str">
        <f>IF('Boletins Nuppa Site'!K67&lt;&gt;0,'Boletins Nuppa Site'!K67,"NULL")</f>
        <v>62.5</v>
      </c>
      <c r="J67" s="1" t="str">
        <f t="shared" si="1"/>
        <v>INSERT INTO COTACAO (blt_id, pap_id, cot_prc_comum, cot_prc_min, cot_prc_max, cot_prc_med, cot_prc_mediana) VALUES (2, 28, NULL, 60, 65, 62.5, 62.5);</v>
      </c>
    </row>
    <row r="68" spans="1:10" x14ac:dyDescent="0.3">
      <c r="A68" s="1">
        <v>67</v>
      </c>
      <c r="B68" s="1">
        <v>2</v>
      </c>
      <c r="C68" s="1">
        <v>29</v>
      </c>
      <c r="D68" s="1" t="str">
        <f>IF('Boletins Nuppa Site'!G68&lt;&gt;0,'Boletins Nuppa Site'!G68,"NULL")</f>
        <v>NULL</v>
      </c>
      <c r="E68" s="19">
        <f>IF('Boletins Nuppa Site'!H68&lt;&gt;0,'Boletins Nuppa Site'!H68,"NULL")</f>
        <v>60</v>
      </c>
      <c r="F68" s="19">
        <f>IF('Boletins Nuppa Site'!I68&lt;&gt;0,'Boletins Nuppa Site'!I68,"NULL")</f>
        <v>65</v>
      </c>
      <c r="G68" s="1" t="str">
        <f>IF('Boletins Nuppa Site'!J68&lt;&gt;0,'Boletins Nuppa Site'!J68,"NULL")</f>
        <v>62.5</v>
      </c>
      <c r="H68" s="1" t="str">
        <f>IF('Boletins Nuppa Site'!K68&lt;&gt;0,'Boletins Nuppa Site'!K68,"NULL")</f>
        <v>62.5</v>
      </c>
      <c r="J68" s="1" t="str">
        <f t="shared" si="1"/>
        <v>INSERT INTO COTACAO (blt_id, pap_id, cot_prc_comum, cot_prc_min, cot_prc_max, cot_prc_med, cot_prc_mediana) VALUES (2, 29, NULL, 60, 65, 62.5, 62.5);</v>
      </c>
    </row>
    <row r="69" spans="1:10" x14ac:dyDescent="0.3">
      <c r="A69" s="1">
        <v>68</v>
      </c>
      <c r="B69" s="1">
        <v>2</v>
      </c>
      <c r="C69" s="1">
        <v>30</v>
      </c>
      <c r="D69" s="19">
        <f>IF('Boletins Nuppa Site'!G69&lt;&gt;0,'Boletins Nuppa Site'!G69,"NULL")</f>
        <v>60</v>
      </c>
      <c r="E69" s="19">
        <f>IF('Boletins Nuppa Site'!H69&lt;&gt;0,'Boletins Nuppa Site'!H69,"NULL")</f>
        <v>50</v>
      </c>
      <c r="F69" s="19">
        <f>IF('Boletins Nuppa Site'!I69&lt;&gt;0,'Boletins Nuppa Site'!I69,"NULL")</f>
        <v>60</v>
      </c>
      <c r="G69" s="1" t="str">
        <f>IF('Boletins Nuppa Site'!J69&lt;&gt;0,'Boletins Nuppa Site'!J69,"NULL")</f>
        <v>57.5</v>
      </c>
      <c r="H69" s="19">
        <f>IF('Boletins Nuppa Site'!K69&lt;&gt;0,'Boletins Nuppa Site'!K69,"NULL")</f>
        <v>60</v>
      </c>
      <c r="J69" s="1" t="str">
        <f t="shared" si="1"/>
        <v>INSERT INTO COTACAO (blt_id, pap_id, cot_prc_comum, cot_prc_min, cot_prc_max, cot_prc_med, cot_prc_mediana) VALUES (2, 30, 60, 50, 60, 57.5, 60);</v>
      </c>
    </row>
    <row r="70" spans="1:10" x14ac:dyDescent="0.3">
      <c r="A70" s="1">
        <v>69</v>
      </c>
      <c r="B70" s="1">
        <v>2</v>
      </c>
      <c r="C70" s="1">
        <v>31</v>
      </c>
      <c r="D70" s="19">
        <f>IF('Boletins Nuppa Site'!G70&lt;&gt;0,'Boletins Nuppa Site'!G70,"NULL")</f>
        <v>70</v>
      </c>
      <c r="E70" s="19">
        <f>IF('Boletins Nuppa Site'!H70&lt;&gt;0,'Boletins Nuppa Site'!H70,"NULL")</f>
        <v>70</v>
      </c>
      <c r="F70" s="19">
        <f>IF('Boletins Nuppa Site'!I70&lt;&gt;0,'Boletins Nuppa Site'!I70,"NULL")</f>
        <v>80</v>
      </c>
      <c r="G70" s="19">
        <f>IF('Boletins Nuppa Site'!J70&lt;&gt;0,'Boletins Nuppa Site'!J70,"NULL")</f>
        <v>73</v>
      </c>
      <c r="H70" s="19">
        <f>IF('Boletins Nuppa Site'!K70&lt;&gt;0,'Boletins Nuppa Site'!K70,"NULL")</f>
        <v>70</v>
      </c>
      <c r="J70" s="1" t="str">
        <f t="shared" si="1"/>
        <v>INSERT INTO COTACAO (blt_id, pap_id, cot_prc_comum, cot_prc_min, cot_prc_max, cot_prc_med, cot_prc_mediana) VALUES (2, 31, 70, 70, 80, 73, 70);</v>
      </c>
    </row>
    <row r="71" spans="1:10" x14ac:dyDescent="0.3">
      <c r="A71" s="1">
        <v>70</v>
      </c>
      <c r="B71" s="1">
        <v>2</v>
      </c>
      <c r="C71" s="1">
        <v>32</v>
      </c>
      <c r="D71" s="19">
        <f>IF('Boletins Nuppa Site'!G71&lt;&gt;0,'Boletins Nuppa Site'!G71,"NULL")</f>
        <v>40</v>
      </c>
      <c r="E71" s="19">
        <f>IF('Boletins Nuppa Site'!H71&lt;&gt;0,'Boletins Nuppa Site'!H71,"NULL")</f>
        <v>30</v>
      </c>
      <c r="F71" s="19">
        <f>IF('Boletins Nuppa Site'!I71&lt;&gt;0,'Boletins Nuppa Site'!I71,"NULL")</f>
        <v>50</v>
      </c>
      <c r="G71" s="1" t="str">
        <f>IF('Boletins Nuppa Site'!J71&lt;&gt;0,'Boletins Nuppa Site'!J71,"NULL")</f>
        <v>39.38</v>
      </c>
      <c r="H71" s="19">
        <f>IF('Boletins Nuppa Site'!K71&lt;&gt;0,'Boletins Nuppa Site'!K71,"NULL")</f>
        <v>40</v>
      </c>
      <c r="J71" s="1" t="str">
        <f t="shared" si="1"/>
        <v>INSERT INTO COTACAO (blt_id, pap_id, cot_prc_comum, cot_prc_min, cot_prc_max, cot_prc_med, cot_prc_mediana) VALUES (2, 32, 40, 30, 50, 39.38, 40);</v>
      </c>
    </row>
    <row r="72" spans="1:10" x14ac:dyDescent="0.3">
      <c r="A72" s="1">
        <v>71</v>
      </c>
      <c r="B72" s="1">
        <v>2</v>
      </c>
      <c r="C72" s="1">
        <v>33</v>
      </c>
      <c r="D72" s="19">
        <f>IF('Boletins Nuppa Site'!G72&lt;&gt;0,'Boletins Nuppa Site'!G72,"NULL")</f>
        <v>70</v>
      </c>
      <c r="E72" s="19">
        <f>IF('Boletins Nuppa Site'!H72&lt;&gt;0,'Boletins Nuppa Site'!H72,"NULL")</f>
        <v>70</v>
      </c>
      <c r="F72" s="19">
        <f>IF('Boletins Nuppa Site'!I72&lt;&gt;0,'Boletins Nuppa Site'!I72,"NULL")</f>
        <v>130</v>
      </c>
      <c r="G72" s="1" t="str">
        <f>IF('Boletins Nuppa Site'!J72&lt;&gt;0,'Boletins Nuppa Site'!J72,"NULL")</f>
        <v>102.86</v>
      </c>
      <c r="H72" s="19">
        <f>IF('Boletins Nuppa Site'!K72&lt;&gt;0,'Boletins Nuppa Site'!K72,"NULL")</f>
        <v>110</v>
      </c>
      <c r="J72" s="1" t="str">
        <f t="shared" si="1"/>
        <v>INSERT INTO COTACAO (blt_id, pap_id, cot_prc_comum, cot_prc_min, cot_prc_max, cot_prc_med, cot_prc_mediana) VALUES (2, 33, 70, 70, 130, 102.86, 110);</v>
      </c>
    </row>
    <row r="73" spans="1:10" x14ac:dyDescent="0.3">
      <c r="A73" s="1">
        <v>72</v>
      </c>
      <c r="B73" s="1">
        <v>2</v>
      </c>
      <c r="C73" s="1">
        <v>34</v>
      </c>
      <c r="D73" s="19">
        <f>IF('Boletins Nuppa Site'!G73&lt;&gt;0,'Boletins Nuppa Site'!G73,"NULL")</f>
        <v>90</v>
      </c>
      <c r="E73" s="19">
        <f>IF('Boletins Nuppa Site'!H73&lt;&gt;0,'Boletins Nuppa Site'!H73,"NULL")</f>
        <v>80</v>
      </c>
      <c r="F73" s="19">
        <f>IF('Boletins Nuppa Site'!I73&lt;&gt;0,'Boletins Nuppa Site'!I73,"NULL")</f>
        <v>100</v>
      </c>
      <c r="G73" s="19">
        <f>IF('Boletins Nuppa Site'!J73&lt;&gt;0,'Boletins Nuppa Site'!J73,"NULL")</f>
        <v>92</v>
      </c>
      <c r="H73" s="19">
        <f>IF('Boletins Nuppa Site'!K73&lt;&gt;0,'Boletins Nuppa Site'!K73,"NULL")</f>
        <v>90</v>
      </c>
      <c r="J73" s="1" t="str">
        <f t="shared" si="1"/>
        <v>INSERT INTO COTACAO (blt_id, pap_id, cot_prc_comum, cot_prc_min, cot_prc_max, cot_prc_med, cot_prc_mediana) VALUES (2, 34, 90, 80, 100, 92, 90);</v>
      </c>
    </row>
    <row r="74" spans="1:10" x14ac:dyDescent="0.3">
      <c r="A74" s="1">
        <v>73</v>
      </c>
      <c r="B74" s="1">
        <v>2</v>
      </c>
      <c r="C74" s="1">
        <v>35</v>
      </c>
      <c r="D74" s="19">
        <f>IF('Boletins Nuppa Site'!G74&lt;&gt;0,'Boletins Nuppa Site'!G74,"NULL")</f>
        <v>100</v>
      </c>
      <c r="E74" s="19">
        <f>IF('Boletins Nuppa Site'!H74&lt;&gt;0,'Boletins Nuppa Site'!H74,"NULL")</f>
        <v>100</v>
      </c>
      <c r="F74" s="19">
        <f>IF('Boletins Nuppa Site'!I74&lt;&gt;0,'Boletins Nuppa Site'!I74,"NULL")</f>
        <v>130</v>
      </c>
      <c r="G74" s="19">
        <f>IF('Boletins Nuppa Site'!J74&lt;&gt;0,'Boletins Nuppa Site'!J74,"NULL")</f>
        <v>108</v>
      </c>
      <c r="H74" s="19">
        <f>IF('Boletins Nuppa Site'!K74&lt;&gt;0,'Boletins Nuppa Site'!K74,"NULL")</f>
        <v>100</v>
      </c>
      <c r="J74" s="1" t="str">
        <f t="shared" si="1"/>
        <v>INSERT INTO COTACAO (blt_id, pap_id, cot_prc_comum, cot_prc_min, cot_prc_max, cot_prc_med, cot_prc_mediana) VALUES (2, 35, 100, 100, 130, 108, 100);</v>
      </c>
    </row>
    <row r="75" spans="1:10" x14ac:dyDescent="0.3">
      <c r="A75" s="1">
        <v>74</v>
      </c>
      <c r="B75" s="1">
        <v>2</v>
      </c>
      <c r="C75" s="1">
        <v>36</v>
      </c>
      <c r="D75" s="1" t="str">
        <f>IF('Boletins Nuppa Site'!G75&lt;&gt;0,'Boletins Nuppa Site'!G75,"NULL")</f>
        <v>NULL</v>
      </c>
      <c r="E75" s="1" t="str">
        <f>IF('Boletins Nuppa Site'!H75&lt;&gt;0,'Boletins Nuppa Site'!H75,"NULL")</f>
        <v>NULL</v>
      </c>
      <c r="F75" s="1" t="str">
        <f>IF('Boletins Nuppa Site'!I75&lt;&gt;0,'Boletins Nuppa Site'!I75,"NULL")</f>
        <v>NULL</v>
      </c>
      <c r="G75" s="1" t="str">
        <f>IF('Boletins Nuppa Site'!J75&lt;&gt;0,'Boletins Nuppa Site'!J75,"NULL")</f>
        <v>NULL</v>
      </c>
      <c r="H75" s="1" t="str">
        <f>IF('Boletins Nuppa Site'!K75&lt;&gt;0,'Boletins Nuppa Site'!K75,"NULL")</f>
        <v>NULL</v>
      </c>
      <c r="J75" s="1" t="str">
        <f t="shared" si="1"/>
        <v>INSERT INTO COTACAO (blt_id, pap_id, cot_prc_comum, cot_prc_min, cot_prc_max, cot_prc_med, cot_prc_mediana) VALUES (2, 36, NULL, NULL, NULL, NULL, NULL);</v>
      </c>
    </row>
    <row r="76" spans="1:10" x14ac:dyDescent="0.3">
      <c r="A76" s="1">
        <v>75</v>
      </c>
      <c r="B76" s="1">
        <v>2</v>
      </c>
      <c r="C76" s="1">
        <v>37</v>
      </c>
      <c r="D76" s="1" t="str">
        <f>IF('Boletins Nuppa Site'!G76&lt;&gt;0,'Boletins Nuppa Site'!G76,"NULL")</f>
        <v>NULL</v>
      </c>
      <c r="E76" s="1" t="str">
        <f>IF('Boletins Nuppa Site'!H76&lt;&gt;0,'Boletins Nuppa Site'!H76,"NULL")</f>
        <v>NULL</v>
      </c>
      <c r="F76" s="1" t="str">
        <f>IF('Boletins Nuppa Site'!I76&lt;&gt;0,'Boletins Nuppa Site'!I76,"NULL")</f>
        <v>NULL</v>
      </c>
      <c r="G76" s="1" t="str">
        <f>IF('Boletins Nuppa Site'!J76&lt;&gt;0,'Boletins Nuppa Site'!J76,"NULL")</f>
        <v>NULL</v>
      </c>
      <c r="H76" s="1" t="str">
        <f>IF('Boletins Nuppa Site'!K76&lt;&gt;0,'Boletins Nuppa Site'!K76,"NULL")</f>
        <v>NULL</v>
      </c>
      <c r="J76" s="1" t="str">
        <f t="shared" si="1"/>
        <v>INSERT INTO COTACAO (blt_id, pap_id, cot_prc_comum, cot_prc_min, cot_prc_max, cot_prc_med, cot_prc_mediana) VALUES (2, 37, NULL, NULL, NULL, NULL, NULL);</v>
      </c>
    </row>
    <row r="77" spans="1:10" x14ac:dyDescent="0.3">
      <c r="A77" s="1">
        <v>76</v>
      </c>
      <c r="B77" s="1">
        <v>2</v>
      </c>
      <c r="C77" s="1">
        <v>38</v>
      </c>
      <c r="D77" s="1" t="str">
        <f>IF('Boletins Nuppa Site'!G77&lt;&gt;0,'Boletins Nuppa Site'!G77,"NULL")</f>
        <v>NULL</v>
      </c>
      <c r="E77" s="1" t="str">
        <f>IF('Boletins Nuppa Site'!H77&lt;&gt;0,'Boletins Nuppa Site'!H77,"NULL")</f>
        <v>NULL</v>
      </c>
      <c r="F77" s="1" t="str">
        <f>IF('Boletins Nuppa Site'!I77&lt;&gt;0,'Boletins Nuppa Site'!I77,"NULL")</f>
        <v>NULL</v>
      </c>
      <c r="G77" s="1" t="str">
        <f>IF('Boletins Nuppa Site'!J77&lt;&gt;0,'Boletins Nuppa Site'!J77,"NULL")</f>
        <v>NULL</v>
      </c>
      <c r="H77" s="1" t="str">
        <f>IF('Boletins Nuppa Site'!K77&lt;&gt;0,'Boletins Nuppa Site'!K77,"NULL")</f>
        <v>NULL</v>
      </c>
      <c r="J77" s="1" t="str">
        <f t="shared" si="1"/>
        <v>INSERT INTO COTACAO (blt_id, pap_id, cot_prc_comum, cot_prc_min, cot_prc_max, cot_prc_med, cot_prc_mediana) VALUES (2, 38, NULL, NULL, NULL, NULL, NULL);</v>
      </c>
    </row>
    <row r="78" spans="1:10" x14ac:dyDescent="0.3">
      <c r="A78" s="1">
        <v>77</v>
      </c>
      <c r="B78" s="1">
        <v>2</v>
      </c>
      <c r="C78" s="1">
        <v>39</v>
      </c>
      <c r="D78" s="1" t="str">
        <f>IF('Boletins Nuppa Site'!G78&lt;&gt;0,'Boletins Nuppa Site'!G78,"NULL")</f>
        <v>NULL</v>
      </c>
      <c r="E78" s="19">
        <f>IF('Boletins Nuppa Site'!H78&lt;&gt;0,'Boletins Nuppa Site'!H78,"NULL")</f>
        <v>28</v>
      </c>
      <c r="F78" s="19">
        <f>IF('Boletins Nuppa Site'!I78&lt;&gt;0,'Boletins Nuppa Site'!I78,"NULL")</f>
        <v>28</v>
      </c>
      <c r="G78" s="19">
        <f>IF('Boletins Nuppa Site'!J78&lt;&gt;0,'Boletins Nuppa Site'!J78,"NULL")</f>
        <v>28</v>
      </c>
      <c r="H78" s="19">
        <f>IF('Boletins Nuppa Site'!K78&lt;&gt;0,'Boletins Nuppa Site'!K78,"NULL")</f>
        <v>28</v>
      </c>
      <c r="J78" s="1" t="str">
        <f t="shared" si="1"/>
        <v>INSERT INTO COTACAO (blt_id, pap_id, cot_prc_comum, cot_prc_min, cot_prc_max, cot_prc_med, cot_prc_mediana) VALUES (2, 39, NULL, 28, 28, 28, 28);</v>
      </c>
    </row>
    <row r="79" spans="1:10" x14ac:dyDescent="0.3">
      <c r="A79" s="1">
        <v>78</v>
      </c>
      <c r="B79" s="1">
        <v>2</v>
      </c>
      <c r="C79" s="1">
        <v>40</v>
      </c>
      <c r="D79" s="1" t="str">
        <f>IF('Boletins Nuppa Site'!G79&lt;&gt;0,'Boletins Nuppa Site'!G79,"NULL")</f>
        <v>NULL</v>
      </c>
      <c r="E79" s="1" t="str">
        <f>IF('Boletins Nuppa Site'!H79&lt;&gt;0,'Boletins Nuppa Site'!H79,"NULL")</f>
        <v>NULL</v>
      </c>
      <c r="F79" s="1" t="str">
        <f>IF('Boletins Nuppa Site'!I79&lt;&gt;0,'Boletins Nuppa Site'!I79,"NULL")</f>
        <v>NULL</v>
      </c>
      <c r="G79" s="1" t="str">
        <f>IF('Boletins Nuppa Site'!J79&lt;&gt;0,'Boletins Nuppa Site'!J79,"NULL")</f>
        <v>NULL</v>
      </c>
      <c r="H79" s="1" t="str">
        <f>IF('Boletins Nuppa Site'!K79&lt;&gt;0,'Boletins Nuppa Site'!K79,"NULL")</f>
        <v>NULL</v>
      </c>
      <c r="J79" s="1" t="str">
        <f t="shared" si="1"/>
        <v>INSERT INTO COTACAO (blt_id, pap_id, cot_prc_comum, cot_prc_min, cot_prc_max, cot_prc_med, cot_prc_mediana) VALUES (2, 40, NULL, NULL, NULL, NULL, NULL);</v>
      </c>
    </row>
    <row r="80" spans="1:10" x14ac:dyDescent="0.3">
      <c r="A80" s="1">
        <v>79</v>
      </c>
      <c r="B80" s="1">
        <v>3</v>
      </c>
      <c r="C80" s="1">
        <v>1</v>
      </c>
      <c r="D80" s="19">
        <f>IF('Boletins Nuppa Site'!G80&lt;&gt;0,'Boletins Nuppa Site'!G80,"NULL")</f>
        <v>42</v>
      </c>
      <c r="E80" s="19">
        <f>IF('Boletins Nuppa Site'!H80&lt;&gt;0,'Boletins Nuppa Site'!H80,"NULL")</f>
        <v>42</v>
      </c>
      <c r="F80" s="19">
        <f>IF('Boletins Nuppa Site'!I80&lt;&gt;0,'Boletins Nuppa Site'!I80,"NULL")</f>
        <v>42</v>
      </c>
      <c r="G80" s="19">
        <f>IF('Boletins Nuppa Site'!J80&lt;&gt;0,'Boletins Nuppa Site'!J80,"NULL")</f>
        <v>42</v>
      </c>
      <c r="H80" s="19">
        <f>IF('Boletins Nuppa Site'!K80&lt;&gt;0,'Boletins Nuppa Site'!K80,"NULL")</f>
        <v>42</v>
      </c>
      <c r="J80" s="1" t="str">
        <f t="shared" si="1"/>
        <v>INSERT INTO COTACAO (blt_id, pap_id, cot_prc_comum, cot_prc_min, cot_prc_max, cot_prc_med, cot_prc_mediana) VALUES (3, 1, 42, 42, 42, 42, 42);</v>
      </c>
    </row>
    <row r="81" spans="1:10" x14ac:dyDescent="0.3">
      <c r="A81" s="1">
        <v>80</v>
      </c>
      <c r="B81" s="1">
        <v>3</v>
      </c>
      <c r="C81" s="1">
        <v>2</v>
      </c>
      <c r="D81" s="19">
        <f>IF('Boletins Nuppa Site'!G81&lt;&gt;0,'Boletins Nuppa Site'!G81,"NULL")</f>
        <v>60</v>
      </c>
      <c r="E81" s="19">
        <f>IF('Boletins Nuppa Site'!H81&lt;&gt;0,'Boletins Nuppa Site'!H81,"NULL")</f>
        <v>60</v>
      </c>
      <c r="F81" s="19">
        <f>IF('Boletins Nuppa Site'!I81&lt;&gt;0,'Boletins Nuppa Site'!I81,"NULL")</f>
        <v>60</v>
      </c>
      <c r="G81" s="19">
        <f>IF('Boletins Nuppa Site'!J81&lt;&gt;0,'Boletins Nuppa Site'!J81,"NULL")</f>
        <v>60</v>
      </c>
      <c r="H81" s="19">
        <f>IF('Boletins Nuppa Site'!K81&lt;&gt;0,'Boletins Nuppa Site'!K81,"NULL")</f>
        <v>60</v>
      </c>
      <c r="J81" s="1" t="str">
        <f t="shared" si="1"/>
        <v>INSERT INTO COTACAO (blt_id, pap_id, cot_prc_comum, cot_prc_min, cot_prc_max, cot_prc_med, cot_prc_mediana) VALUES (3, 2, 60, 60, 60, 60, 60);</v>
      </c>
    </row>
    <row r="82" spans="1:10" x14ac:dyDescent="0.3">
      <c r="A82" s="1">
        <v>81</v>
      </c>
      <c r="B82" s="1">
        <v>3</v>
      </c>
      <c r="C82" s="1">
        <v>3</v>
      </c>
      <c r="D82" s="19">
        <f>IF('Boletins Nuppa Site'!G82&lt;&gt;0,'Boletins Nuppa Site'!G82,"NULL")</f>
        <v>30</v>
      </c>
      <c r="E82" s="19">
        <f>IF('Boletins Nuppa Site'!H82&lt;&gt;0,'Boletins Nuppa Site'!H82,"NULL")</f>
        <v>30</v>
      </c>
      <c r="F82" s="19">
        <f>IF('Boletins Nuppa Site'!I82&lt;&gt;0,'Boletins Nuppa Site'!I82,"NULL")</f>
        <v>42</v>
      </c>
      <c r="G82" s="19">
        <f>IF('Boletins Nuppa Site'!J82&lt;&gt;0,'Boletins Nuppa Site'!J82,"NULL")</f>
        <v>34</v>
      </c>
      <c r="H82" s="19">
        <f>IF('Boletins Nuppa Site'!K82&lt;&gt;0,'Boletins Nuppa Site'!K82,"NULL")</f>
        <v>30</v>
      </c>
      <c r="J82" s="1" t="str">
        <f t="shared" si="1"/>
        <v>INSERT INTO COTACAO (blt_id, pap_id, cot_prc_comum, cot_prc_min, cot_prc_max, cot_prc_med, cot_prc_mediana) VALUES (3, 3, 30, 30, 42, 34, 30);</v>
      </c>
    </row>
    <row r="83" spans="1:10" x14ac:dyDescent="0.3">
      <c r="A83" s="1">
        <v>82</v>
      </c>
      <c r="B83" s="1">
        <v>3</v>
      </c>
      <c r="C83" s="1">
        <v>4</v>
      </c>
      <c r="D83" s="19">
        <f>IF('Boletins Nuppa Site'!G83&lt;&gt;0,'Boletins Nuppa Site'!G83,"NULL")</f>
        <v>24</v>
      </c>
      <c r="E83" s="19">
        <f>IF('Boletins Nuppa Site'!H83&lt;&gt;0,'Boletins Nuppa Site'!H83,"NULL")</f>
        <v>20</v>
      </c>
      <c r="F83" s="19">
        <f>IF('Boletins Nuppa Site'!I83&lt;&gt;0,'Boletins Nuppa Site'!I83,"NULL")</f>
        <v>24</v>
      </c>
      <c r="G83" s="1" t="str">
        <f>IF('Boletins Nuppa Site'!J83&lt;&gt;0,'Boletins Nuppa Site'!J83,"NULL")</f>
        <v>22.5</v>
      </c>
      <c r="H83" s="19">
        <f>IF('Boletins Nuppa Site'!K83&lt;&gt;0,'Boletins Nuppa Site'!K83,"NULL")</f>
        <v>23</v>
      </c>
      <c r="J83" s="1" t="str">
        <f t="shared" si="1"/>
        <v>INSERT INTO COTACAO (blt_id, pap_id, cot_prc_comum, cot_prc_min, cot_prc_max, cot_prc_med, cot_prc_mediana) VALUES (3, 4, 24, 20, 24, 22.5, 23);</v>
      </c>
    </row>
    <row r="84" spans="1:10" x14ac:dyDescent="0.3">
      <c r="A84" s="1">
        <v>83</v>
      </c>
      <c r="B84" s="1">
        <v>3</v>
      </c>
      <c r="C84" s="1">
        <v>5</v>
      </c>
      <c r="D84" s="1" t="str">
        <f>IF('Boletins Nuppa Site'!G84&lt;&gt;0,'Boletins Nuppa Site'!G84,"NULL")</f>
        <v>NULL</v>
      </c>
      <c r="E84" s="19">
        <f>IF('Boletins Nuppa Site'!H84&lt;&gt;0,'Boletins Nuppa Site'!H84,"NULL")</f>
        <v>18</v>
      </c>
      <c r="F84" s="19">
        <f>IF('Boletins Nuppa Site'!I84&lt;&gt;0,'Boletins Nuppa Site'!I84,"NULL")</f>
        <v>24</v>
      </c>
      <c r="G84" s="19">
        <f>IF('Boletins Nuppa Site'!J84&lt;&gt;0,'Boletins Nuppa Site'!J84,"NULL")</f>
        <v>21</v>
      </c>
      <c r="H84" s="19">
        <f>IF('Boletins Nuppa Site'!K84&lt;&gt;0,'Boletins Nuppa Site'!K84,"NULL")</f>
        <v>21</v>
      </c>
      <c r="J84" s="1" t="str">
        <f t="shared" si="1"/>
        <v>INSERT INTO COTACAO (blt_id, pap_id, cot_prc_comum, cot_prc_min, cot_prc_max, cot_prc_med, cot_prc_mediana) VALUES (3, 5, NULL, 18, 24, 21, 21);</v>
      </c>
    </row>
    <row r="85" spans="1:10" x14ac:dyDescent="0.3">
      <c r="A85" s="1">
        <v>84</v>
      </c>
      <c r="B85" s="1">
        <v>3</v>
      </c>
      <c r="C85" s="1">
        <v>6</v>
      </c>
      <c r="D85" s="1" t="str">
        <f>IF('Boletins Nuppa Site'!G85&lt;&gt;0,'Boletins Nuppa Site'!G85,"NULL")</f>
        <v>NULL</v>
      </c>
      <c r="E85" s="19">
        <f>IF('Boletins Nuppa Site'!H85&lt;&gt;0,'Boletins Nuppa Site'!H85,"NULL")</f>
        <v>24</v>
      </c>
      <c r="F85" s="19">
        <f>IF('Boletins Nuppa Site'!I85&lt;&gt;0,'Boletins Nuppa Site'!I85,"NULL")</f>
        <v>48</v>
      </c>
      <c r="G85" s="19">
        <f>IF('Boletins Nuppa Site'!J85&lt;&gt;0,'Boletins Nuppa Site'!J85,"NULL")</f>
        <v>38</v>
      </c>
      <c r="H85" s="19">
        <f>IF('Boletins Nuppa Site'!K85&lt;&gt;0,'Boletins Nuppa Site'!K85,"NULL")</f>
        <v>42</v>
      </c>
      <c r="J85" s="1" t="str">
        <f t="shared" si="1"/>
        <v>INSERT INTO COTACAO (blt_id, pap_id, cot_prc_comum, cot_prc_min, cot_prc_max, cot_prc_med, cot_prc_mediana) VALUES (3, 6, NULL, 24, 48, 38, 42);</v>
      </c>
    </row>
    <row r="86" spans="1:10" x14ac:dyDescent="0.3">
      <c r="A86" s="1">
        <v>85</v>
      </c>
      <c r="B86" s="1">
        <v>3</v>
      </c>
      <c r="C86" s="1">
        <v>7</v>
      </c>
      <c r="D86" s="1" t="str">
        <f>IF('Boletins Nuppa Site'!G86&lt;&gt;0,'Boletins Nuppa Site'!G86,"NULL")</f>
        <v>NULL</v>
      </c>
      <c r="E86" s="19">
        <f>IF('Boletins Nuppa Site'!H86&lt;&gt;0,'Boletins Nuppa Site'!H86,"NULL")</f>
        <v>72</v>
      </c>
      <c r="F86" s="19">
        <f>IF('Boletins Nuppa Site'!I86&lt;&gt;0,'Boletins Nuppa Site'!I86,"NULL")</f>
        <v>78</v>
      </c>
      <c r="G86" s="19">
        <f>IF('Boletins Nuppa Site'!J86&lt;&gt;0,'Boletins Nuppa Site'!J86,"NULL")</f>
        <v>75</v>
      </c>
      <c r="H86" s="19">
        <f>IF('Boletins Nuppa Site'!K86&lt;&gt;0,'Boletins Nuppa Site'!K86,"NULL")</f>
        <v>75</v>
      </c>
      <c r="J86" s="1" t="str">
        <f t="shared" si="1"/>
        <v>INSERT INTO COTACAO (blt_id, pap_id, cot_prc_comum, cot_prc_min, cot_prc_max, cot_prc_med, cot_prc_mediana) VALUES (3, 7, NULL, 72, 78, 75, 75);</v>
      </c>
    </row>
    <row r="87" spans="1:10" x14ac:dyDescent="0.3">
      <c r="A87" s="1">
        <v>86</v>
      </c>
      <c r="B87" s="1">
        <v>3</v>
      </c>
      <c r="C87" s="1">
        <v>8</v>
      </c>
      <c r="D87" s="1" t="str">
        <f>IF('Boletins Nuppa Site'!G87&lt;&gt;0,'Boletins Nuppa Site'!G87,"NULL")</f>
        <v>NULL</v>
      </c>
      <c r="E87" s="19">
        <f>IF('Boletins Nuppa Site'!H87&lt;&gt;0,'Boletins Nuppa Site'!H87,"NULL")</f>
        <v>50</v>
      </c>
      <c r="F87" s="19">
        <f>IF('Boletins Nuppa Site'!I87&lt;&gt;0,'Boletins Nuppa Site'!I87,"NULL")</f>
        <v>84</v>
      </c>
      <c r="G87" s="1" t="str">
        <f>IF('Boletins Nuppa Site'!J87&lt;&gt;0,'Boletins Nuppa Site'!J87,"NULL")</f>
        <v>64.67</v>
      </c>
      <c r="H87" s="19">
        <f>IF('Boletins Nuppa Site'!K87&lt;&gt;0,'Boletins Nuppa Site'!K87,"NULL")</f>
        <v>60</v>
      </c>
      <c r="J87" s="1" t="str">
        <f t="shared" si="1"/>
        <v>INSERT INTO COTACAO (blt_id, pap_id, cot_prc_comum, cot_prc_min, cot_prc_max, cot_prc_med, cot_prc_mediana) VALUES (3, 8, NULL, 50, 84, 64.67, 60);</v>
      </c>
    </row>
    <row r="88" spans="1:10" x14ac:dyDescent="0.3">
      <c r="A88" s="1">
        <v>87</v>
      </c>
      <c r="B88" s="1">
        <v>3</v>
      </c>
      <c r="C88" s="1">
        <v>9</v>
      </c>
      <c r="D88" s="19">
        <f>IF('Boletins Nuppa Site'!G88&lt;&gt;0,'Boletins Nuppa Site'!G88,"NULL")</f>
        <v>18</v>
      </c>
      <c r="E88" s="19">
        <f>IF('Boletins Nuppa Site'!H88&lt;&gt;0,'Boletins Nuppa Site'!H88,"NULL")</f>
        <v>18</v>
      </c>
      <c r="F88" s="19">
        <f>IF('Boletins Nuppa Site'!I88&lt;&gt;0,'Boletins Nuppa Site'!I88,"NULL")</f>
        <v>24</v>
      </c>
      <c r="G88" s="19">
        <f>IF('Boletins Nuppa Site'!J88&lt;&gt;0,'Boletins Nuppa Site'!J88,"NULL")</f>
        <v>20</v>
      </c>
      <c r="H88" s="19">
        <f>IF('Boletins Nuppa Site'!K88&lt;&gt;0,'Boletins Nuppa Site'!K88,"NULL")</f>
        <v>18</v>
      </c>
      <c r="J88" s="1" t="str">
        <f t="shared" si="1"/>
        <v>INSERT INTO COTACAO (blt_id, pap_id, cot_prc_comum, cot_prc_min, cot_prc_max, cot_prc_med, cot_prc_mediana) VALUES (3, 9, 18, 18, 24, 20, 18);</v>
      </c>
    </row>
    <row r="89" spans="1:10" x14ac:dyDescent="0.3">
      <c r="A89" s="1">
        <v>88</v>
      </c>
      <c r="B89" s="1">
        <v>3</v>
      </c>
      <c r="C89" s="1">
        <v>10</v>
      </c>
      <c r="D89" s="1" t="str">
        <f>IF('Boletins Nuppa Site'!G89&lt;&gt;0,'Boletins Nuppa Site'!G89,"NULL")</f>
        <v>NULL</v>
      </c>
      <c r="E89" s="19">
        <f>IF('Boletins Nuppa Site'!H89&lt;&gt;0,'Boletins Nuppa Site'!H89,"NULL")</f>
        <v>55</v>
      </c>
      <c r="F89" s="19">
        <f>IF('Boletins Nuppa Site'!I89&lt;&gt;0,'Boletins Nuppa Site'!I89,"NULL")</f>
        <v>80</v>
      </c>
      <c r="G89" s="1" t="str">
        <f>IF('Boletins Nuppa Site'!J89&lt;&gt;0,'Boletins Nuppa Site'!J89,"NULL")</f>
        <v>67.5</v>
      </c>
      <c r="H89" s="1" t="str">
        <f>IF('Boletins Nuppa Site'!K89&lt;&gt;0,'Boletins Nuppa Site'!K89,"NULL")</f>
        <v>67.5</v>
      </c>
      <c r="J89" s="1" t="str">
        <f t="shared" si="1"/>
        <v>INSERT INTO COTACAO (blt_id, pap_id, cot_prc_comum, cot_prc_min, cot_prc_max, cot_prc_med, cot_prc_mediana) VALUES (3, 10, NULL, 55, 80, 67.5, 67.5);</v>
      </c>
    </row>
    <row r="90" spans="1:10" x14ac:dyDescent="0.3">
      <c r="A90" s="1">
        <v>89</v>
      </c>
      <c r="B90" s="1">
        <v>3</v>
      </c>
      <c r="C90" s="1">
        <v>11</v>
      </c>
      <c r="D90" s="1" t="str">
        <f>IF('Boletins Nuppa Site'!G90&lt;&gt;0,'Boletins Nuppa Site'!G90,"NULL")</f>
        <v>NULL</v>
      </c>
      <c r="E90" s="19">
        <f>IF('Boletins Nuppa Site'!H90&lt;&gt;0,'Boletins Nuppa Site'!H90,"NULL")</f>
        <v>18</v>
      </c>
      <c r="F90" s="19">
        <f>IF('Boletins Nuppa Site'!I90&lt;&gt;0,'Boletins Nuppa Site'!I90,"NULL")</f>
        <v>24</v>
      </c>
      <c r="G90" s="19">
        <f>IF('Boletins Nuppa Site'!J90&lt;&gt;0,'Boletins Nuppa Site'!J90,"NULL")</f>
        <v>21</v>
      </c>
      <c r="H90" s="19">
        <f>IF('Boletins Nuppa Site'!K90&lt;&gt;0,'Boletins Nuppa Site'!K90,"NULL")</f>
        <v>21</v>
      </c>
      <c r="J90" s="1" t="str">
        <f t="shared" si="1"/>
        <v>INSERT INTO COTACAO (blt_id, pap_id, cot_prc_comum, cot_prc_min, cot_prc_max, cot_prc_med, cot_prc_mediana) VALUES (3, 11, NULL, 18, 24, 21, 21);</v>
      </c>
    </row>
    <row r="91" spans="1:10" x14ac:dyDescent="0.3">
      <c r="A91" s="1">
        <v>90</v>
      </c>
      <c r="B91" s="1">
        <v>3</v>
      </c>
      <c r="C91" s="1">
        <v>12</v>
      </c>
      <c r="D91" s="19">
        <f>IF('Boletins Nuppa Site'!G91&lt;&gt;0,'Boletins Nuppa Site'!G91,"NULL")</f>
        <v>60</v>
      </c>
      <c r="E91" s="19">
        <f>IF('Boletins Nuppa Site'!H91&lt;&gt;0,'Boletins Nuppa Site'!H91,"NULL")</f>
        <v>60</v>
      </c>
      <c r="F91" s="19">
        <f>IF('Boletins Nuppa Site'!I91&lt;&gt;0,'Boletins Nuppa Site'!I91,"NULL")</f>
        <v>60</v>
      </c>
      <c r="G91" s="19">
        <f>IF('Boletins Nuppa Site'!J91&lt;&gt;0,'Boletins Nuppa Site'!J91,"NULL")</f>
        <v>60</v>
      </c>
      <c r="H91" s="19">
        <f>IF('Boletins Nuppa Site'!K91&lt;&gt;0,'Boletins Nuppa Site'!K91,"NULL")</f>
        <v>60</v>
      </c>
      <c r="J91" s="1" t="str">
        <f t="shared" si="1"/>
        <v>INSERT INTO COTACAO (blt_id, pap_id, cot_prc_comum, cot_prc_min, cot_prc_max, cot_prc_med, cot_prc_mediana) VALUES (3, 12, 60, 60, 60, 60, 60);</v>
      </c>
    </row>
    <row r="92" spans="1:10" x14ac:dyDescent="0.3">
      <c r="A92" s="1">
        <v>91</v>
      </c>
      <c r="B92" s="1">
        <v>3</v>
      </c>
      <c r="C92" s="1">
        <v>13</v>
      </c>
      <c r="D92" s="1" t="str">
        <f>IF('Boletins Nuppa Site'!G92&lt;&gt;0,'Boletins Nuppa Site'!G92,"NULL")</f>
        <v>NULL</v>
      </c>
      <c r="E92" s="19">
        <f>IF('Boletins Nuppa Site'!H92&lt;&gt;0,'Boletins Nuppa Site'!H92,"NULL")</f>
        <v>48</v>
      </c>
      <c r="F92" s="19">
        <f>IF('Boletins Nuppa Site'!I92&lt;&gt;0,'Boletins Nuppa Site'!I92,"NULL")</f>
        <v>60</v>
      </c>
      <c r="G92" s="19">
        <f>IF('Boletins Nuppa Site'!J92&lt;&gt;0,'Boletins Nuppa Site'!J92,"NULL")</f>
        <v>54</v>
      </c>
      <c r="H92" s="19">
        <f>IF('Boletins Nuppa Site'!K92&lt;&gt;0,'Boletins Nuppa Site'!K92,"NULL")</f>
        <v>54</v>
      </c>
      <c r="J92" s="1" t="str">
        <f t="shared" si="1"/>
        <v>INSERT INTO COTACAO (blt_id, pap_id, cot_prc_comum, cot_prc_min, cot_prc_max, cot_prc_med, cot_prc_mediana) VALUES (3, 13, NULL, 48, 60, 54, 54);</v>
      </c>
    </row>
    <row r="93" spans="1:10" x14ac:dyDescent="0.3">
      <c r="A93" s="1">
        <v>92</v>
      </c>
      <c r="B93" s="1">
        <v>3</v>
      </c>
      <c r="C93" s="1">
        <v>14</v>
      </c>
      <c r="D93" s="1" t="str">
        <f>IF('Boletins Nuppa Site'!G93&lt;&gt;0,'Boletins Nuppa Site'!G93,"NULL")</f>
        <v>NULL</v>
      </c>
      <c r="E93" s="19">
        <f>IF('Boletins Nuppa Site'!H93&lt;&gt;0,'Boletins Nuppa Site'!H93,"NULL")</f>
        <v>42</v>
      </c>
      <c r="F93" s="19">
        <f>IF('Boletins Nuppa Site'!I93&lt;&gt;0,'Boletins Nuppa Site'!I93,"NULL")</f>
        <v>66</v>
      </c>
      <c r="G93" s="19">
        <f>IF('Boletins Nuppa Site'!J93&lt;&gt;0,'Boletins Nuppa Site'!J93,"NULL")</f>
        <v>54</v>
      </c>
      <c r="H93" s="19">
        <f>IF('Boletins Nuppa Site'!K93&lt;&gt;0,'Boletins Nuppa Site'!K93,"NULL")</f>
        <v>54</v>
      </c>
      <c r="J93" s="1" t="str">
        <f t="shared" si="1"/>
        <v>INSERT INTO COTACAO (blt_id, pap_id, cot_prc_comum, cot_prc_min, cot_prc_max, cot_prc_med, cot_prc_mediana) VALUES (3, 14, NULL, 42, 66, 54, 54);</v>
      </c>
    </row>
    <row r="94" spans="1:10" x14ac:dyDescent="0.3">
      <c r="A94" s="1">
        <v>93</v>
      </c>
      <c r="B94" s="1">
        <v>3</v>
      </c>
      <c r="C94" s="1">
        <v>15</v>
      </c>
      <c r="D94" s="19">
        <f>IF('Boletins Nuppa Site'!G94&lt;&gt;0,'Boletins Nuppa Site'!G94,"NULL")</f>
        <v>30</v>
      </c>
      <c r="E94" s="19">
        <f>IF('Boletins Nuppa Site'!H94&lt;&gt;0,'Boletins Nuppa Site'!H94,"NULL")</f>
        <v>25</v>
      </c>
      <c r="F94" s="19">
        <f>IF('Boletins Nuppa Site'!I94&lt;&gt;0,'Boletins Nuppa Site'!I94,"NULL")</f>
        <v>30</v>
      </c>
      <c r="G94" s="1" t="str">
        <f>IF('Boletins Nuppa Site'!J94&lt;&gt;0,'Boletins Nuppa Site'!J94,"NULL")</f>
        <v>28.33</v>
      </c>
      <c r="H94" s="19">
        <f>IF('Boletins Nuppa Site'!K94&lt;&gt;0,'Boletins Nuppa Site'!K94,"NULL")</f>
        <v>30</v>
      </c>
      <c r="J94" s="1" t="str">
        <f t="shared" si="1"/>
        <v>INSERT INTO COTACAO (blt_id, pap_id, cot_prc_comum, cot_prc_min, cot_prc_max, cot_prc_med, cot_prc_mediana) VALUES (3, 15, 30, 25, 30, 28.33, 30);</v>
      </c>
    </row>
    <row r="95" spans="1:10" x14ac:dyDescent="0.3">
      <c r="A95" s="1">
        <v>94</v>
      </c>
      <c r="B95" s="1">
        <v>3</v>
      </c>
      <c r="C95" s="1">
        <v>16</v>
      </c>
      <c r="D95" s="19">
        <f>IF('Boletins Nuppa Site'!G95&lt;&gt;0,'Boletins Nuppa Site'!G95,"NULL")</f>
        <v>42</v>
      </c>
      <c r="E95" s="19">
        <f>IF('Boletins Nuppa Site'!H95&lt;&gt;0,'Boletins Nuppa Site'!H95,"NULL")</f>
        <v>30</v>
      </c>
      <c r="F95" s="19">
        <f>IF('Boletins Nuppa Site'!I95&lt;&gt;0,'Boletins Nuppa Site'!I95,"NULL")</f>
        <v>42</v>
      </c>
      <c r="G95" s="1" t="str">
        <f>IF('Boletins Nuppa Site'!J95&lt;&gt;0,'Boletins Nuppa Site'!J95,"NULL")</f>
        <v>37.5</v>
      </c>
      <c r="H95" s="19">
        <f>IF('Boletins Nuppa Site'!K95&lt;&gt;0,'Boletins Nuppa Site'!K95,"NULL")</f>
        <v>39</v>
      </c>
      <c r="J95" s="1" t="str">
        <f t="shared" si="1"/>
        <v>INSERT INTO COTACAO (blt_id, pap_id, cot_prc_comum, cot_prc_min, cot_prc_max, cot_prc_med, cot_prc_mediana) VALUES (3, 16, 42, 30, 42, 37.5, 39);</v>
      </c>
    </row>
    <row r="96" spans="1:10" x14ac:dyDescent="0.3">
      <c r="A96" s="1">
        <v>95</v>
      </c>
      <c r="B96" s="1">
        <v>3</v>
      </c>
      <c r="C96" s="1">
        <v>17</v>
      </c>
      <c r="D96" s="19">
        <f>IF('Boletins Nuppa Site'!G96&lt;&gt;0,'Boletins Nuppa Site'!G96,"NULL")</f>
        <v>4</v>
      </c>
      <c r="E96" s="19">
        <f>IF('Boletins Nuppa Site'!H96&lt;&gt;0,'Boletins Nuppa Site'!H96,"NULL")</f>
        <v>4</v>
      </c>
      <c r="F96" s="19">
        <f>IF('Boletins Nuppa Site'!I96&lt;&gt;0,'Boletins Nuppa Site'!I96,"NULL")</f>
        <v>5</v>
      </c>
      <c r="G96" s="1" t="str">
        <f>IF('Boletins Nuppa Site'!J96&lt;&gt;0,'Boletins Nuppa Site'!J96,"NULL")</f>
        <v>4.33</v>
      </c>
      <c r="H96" s="19">
        <f>IF('Boletins Nuppa Site'!K96&lt;&gt;0,'Boletins Nuppa Site'!K96,"NULL")</f>
        <v>4</v>
      </c>
      <c r="J96" s="1" t="str">
        <f t="shared" si="1"/>
        <v>INSERT INTO COTACAO (blt_id, pap_id, cot_prc_comum, cot_prc_min, cot_prc_max, cot_prc_med, cot_prc_mediana) VALUES (3, 17, 4, 4, 5, 4.33, 4);</v>
      </c>
    </row>
    <row r="97" spans="1:10" x14ac:dyDescent="0.3">
      <c r="A97" s="1">
        <v>96</v>
      </c>
      <c r="B97" s="1">
        <v>3</v>
      </c>
      <c r="C97" s="1">
        <v>18</v>
      </c>
      <c r="D97" s="19">
        <f>IF('Boletins Nuppa Site'!G97&lt;&gt;0,'Boletins Nuppa Site'!G97,"NULL")</f>
        <v>20</v>
      </c>
      <c r="E97" s="19">
        <f>IF('Boletins Nuppa Site'!H97&lt;&gt;0,'Boletins Nuppa Site'!H97,"NULL")</f>
        <v>20</v>
      </c>
      <c r="F97" s="19">
        <f>IF('Boletins Nuppa Site'!I97&lt;&gt;0,'Boletins Nuppa Site'!I97,"NULL")</f>
        <v>22</v>
      </c>
      <c r="G97" s="1" t="str">
        <f>IF('Boletins Nuppa Site'!J97&lt;&gt;0,'Boletins Nuppa Site'!J97,"NULL")</f>
        <v>20.67</v>
      </c>
      <c r="H97" s="19">
        <f>IF('Boletins Nuppa Site'!K97&lt;&gt;0,'Boletins Nuppa Site'!K97,"NULL")</f>
        <v>20</v>
      </c>
      <c r="J97" s="1" t="str">
        <f t="shared" si="1"/>
        <v>INSERT INTO COTACAO (blt_id, pap_id, cot_prc_comum, cot_prc_min, cot_prc_max, cot_prc_med, cot_prc_mediana) VALUES (3, 18, 20, 20, 22, 20.67, 20);</v>
      </c>
    </row>
    <row r="98" spans="1:10" x14ac:dyDescent="0.3">
      <c r="A98" s="1">
        <v>97</v>
      </c>
      <c r="B98" s="1">
        <v>3</v>
      </c>
      <c r="C98" s="1">
        <v>19</v>
      </c>
      <c r="D98" s="19">
        <f>IF('Boletins Nuppa Site'!G98&lt;&gt;0,'Boletins Nuppa Site'!G98,"NULL")</f>
        <v>25</v>
      </c>
      <c r="E98" s="19">
        <f>IF('Boletins Nuppa Site'!H98&lt;&gt;0,'Boletins Nuppa Site'!H98,"NULL")</f>
        <v>25</v>
      </c>
      <c r="F98" s="19">
        <f>IF('Boletins Nuppa Site'!I98&lt;&gt;0,'Boletins Nuppa Site'!I98,"NULL")</f>
        <v>25</v>
      </c>
      <c r="G98" s="19">
        <f>IF('Boletins Nuppa Site'!J98&lt;&gt;0,'Boletins Nuppa Site'!J98,"NULL")</f>
        <v>25</v>
      </c>
      <c r="H98" s="19">
        <f>IF('Boletins Nuppa Site'!K98&lt;&gt;0,'Boletins Nuppa Site'!K98,"NULL")</f>
        <v>25</v>
      </c>
      <c r="J98" s="1" t="str">
        <f t="shared" si="1"/>
        <v>INSERT INTO COTACAO (blt_id, pap_id, cot_prc_comum, cot_prc_min, cot_prc_max, cot_prc_med, cot_prc_mediana) VALUES (3, 19, 25, 25, 25, 25, 25);</v>
      </c>
    </row>
    <row r="99" spans="1:10" x14ac:dyDescent="0.3">
      <c r="A99" s="1">
        <v>98</v>
      </c>
      <c r="B99" s="1">
        <v>3</v>
      </c>
      <c r="C99" s="1">
        <v>21</v>
      </c>
      <c r="D99" s="19">
        <f>IF('Boletins Nuppa Site'!G99&lt;&gt;0,'Boletins Nuppa Site'!G99,"NULL")</f>
        <v>60</v>
      </c>
      <c r="E99" s="19">
        <f>IF('Boletins Nuppa Site'!H99&lt;&gt;0,'Boletins Nuppa Site'!H99,"NULL")</f>
        <v>40</v>
      </c>
      <c r="F99" s="19">
        <f>IF('Boletins Nuppa Site'!I99&lt;&gt;0,'Boletins Nuppa Site'!I99,"NULL")</f>
        <v>60</v>
      </c>
      <c r="G99" s="19">
        <f>IF('Boletins Nuppa Site'!J99&lt;&gt;0,'Boletins Nuppa Site'!J99,"NULL")</f>
        <v>52</v>
      </c>
      <c r="H99" s="19">
        <f>IF('Boletins Nuppa Site'!K99&lt;&gt;0,'Boletins Nuppa Site'!K99,"NULL")</f>
        <v>55</v>
      </c>
      <c r="J99" s="1" t="str">
        <f t="shared" si="1"/>
        <v>INSERT INTO COTACAO (blt_id, pap_id, cot_prc_comum, cot_prc_min, cot_prc_max, cot_prc_med, cot_prc_mediana) VALUES (3, 21, 60, 40, 60, 52, 55);</v>
      </c>
    </row>
    <row r="100" spans="1:10" x14ac:dyDescent="0.3">
      <c r="A100" s="1">
        <v>99</v>
      </c>
      <c r="B100" s="1">
        <v>3</v>
      </c>
      <c r="C100" s="1">
        <v>22</v>
      </c>
      <c r="D100" s="19">
        <f>IF('Boletins Nuppa Site'!G100&lt;&gt;0,'Boletins Nuppa Site'!G100,"NULL")</f>
        <v>50</v>
      </c>
      <c r="E100" s="19">
        <f>IF('Boletins Nuppa Site'!H100&lt;&gt;0,'Boletins Nuppa Site'!H100,"NULL")</f>
        <v>50</v>
      </c>
      <c r="F100" s="19">
        <f>IF('Boletins Nuppa Site'!I100&lt;&gt;0,'Boletins Nuppa Site'!I100,"NULL")</f>
        <v>65</v>
      </c>
      <c r="G100" s="1" t="str">
        <f>IF('Boletins Nuppa Site'!J100&lt;&gt;0,'Boletins Nuppa Site'!J100,"NULL")</f>
        <v>55.83</v>
      </c>
      <c r="H100" s="19">
        <f>IF('Boletins Nuppa Site'!K100&lt;&gt;0,'Boletins Nuppa Site'!K100,"NULL")</f>
        <v>55</v>
      </c>
      <c r="J100" s="1" t="str">
        <f t="shared" si="1"/>
        <v>INSERT INTO COTACAO (blt_id, pap_id, cot_prc_comum, cot_prc_min, cot_prc_max, cot_prc_med, cot_prc_mediana) VALUES (3, 22, 50, 50, 65, 55.83, 55);</v>
      </c>
    </row>
    <row r="101" spans="1:10" x14ac:dyDescent="0.3">
      <c r="A101" s="1">
        <v>100</v>
      </c>
      <c r="B101" s="1">
        <v>3</v>
      </c>
      <c r="C101" s="1">
        <v>23</v>
      </c>
      <c r="D101" s="19">
        <f>IF('Boletins Nuppa Site'!G101&lt;&gt;0,'Boletins Nuppa Site'!G101,"NULL")</f>
        <v>50</v>
      </c>
      <c r="E101" s="19">
        <f>IF('Boletins Nuppa Site'!H101&lt;&gt;0,'Boletins Nuppa Site'!H101,"NULL")</f>
        <v>35</v>
      </c>
      <c r="F101" s="19">
        <f>IF('Boletins Nuppa Site'!I101&lt;&gt;0,'Boletins Nuppa Site'!I101,"NULL")</f>
        <v>55</v>
      </c>
      <c r="G101" s="1" t="str">
        <f>IF('Boletins Nuppa Site'!J101&lt;&gt;0,'Boletins Nuppa Site'!J101,"NULL")</f>
        <v>45.83</v>
      </c>
      <c r="H101" s="1" t="str">
        <f>IF('Boletins Nuppa Site'!K101&lt;&gt;0,'Boletins Nuppa Site'!K101,"NULL")</f>
        <v>47.5</v>
      </c>
      <c r="J101" s="1" t="str">
        <f t="shared" si="1"/>
        <v>INSERT INTO COTACAO (blt_id, pap_id, cot_prc_comum, cot_prc_min, cot_prc_max, cot_prc_med, cot_prc_mediana) VALUES (3, 23, 50, 35, 55, 45.83, 47.5);</v>
      </c>
    </row>
    <row r="102" spans="1:10" x14ac:dyDescent="0.3">
      <c r="A102" s="1">
        <v>101</v>
      </c>
      <c r="B102" s="1">
        <v>3</v>
      </c>
      <c r="C102" s="1">
        <v>24</v>
      </c>
      <c r="D102" s="1" t="str">
        <f>IF('Boletins Nuppa Site'!G102&lt;&gt;0,'Boletins Nuppa Site'!G102,"NULL")</f>
        <v>NULL</v>
      </c>
      <c r="E102" s="19">
        <f>IF('Boletins Nuppa Site'!H102&lt;&gt;0,'Boletins Nuppa Site'!H102,"NULL")</f>
        <v>120</v>
      </c>
      <c r="F102" s="19">
        <f>IF('Boletins Nuppa Site'!I102&lt;&gt;0,'Boletins Nuppa Site'!I102,"NULL")</f>
        <v>120</v>
      </c>
      <c r="G102" s="19">
        <f>IF('Boletins Nuppa Site'!J102&lt;&gt;0,'Boletins Nuppa Site'!J102,"NULL")</f>
        <v>120</v>
      </c>
      <c r="H102" s="19">
        <f>IF('Boletins Nuppa Site'!K102&lt;&gt;0,'Boletins Nuppa Site'!K102,"NULL")</f>
        <v>120</v>
      </c>
      <c r="J102" s="1" t="str">
        <f t="shared" si="1"/>
        <v>INSERT INTO COTACAO (blt_id, pap_id, cot_prc_comum, cot_prc_min, cot_prc_max, cot_prc_med, cot_prc_mediana) VALUES (3, 24, NULL, 120, 120, 120, 120);</v>
      </c>
    </row>
    <row r="103" spans="1:10" x14ac:dyDescent="0.3">
      <c r="A103" s="1">
        <v>102</v>
      </c>
      <c r="B103" s="1">
        <v>3</v>
      </c>
      <c r="C103" s="1">
        <v>25</v>
      </c>
      <c r="D103" s="19">
        <f>IF('Boletins Nuppa Site'!G103&lt;&gt;0,'Boletins Nuppa Site'!G103,"NULL")</f>
        <v>50</v>
      </c>
      <c r="E103" s="19">
        <f>IF('Boletins Nuppa Site'!H103&lt;&gt;0,'Boletins Nuppa Site'!H103,"NULL")</f>
        <v>50</v>
      </c>
      <c r="F103" s="19">
        <f>IF('Boletins Nuppa Site'!I103&lt;&gt;0,'Boletins Nuppa Site'!I103,"NULL")</f>
        <v>60</v>
      </c>
      <c r="G103" s="1" t="str">
        <f>IF('Boletins Nuppa Site'!J103&lt;&gt;0,'Boletins Nuppa Site'!J103,"NULL")</f>
        <v>53.75</v>
      </c>
      <c r="H103" s="1" t="str">
        <f>IF('Boletins Nuppa Site'!K103&lt;&gt;0,'Boletins Nuppa Site'!K103,"NULL")</f>
        <v>52.5</v>
      </c>
      <c r="J103" s="1" t="str">
        <f t="shared" si="1"/>
        <v>INSERT INTO COTACAO (blt_id, pap_id, cot_prc_comum, cot_prc_min, cot_prc_max, cot_prc_med, cot_prc_mediana) VALUES (3, 25, 50, 50, 60, 53.75, 52.5);</v>
      </c>
    </row>
    <row r="104" spans="1:10" x14ac:dyDescent="0.3">
      <c r="A104" s="1">
        <v>103</v>
      </c>
      <c r="B104" s="1">
        <v>3</v>
      </c>
      <c r="C104" s="1">
        <v>26</v>
      </c>
      <c r="D104" s="19">
        <f>IF('Boletins Nuppa Site'!G104&lt;&gt;0,'Boletins Nuppa Site'!G104,"NULL")</f>
        <v>80</v>
      </c>
      <c r="E104" s="19">
        <f>IF('Boletins Nuppa Site'!H104&lt;&gt;0,'Boletins Nuppa Site'!H104,"NULL")</f>
        <v>50</v>
      </c>
      <c r="F104" s="19">
        <f>IF('Boletins Nuppa Site'!I104&lt;&gt;0,'Boletins Nuppa Site'!I104,"NULL")</f>
        <v>80</v>
      </c>
      <c r="G104" s="19">
        <f>IF('Boletins Nuppa Site'!J104&lt;&gt;0,'Boletins Nuppa Site'!J104,"NULL")</f>
        <v>66</v>
      </c>
      <c r="H104" s="19">
        <f>IF('Boletins Nuppa Site'!K104&lt;&gt;0,'Boletins Nuppa Site'!K104,"NULL")</f>
        <v>65</v>
      </c>
      <c r="J104" s="1" t="str">
        <f t="shared" si="1"/>
        <v>INSERT INTO COTACAO (blt_id, pap_id, cot_prc_comum, cot_prc_min, cot_prc_max, cot_prc_med, cot_prc_mediana) VALUES (3, 26, 80, 50, 80, 66, 65);</v>
      </c>
    </row>
    <row r="105" spans="1:10" x14ac:dyDescent="0.3">
      <c r="A105" s="1">
        <v>104</v>
      </c>
      <c r="B105" s="1">
        <v>3</v>
      </c>
      <c r="C105" s="1">
        <v>27</v>
      </c>
      <c r="D105" s="19">
        <f>IF('Boletins Nuppa Site'!G105&lt;&gt;0,'Boletins Nuppa Site'!G105,"NULL")</f>
        <v>70</v>
      </c>
      <c r="E105" s="19">
        <f>IF('Boletins Nuppa Site'!H105&lt;&gt;0,'Boletins Nuppa Site'!H105,"NULL")</f>
        <v>70</v>
      </c>
      <c r="F105" s="19">
        <f>IF('Boletins Nuppa Site'!I105&lt;&gt;0,'Boletins Nuppa Site'!I105,"NULL")</f>
        <v>80</v>
      </c>
      <c r="G105" s="1" t="str">
        <f>IF('Boletins Nuppa Site'!J105&lt;&gt;0,'Boletins Nuppa Site'!J105,"NULL")</f>
        <v>73.33</v>
      </c>
      <c r="H105" s="19">
        <f>IF('Boletins Nuppa Site'!K105&lt;&gt;0,'Boletins Nuppa Site'!K105,"NULL")</f>
        <v>70</v>
      </c>
      <c r="J105" s="1" t="str">
        <f t="shared" si="1"/>
        <v>INSERT INTO COTACAO (blt_id, pap_id, cot_prc_comum, cot_prc_min, cot_prc_max, cot_prc_med, cot_prc_mediana) VALUES (3, 27, 70, 70, 80, 73.33, 70);</v>
      </c>
    </row>
    <row r="106" spans="1:10" x14ac:dyDescent="0.3">
      <c r="A106" s="1">
        <v>105</v>
      </c>
      <c r="B106" s="1">
        <v>3</v>
      </c>
      <c r="C106" s="1">
        <v>28</v>
      </c>
      <c r="D106" s="19">
        <f>IF('Boletins Nuppa Site'!G106&lt;&gt;0,'Boletins Nuppa Site'!G106,"NULL")</f>
        <v>70</v>
      </c>
      <c r="E106" s="19">
        <f>IF('Boletins Nuppa Site'!H106&lt;&gt;0,'Boletins Nuppa Site'!H106,"NULL")</f>
        <v>60</v>
      </c>
      <c r="F106" s="19">
        <f>IF('Boletins Nuppa Site'!I106&lt;&gt;0,'Boletins Nuppa Site'!I106,"NULL")</f>
        <v>70</v>
      </c>
      <c r="G106" s="19">
        <f>IF('Boletins Nuppa Site'!J106&lt;&gt;0,'Boletins Nuppa Site'!J106,"NULL")</f>
        <v>66</v>
      </c>
      <c r="H106" s="19">
        <f>IF('Boletins Nuppa Site'!K106&lt;&gt;0,'Boletins Nuppa Site'!K106,"NULL")</f>
        <v>70</v>
      </c>
      <c r="J106" s="1" t="str">
        <f t="shared" si="1"/>
        <v>INSERT INTO COTACAO (blt_id, pap_id, cot_prc_comum, cot_prc_min, cot_prc_max, cot_prc_med, cot_prc_mediana) VALUES (3, 28, 70, 60, 70, 66, 70);</v>
      </c>
    </row>
    <row r="107" spans="1:10" x14ac:dyDescent="0.3">
      <c r="A107" s="1">
        <v>106</v>
      </c>
      <c r="B107" s="1">
        <v>3</v>
      </c>
      <c r="C107" s="1">
        <v>29</v>
      </c>
      <c r="D107" s="19">
        <f>IF('Boletins Nuppa Site'!G107&lt;&gt;0,'Boletins Nuppa Site'!G107,"NULL")</f>
        <v>60</v>
      </c>
      <c r="E107" s="19">
        <f>IF('Boletins Nuppa Site'!H107&lt;&gt;0,'Boletins Nuppa Site'!H107,"NULL")</f>
        <v>60</v>
      </c>
      <c r="F107" s="19">
        <f>IF('Boletins Nuppa Site'!I107&lt;&gt;0,'Boletins Nuppa Site'!I107,"NULL")</f>
        <v>60</v>
      </c>
      <c r="G107" s="19">
        <f>IF('Boletins Nuppa Site'!J107&lt;&gt;0,'Boletins Nuppa Site'!J107,"NULL")</f>
        <v>60</v>
      </c>
      <c r="H107" s="19">
        <f>IF('Boletins Nuppa Site'!K107&lt;&gt;0,'Boletins Nuppa Site'!K107,"NULL")</f>
        <v>60</v>
      </c>
      <c r="J107" s="1" t="str">
        <f t="shared" si="1"/>
        <v>INSERT INTO COTACAO (blt_id, pap_id, cot_prc_comum, cot_prc_min, cot_prc_max, cot_prc_med, cot_prc_mediana) VALUES (3, 29, 60, 60, 60, 60, 60);</v>
      </c>
    </row>
    <row r="108" spans="1:10" x14ac:dyDescent="0.3">
      <c r="A108" s="1">
        <v>107</v>
      </c>
      <c r="B108" s="1">
        <v>3</v>
      </c>
      <c r="C108" s="1">
        <v>30</v>
      </c>
      <c r="D108" s="19">
        <f>IF('Boletins Nuppa Site'!G108&lt;&gt;0,'Boletins Nuppa Site'!G108,"NULL")</f>
        <v>60</v>
      </c>
      <c r="E108" s="19">
        <f>IF('Boletins Nuppa Site'!H108&lt;&gt;0,'Boletins Nuppa Site'!H108,"NULL")</f>
        <v>40</v>
      </c>
      <c r="F108" s="19">
        <f>IF('Boletins Nuppa Site'!I108&lt;&gt;0,'Boletins Nuppa Site'!I108,"NULL")</f>
        <v>60</v>
      </c>
      <c r="G108" s="19">
        <f>IF('Boletins Nuppa Site'!J108&lt;&gt;0,'Boletins Nuppa Site'!J108,"NULL")</f>
        <v>53</v>
      </c>
      <c r="H108" s="19">
        <f>IF('Boletins Nuppa Site'!K108&lt;&gt;0,'Boletins Nuppa Site'!K108,"NULL")</f>
        <v>55</v>
      </c>
      <c r="J108" s="1" t="str">
        <f t="shared" si="1"/>
        <v>INSERT INTO COTACAO (blt_id, pap_id, cot_prc_comum, cot_prc_min, cot_prc_max, cot_prc_med, cot_prc_mediana) VALUES (3, 30, 60, 40, 60, 53, 55);</v>
      </c>
    </row>
    <row r="109" spans="1:10" x14ac:dyDescent="0.3">
      <c r="A109" s="1">
        <v>108</v>
      </c>
      <c r="B109" s="1">
        <v>3</v>
      </c>
      <c r="C109" s="1">
        <v>31</v>
      </c>
      <c r="D109" s="19">
        <f>IF('Boletins Nuppa Site'!G109&lt;&gt;0,'Boletins Nuppa Site'!G109,"NULL")</f>
        <v>70</v>
      </c>
      <c r="E109" s="19">
        <f>IF('Boletins Nuppa Site'!H109&lt;&gt;0,'Boletins Nuppa Site'!H109,"NULL")</f>
        <v>60</v>
      </c>
      <c r="F109" s="19">
        <f>IF('Boletins Nuppa Site'!I109&lt;&gt;0,'Boletins Nuppa Site'!I109,"NULL")</f>
        <v>80</v>
      </c>
      <c r="G109" s="19">
        <f>IF('Boletins Nuppa Site'!J109&lt;&gt;0,'Boletins Nuppa Site'!J109,"NULL")</f>
        <v>71</v>
      </c>
      <c r="H109" s="19">
        <f>IF('Boletins Nuppa Site'!K109&lt;&gt;0,'Boletins Nuppa Site'!K109,"NULL")</f>
        <v>70</v>
      </c>
      <c r="J109" s="1" t="str">
        <f t="shared" si="1"/>
        <v>INSERT INTO COTACAO (blt_id, pap_id, cot_prc_comum, cot_prc_min, cot_prc_max, cot_prc_med, cot_prc_mediana) VALUES (3, 31, 70, 60, 80, 71, 70);</v>
      </c>
    </row>
    <row r="110" spans="1:10" x14ac:dyDescent="0.3">
      <c r="A110" s="1">
        <v>109</v>
      </c>
      <c r="B110" s="1">
        <v>3</v>
      </c>
      <c r="C110" s="1">
        <v>32</v>
      </c>
      <c r="D110" s="19">
        <f>IF('Boletins Nuppa Site'!G110&lt;&gt;0,'Boletins Nuppa Site'!G110,"NULL")</f>
        <v>40</v>
      </c>
      <c r="E110" s="19">
        <f>IF('Boletins Nuppa Site'!H110&lt;&gt;0,'Boletins Nuppa Site'!H110,"NULL")</f>
        <v>35</v>
      </c>
      <c r="F110" s="19">
        <f>IF('Boletins Nuppa Site'!I110&lt;&gt;0,'Boletins Nuppa Site'!I110,"NULL")</f>
        <v>45</v>
      </c>
      <c r="G110" s="19">
        <f>IF('Boletins Nuppa Site'!J110&lt;&gt;0,'Boletins Nuppa Site'!J110,"NULL")</f>
        <v>40</v>
      </c>
      <c r="H110" s="19">
        <f>IF('Boletins Nuppa Site'!K110&lt;&gt;0,'Boletins Nuppa Site'!K110,"NULL")</f>
        <v>40</v>
      </c>
      <c r="J110" s="1" t="str">
        <f t="shared" si="1"/>
        <v>INSERT INTO COTACAO (blt_id, pap_id, cot_prc_comum, cot_prc_min, cot_prc_max, cot_prc_med, cot_prc_mediana) VALUES (3, 32, 40, 35, 45, 40, 40);</v>
      </c>
    </row>
    <row r="111" spans="1:10" x14ac:dyDescent="0.3">
      <c r="A111" s="1">
        <v>110</v>
      </c>
      <c r="B111" s="1">
        <v>3</v>
      </c>
      <c r="C111" s="1">
        <v>33</v>
      </c>
      <c r="D111" s="19">
        <f>IF('Boletins Nuppa Site'!G111&lt;&gt;0,'Boletins Nuppa Site'!G111,"NULL")</f>
        <v>70</v>
      </c>
      <c r="E111" s="19">
        <f>IF('Boletins Nuppa Site'!H111&lt;&gt;0,'Boletins Nuppa Site'!H111,"NULL")</f>
        <v>60</v>
      </c>
      <c r="F111" s="19">
        <f>IF('Boletins Nuppa Site'!I111&lt;&gt;0,'Boletins Nuppa Site'!I111,"NULL")</f>
        <v>75</v>
      </c>
      <c r="G111" s="1" t="str">
        <f>IF('Boletins Nuppa Site'!J111&lt;&gt;0,'Boletins Nuppa Site'!J111,"NULL")</f>
        <v>68.75</v>
      </c>
      <c r="H111" s="19">
        <f>IF('Boletins Nuppa Site'!K111&lt;&gt;0,'Boletins Nuppa Site'!K111,"NULL")</f>
        <v>70</v>
      </c>
      <c r="J111" s="1" t="str">
        <f t="shared" si="1"/>
        <v>INSERT INTO COTACAO (blt_id, pap_id, cot_prc_comum, cot_prc_min, cot_prc_max, cot_prc_med, cot_prc_mediana) VALUES (3, 33, 70, 60, 75, 68.75, 70);</v>
      </c>
    </row>
    <row r="112" spans="1:10" x14ac:dyDescent="0.3">
      <c r="A112" s="1">
        <v>111</v>
      </c>
      <c r="B112" s="1">
        <v>3</v>
      </c>
      <c r="C112" s="1">
        <v>34</v>
      </c>
      <c r="D112" s="19">
        <f>IF('Boletins Nuppa Site'!G112&lt;&gt;0,'Boletins Nuppa Site'!G112,"NULL")</f>
        <v>90</v>
      </c>
      <c r="E112" s="19">
        <f>IF('Boletins Nuppa Site'!H112&lt;&gt;0,'Boletins Nuppa Site'!H112,"NULL")</f>
        <v>70</v>
      </c>
      <c r="F112" s="19">
        <f>IF('Boletins Nuppa Site'!I112&lt;&gt;0,'Boletins Nuppa Site'!I112,"NULL")</f>
        <v>100</v>
      </c>
      <c r="G112" s="1" t="str">
        <f>IF('Boletins Nuppa Site'!J112&lt;&gt;0,'Boletins Nuppa Site'!J112,"NULL")</f>
        <v>84.17</v>
      </c>
      <c r="H112" s="19">
        <f>IF('Boletins Nuppa Site'!K112&lt;&gt;0,'Boletins Nuppa Site'!K112,"NULL")</f>
        <v>85</v>
      </c>
      <c r="J112" s="1" t="str">
        <f t="shared" si="1"/>
        <v>INSERT INTO COTACAO (blt_id, pap_id, cot_prc_comum, cot_prc_min, cot_prc_max, cot_prc_med, cot_prc_mediana) VALUES (3, 34, 90, 70, 100, 84.17, 85);</v>
      </c>
    </row>
    <row r="113" spans="1:10" x14ac:dyDescent="0.3">
      <c r="A113" s="1">
        <v>112</v>
      </c>
      <c r="B113" s="1">
        <v>3</v>
      </c>
      <c r="C113" s="1">
        <v>35</v>
      </c>
      <c r="D113" s="19">
        <f>IF('Boletins Nuppa Site'!G113&lt;&gt;0,'Boletins Nuppa Site'!G113,"NULL")</f>
        <v>120</v>
      </c>
      <c r="E113" s="19">
        <f>IF('Boletins Nuppa Site'!H113&lt;&gt;0,'Boletins Nuppa Site'!H113,"NULL")</f>
        <v>100</v>
      </c>
      <c r="F113" s="19">
        <f>IF('Boletins Nuppa Site'!I113&lt;&gt;0,'Boletins Nuppa Site'!I113,"NULL")</f>
        <v>120</v>
      </c>
      <c r="G113" s="19">
        <f>IF('Boletins Nuppa Site'!J113&lt;&gt;0,'Boletins Nuppa Site'!J113,"NULL")</f>
        <v>115</v>
      </c>
      <c r="H113" s="19">
        <f>IF('Boletins Nuppa Site'!K113&lt;&gt;0,'Boletins Nuppa Site'!K113,"NULL")</f>
        <v>120</v>
      </c>
      <c r="J113" s="1" t="str">
        <f t="shared" si="1"/>
        <v>INSERT INTO COTACAO (blt_id, pap_id, cot_prc_comum, cot_prc_min, cot_prc_max, cot_prc_med, cot_prc_mediana) VALUES (3, 35, 120, 100, 120, 115, 120);</v>
      </c>
    </row>
    <row r="114" spans="1:10" x14ac:dyDescent="0.3">
      <c r="A114" s="1">
        <v>113</v>
      </c>
      <c r="B114" s="1">
        <v>3</v>
      </c>
      <c r="C114" s="1">
        <v>36</v>
      </c>
      <c r="D114" s="1" t="str">
        <f>IF('Boletins Nuppa Site'!G114&lt;&gt;0,'Boletins Nuppa Site'!G114,"NULL")</f>
        <v>NULL</v>
      </c>
      <c r="E114" s="1" t="str">
        <f>IF('Boletins Nuppa Site'!H114&lt;&gt;0,'Boletins Nuppa Site'!H114,"NULL")</f>
        <v>NULL</v>
      </c>
      <c r="F114" s="1" t="str">
        <f>IF('Boletins Nuppa Site'!I114&lt;&gt;0,'Boletins Nuppa Site'!I114,"NULL")</f>
        <v>NULL</v>
      </c>
      <c r="G114" s="1" t="str">
        <f>IF('Boletins Nuppa Site'!J114&lt;&gt;0,'Boletins Nuppa Site'!J114,"NULL")</f>
        <v>NULL</v>
      </c>
      <c r="H114" s="1" t="str">
        <f>IF('Boletins Nuppa Site'!K114&lt;&gt;0,'Boletins Nuppa Site'!K114,"NULL")</f>
        <v>NULL</v>
      </c>
      <c r="J114" s="1" t="str">
        <f t="shared" si="1"/>
        <v>INSERT INTO COTACAO (blt_id, pap_id, cot_prc_comum, cot_prc_min, cot_prc_max, cot_prc_med, cot_prc_mediana) VALUES (3, 36, NULL, NULL, NULL, NULL, NULL);</v>
      </c>
    </row>
    <row r="115" spans="1:10" x14ac:dyDescent="0.3">
      <c r="A115" s="1">
        <v>114</v>
      </c>
      <c r="B115" s="1">
        <v>3</v>
      </c>
      <c r="C115" s="1">
        <v>37</v>
      </c>
      <c r="D115" s="1" t="str">
        <f>IF('Boletins Nuppa Site'!G115&lt;&gt;0,'Boletins Nuppa Site'!G115,"NULL")</f>
        <v>NULL</v>
      </c>
      <c r="E115" s="1" t="str">
        <f>IF('Boletins Nuppa Site'!H115&lt;&gt;0,'Boletins Nuppa Site'!H115,"NULL")</f>
        <v>NULL</v>
      </c>
      <c r="F115" s="1" t="str">
        <f>IF('Boletins Nuppa Site'!I115&lt;&gt;0,'Boletins Nuppa Site'!I115,"NULL")</f>
        <v>NULL</v>
      </c>
      <c r="G115" s="1" t="str">
        <f>IF('Boletins Nuppa Site'!J115&lt;&gt;0,'Boletins Nuppa Site'!J115,"NULL")</f>
        <v>NULL</v>
      </c>
      <c r="H115" s="1" t="str">
        <f>IF('Boletins Nuppa Site'!K115&lt;&gt;0,'Boletins Nuppa Site'!K115,"NULL")</f>
        <v>NULL</v>
      </c>
      <c r="J115" s="1" t="str">
        <f t="shared" si="1"/>
        <v>INSERT INTO COTACAO (blt_id, pap_id, cot_prc_comum, cot_prc_min, cot_prc_max, cot_prc_med, cot_prc_mediana) VALUES (3, 37, NULL, NULL, NULL, NULL, NULL);</v>
      </c>
    </row>
    <row r="116" spans="1:10" x14ac:dyDescent="0.3">
      <c r="A116" s="1">
        <v>115</v>
      </c>
      <c r="B116" s="1">
        <v>3</v>
      </c>
      <c r="C116" s="1">
        <v>38</v>
      </c>
      <c r="D116" s="1" t="str">
        <f>IF('Boletins Nuppa Site'!G116&lt;&gt;0,'Boletins Nuppa Site'!G116,"NULL")</f>
        <v>NULL</v>
      </c>
      <c r="E116" s="1" t="str">
        <f>IF('Boletins Nuppa Site'!H116&lt;&gt;0,'Boletins Nuppa Site'!H116,"NULL")</f>
        <v>NULL</v>
      </c>
      <c r="F116" s="1" t="str">
        <f>IF('Boletins Nuppa Site'!I116&lt;&gt;0,'Boletins Nuppa Site'!I116,"NULL")</f>
        <v>NULL</v>
      </c>
      <c r="G116" s="1" t="str">
        <f>IF('Boletins Nuppa Site'!J116&lt;&gt;0,'Boletins Nuppa Site'!J116,"NULL")</f>
        <v>NULL</v>
      </c>
      <c r="H116" s="1" t="str">
        <f>IF('Boletins Nuppa Site'!K116&lt;&gt;0,'Boletins Nuppa Site'!K116,"NULL")</f>
        <v>NULL</v>
      </c>
      <c r="J116" s="1" t="str">
        <f t="shared" si="1"/>
        <v>INSERT INTO COTACAO (blt_id, pap_id, cot_prc_comum, cot_prc_min, cot_prc_max, cot_prc_med, cot_prc_mediana) VALUES (3, 38, NULL, NULL, NULL, NULL, NULL);</v>
      </c>
    </row>
    <row r="117" spans="1:10" x14ac:dyDescent="0.3">
      <c r="A117" s="1">
        <v>116</v>
      </c>
      <c r="B117" s="1">
        <v>3</v>
      </c>
      <c r="C117" s="1">
        <v>39</v>
      </c>
      <c r="D117" s="1" t="str">
        <f>IF('Boletins Nuppa Site'!G117&lt;&gt;0,'Boletins Nuppa Site'!G117,"NULL")</f>
        <v>NULL</v>
      </c>
      <c r="E117" s="1" t="str">
        <f>IF('Boletins Nuppa Site'!H117&lt;&gt;0,'Boletins Nuppa Site'!H117,"NULL")</f>
        <v>NULL</v>
      </c>
      <c r="F117" s="1" t="str">
        <f>IF('Boletins Nuppa Site'!I117&lt;&gt;0,'Boletins Nuppa Site'!I117,"NULL")</f>
        <v>NULL</v>
      </c>
      <c r="G117" s="1" t="str">
        <f>IF('Boletins Nuppa Site'!J117&lt;&gt;0,'Boletins Nuppa Site'!J117,"NULL")</f>
        <v>NULL</v>
      </c>
      <c r="H117" s="1" t="str">
        <f>IF('Boletins Nuppa Site'!K117&lt;&gt;0,'Boletins Nuppa Site'!K117,"NULL")</f>
        <v>NULL</v>
      </c>
      <c r="J117" s="1" t="str">
        <f t="shared" si="1"/>
        <v>INSERT INTO COTACAO (blt_id, pap_id, cot_prc_comum, cot_prc_min, cot_prc_max, cot_prc_med, cot_prc_mediana) VALUES (3, 39, NULL, NULL, NULL, NULL, NULL);</v>
      </c>
    </row>
    <row r="118" spans="1:10" x14ac:dyDescent="0.3">
      <c r="A118" s="1">
        <v>117</v>
      </c>
      <c r="B118" s="1">
        <v>3</v>
      </c>
      <c r="C118" s="1">
        <v>40</v>
      </c>
      <c r="D118" s="1" t="str">
        <f>IF('Boletins Nuppa Site'!G118&lt;&gt;0,'Boletins Nuppa Site'!G118,"NULL")</f>
        <v>NULL</v>
      </c>
      <c r="E118" s="1" t="str">
        <f>IF('Boletins Nuppa Site'!H118&lt;&gt;0,'Boletins Nuppa Site'!H118,"NULL")</f>
        <v>NULL</v>
      </c>
      <c r="F118" s="1" t="str">
        <f>IF('Boletins Nuppa Site'!I118&lt;&gt;0,'Boletins Nuppa Site'!I118,"NULL")</f>
        <v>NULL</v>
      </c>
      <c r="G118" s="1" t="str">
        <f>IF('Boletins Nuppa Site'!J118&lt;&gt;0,'Boletins Nuppa Site'!J118,"NULL")</f>
        <v>NULL</v>
      </c>
      <c r="H118" s="1" t="str">
        <f>IF('Boletins Nuppa Site'!K118&lt;&gt;0,'Boletins Nuppa Site'!K118,"NULL")</f>
        <v>NULL</v>
      </c>
      <c r="J118" s="1" t="str">
        <f t="shared" si="1"/>
        <v>INSERT INTO COTACAO (blt_id, pap_id, cot_prc_comum, cot_prc_min, cot_prc_max, cot_prc_med, cot_prc_mediana) VALUES (3, 40, NULL, NULL, NULL, NULL, NULL);</v>
      </c>
    </row>
    <row r="119" spans="1:10" x14ac:dyDescent="0.3">
      <c r="A119" s="1">
        <v>118</v>
      </c>
      <c r="B119" s="1">
        <v>4</v>
      </c>
      <c r="C119" s="1">
        <v>1</v>
      </c>
      <c r="D119" s="19">
        <f>IF('Boletins Nuppa Site'!G119&lt;&gt;0,'Boletins Nuppa Site'!G119,"NULL")</f>
        <v>42</v>
      </c>
      <c r="E119" s="19">
        <f>IF('Boletins Nuppa Site'!H119&lt;&gt;0,'Boletins Nuppa Site'!H119,"NULL")</f>
        <v>42</v>
      </c>
      <c r="F119" s="19">
        <f>IF('Boletins Nuppa Site'!I119&lt;&gt;0,'Boletins Nuppa Site'!I119,"NULL")</f>
        <v>42</v>
      </c>
      <c r="G119" s="19">
        <f>IF('Boletins Nuppa Site'!J119&lt;&gt;0,'Boletins Nuppa Site'!J119,"NULL")</f>
        <v>42</v>
      </c>
      <c r="H119" s="19">
        <f>IF('Boletins Nuppa Site'!K119&lt;&gt;0,'Boletins Nuppa Site'!K119,"NULL")</f>
        <v>42</v>
      </c>
      <c r="J119" s="1" t="str">
        <f t="shared" si="1"/>
        <v>INSERT INTO COTACAO (blt_id, pap_id, cot_prc_comum, cot_prc_min, cot_prc_max, cot_prc_med, cot_prc_mediana) VALUES (4, 1, 42, 42, 42, 42, 42);</v>
      </c>
    </row>
    <row r="120" spans="1:10" x14ac:dyDescent="0.3">
      <c r="A120" s="1">
        <v>119</v>
      </c>
      <c r="B120" s="1">
        <v>4</v>
      </c>
      <c r="C120" s="1">
        <v>2</v>
      </c>
      <c r="D120" s="19">
        <f>IF('Boletins Nuppa Site'!G120&lt;&gt;0,'Boletins Nuppa Site'!G120,"NULL")</f>
        <v>60</v>
      </c>
      <c r="E120" s="19">
        <f>IF('Boletins Nuppa Site'!H120&lt;&gt;0,'Boletins Nuppa Site'!H120,"NULL")</f>
        <v>60</v>
      </c>
      <c r="F120" s="19">
        <f>IF('Boletins Nuppa Site'!I120&lt;&gt;0,'Boletins Nuppa Site'!I120,"NULL")</f>
        <v>60</v>
      </c>
      <c r="G120" s="19">
        <f>IF('Boletins Nuppa Site'!J120&lt;&gt;0,'Boletins Nuppa Site'!J120,"NULL")</f>
        <v>60</v>
      </c>
      <c r="H120" s="19">
        <f>IF('Boletins Nuppa Site'!K120&lt;&gt;0,'Boletins Nuppa Site'!K120,"NULL")</f>
        <v>60</v>
      </c>
      <c r="J120" s="1" t="str">
        <f t="shared" si="1"/>
        <v>INSERT INTO COTACAO (blt_id, pap_id, cot_prc_comum, cot_prc_min, cot_prc_max, cot_prc_med, cot_prc_mediana) VALUES (4, 2, 60, 60, 60, 60, 60);</v>
      </c>
    </row>
    <row r="121" spans="1:10" x14ac:dyDescent="0.3">
      <c r="A121" s="1">
        <v>120</v>
      </c>
      <c r="B121" s="1">
        <v>4</v>
      </c>
      <c r="C121" s="1">
        <v>3</v>
      </c>
      <c r="D121" s="1" t="str">
        <f>IF('Boletins Nuppa Site'!G121&lt;&gt;0,'Boletins Nuppa Site'!G121,"NULL")</f>
        <v>NULL</v>
      </c>
      <c r="E121" s="19">
        <f>IF('Boletins Nuppa Site'!H121&lt;&gt;0,'Boletins Nuppa Site'!H121,"NULL")</f>
        <v>36</v>
      </c>
      <c r="F121" s="19">
        <f>IF('Boletins Nuppa Site'!I121&lt;&gt;0,'Boletins Nuppa Site'!I121,"NULL")</f>
        <v>42</v>
      </c>
      <c r="G121" s="19">
        <f>IF('Boletins Nuppa Site'!J121&lt;&gt;0,'Boletins Nuppa Site'!J121,"NULL")</f>
        <v>39</v>
      </c>
      <c r="H121" s="19">
        <f>IF('Boletins Nuppa Site'!K121&lt;&gt;0,'Boletins Nuppa Site'!K121,"NULL")</f>
        <v>39</v>
      </c>
      <c r="J121" s="1" t="str">
        <f t="shared" si="1"/>
        <v>INSERT INTO COTACAO (blt_id, pap_id, cot_prc_comum, cot_prc_min, cot_prc_max, cot_prc_med, cot_prc_mediana) VALUES (4, 3, NULL, 36, 42, 39, 39);</v>
      </c>
    </row>
    <row r="122" spans="1:10" x14ac:dyDescent="0.3">
      <c r="A122" s="1">
        <v>121</v>
      </c>
      <c r="B122" s="1">
        <v>4</v>
      </c>
      <c r="C122" s="1">
        <v>4</v>
      </c>
      <c r="D122" s="19">
        <f>IF('Boletins Nuppa Site'!G122&lt;&gt;0,'Boletins Nuppa Site'!G122,"NULL")</f>
        <v>24</v>
      </c>
      <c r="E122" s="19">
        <f>IF('Boletins Nuppa Site'!H122&lt;&gt;0,'Boletins Nuppa Site'!H122,"NULL")</f>
        <v>18</v>
      </c>
      <c r="F122" s="19">
        <f>IF('Boletins Nuppa Site'!I122&lt;&gt;0,'Boletins Nuppa Site'!I122,"NULL")</f>
        <v>24</v>
      </c>
      <c r="G122" s="19">
        <f>IF('Boletins Nuppa Site'!J122&lt;&gt;0,'Boletins Nuppa Site'!J122,"NULL")</f>
        <v>22</v>
      </c>
      <c r="H122" s="19">
        <f>IF('Boletins Nuppa Site'!K122&lt;&gt;0,'Boletins Nuppa Site'!K122,"NULL")</f>
        <v>24</v>
      </c>
      <c r="J122" s="1" t="str">
        <f t="shared" si="1"/>
        <v>INSERT INTO COTACAO (blt_id, pap_id, cot_prc_comum, cot_prc_min, cot_prc_max, cot_prc_med, cot_prc_mediana) VALUES (4, 4, 24, 18, 24, 22, 24);</v>
      </c>
    </row>
    <row r="123" spans="1:10" x14ac:dyDescent="0.3">
      <c r="A123" s="1">
        <v>122</v>
      </c>
      <c r="B123" s="1">
        <v>4</v>
      </c>
      <c r="C123" s="1">
        <v>5</v>
      </c>
      <c r="D123" s="19">
        <f>IF('Boletins Nuppa Site'!G123&lt;&gt;0,'Boletins Nuppa Site'!G123,"NULL")</f>
        <v>24</v>
      </c>
      <c r="E123" s="19">
        <f>IF('Boletins Nuppa Site'!H123&lt;&gt;0,'Boletins Nuppa Site'!H123,"NULL")</f>
        <v>18</v>
      </c>
      <c r="F123" s="19">
        <f>IF('Boletins Nuppa Site'!I123&lt;&gt;0,'Boletins Nuppa Site'!I123,"NULL")</f>
        <v>24</v>
      </c>
      <c r="G123" s="19">
        <f>IF('Boletins Nuppa Site'!J123&lt;&gt;0,'Boletins Nuppa Site'!J123,"NULL")</f>
        <v>22</v>
      </c>
      <c r="H123" s="19">
        <f>IF('Boletins Nuppa Site'!K123&lt;&gt;0,'Boletins Nuppa Site'!K123,"NULL")</f>
        <v>24</v>
      </c>
      <c r="J123" s="1" t="str">
        <f t="shared" si="1"/>
        <v>INSERT INTO COTACAO (blt_id, pap_id, cot_prc_comum, cot_prc_min, cot_prc_max, cot_prc_med, cot_prc_mediana) VALUES (4, 5, 24, 18, 24, 22, 24);</v>
      </c>
    </row>
    <row r="124" spans="1:10" x14ac:dyDescent="0.3">
      <c r="A124" s="1">
        <v>123</v>
      </c>
      <c r="B124" s="1">
        <v>4</v>
      </c>
      <c r="C124" s="1">
        <v>6</v>
      </c>
      <c r="D124" s="1" t="str">
        <f>IF('Boletins Nuppa Site'!G124&lt;&gt;0,'Boletins Nuppa Site'!G124,"NULL")</f>
        <v>NULL</v>
      </c>
      <c r="E124" s="19">
        <f>IF('Boletins Nuppa Site'!H124&lt;&gt;0,'Boletins Nuppa Site'!H124,"NULL")</f>
        <v>42</v>
      </c>
      <c r="F124" s="19">
        <f>IF('Boletins Nuppa Site'!I124&lt;&gt;0,'Boletins Nuppa Site'!I124,"NULL")</f>
        <v>48</v>
      </c>
      <c r="G124" s="19">
        <f>IF('Boletins Nuppa Site'!J124&lt;&gt;0,'Boletins Nuppa Site'!J124,"NULL")</f>
        <v>45</v>
      </c>
      <c r="H124" s="19">
        <f>IF('Boletins Nuppa Site'!K124&lt;&gt;0,'Boletins Nuppa Site'!K124,"NULL")</f>
        <v>45</v>
      </c>
      <c r="J124" s="1" t="str">
        <f t="shared" si="1"/>
        <v>INSERT INTO COTACAO (blt_id, pap_id, cot_prc_comum, cot_prc_min, cot_prc_max, cot_prc_med, cot_prc_mediana) VALUES (4, 6, NULL, 42, 48, 45, 45);</v>
      </c>
    </row>
    <row r="125" spans="1:10" x14ac:dyDescent="0.3">
      <c r="A125" s="1">
        <v>124</v>
      </c>
      <c r="B125" s="1">
        <v>4</v>
      </c>
      <c r="C125" s="1">
        <v>7</v>
      </c>
      <c r="D125" s="1" t="str">
        <f>IF('Boletins Nuppa Site'!G125&lt;&gt;0,'Boletins Nuppa Site'!G125,"NULL")</f>
        <v>NULL</v>
      </c>
      <c r="E125" s="19">
        <f>IF('Boletins Nuppa Site'!H125&lt;&gt;0,'Boletins Nuppa Site'!H125,"NULL")</f>
        <v>66</v>
      </c>
      <c r="F125" s="19">
        <f>IF('Boletins Nuppa Site'!I125&lt;&gt;0,'Boletins Nuppa Site'!I125,"NULL")</f>
        <v>78</v>
      </c>
      <c r="G125" s="19">
        <f>IF('Boletins Nuppa Site'!J125&lt;&gt;0,'Boletins Nuppa Site'!J125,"NULL")</f>
        <v>72</v>
      </c>
      <c r="H125" s="19">
        <f>IF('Boletins Nuppa Site'!K125&lt;&gt;0,'Boletins Nuppa Site'!K125,"NULL")</f>
        <v>72</v>
      </c>
      <c r="J125" s="1" t="str">
        <f t="shared" si="1"/>
        <v>INSERT INTO COTACAO (blt_id, pap_id, cot_prc_comum, cot_prc_min, cot_prc_max, cot_prc_med, cot_prc_mediana) VALUES (4, 7, NULL, 66, 78, 72, 72);</v>
      </c>
    </row>
    <row r="126" spans="1:10" x14ac:dyDescent="0.3">
      <c r="A126" s="1">
        <v>125</v>
      </c>
      <c r="B126" s="1">
        <v>4</v>
      </c>
      <c r="C126" s="1">
        <v>8</v>
      </c>
      <c r="D126" s="1" t="str">
        <f>IF('Boletins Nuppa Site'!G126&lt;&gt;0,'Boletins Nuppa Site'!G126,"NULL")</f>
        <v>NULL</v>
      </c>
      <c r="E126" s="19">
        <f>IF('Boletins Nuppa Site'!H126&lt;&gt;0,'Boletins Nuppa Site'!H126,"NULL")</f>
        <v>60</v>
      </c>
      <c r="F126" s="19">
        <f>IF('Boletins Nuppa Site'!I126&lt;&gt;0,'Boletins Nuppa Site'!I126,"NULL")</f>
        <v>72</v>
      </c>
      <c r="G126" s="19">
        <f>IF('Boletins Nuppa Site'!J126&lt;&gt;0,'Boletins Nuppa Site'!J126,"NULL")</f>
        <v>66</v>
      </c>
      <c r="H126" s="19">
        <f>IF('Boletins Nuppa Site'!K126&lt;&gt;0,'Boletins Nuppa Site'!K126,"NULL")</f>
        <v>66</v>
      </c>
      <c r="J126" s="1" t="str">
        <f t="shared" si="1"/>
        <v>INSERT INTO COTACAO (blt_id, pap_id, cot_prc_comum, cot_prc_min, cot_prc_max, cot_prc_med, cot_prc_mediana) VALUES (4, 8, NULL, 60, 72, 66, 66);</v>
      </c>
    </row>
    <row r="127" spans="1:10" x14ac:dyDescent="0.3">
      <c r="A127" s="1">
        <v>126</v>
      </c>
      <c r="B127" s="1">
        <v>4</v>
      </c>
      <c r="C127" s="1">
        <v>9</v>
      </c>
      <c r="D127" s="1" t="str">
        <f>IF('Boletins Nuppa Site'!G127&lt;&gt;0,'Boletins Nuppa Site'!G127,"NULL")</f>
        <v>NULL</v>
      </c>
      <c r="E127" s="19">
        <f>IF('Boletins Nuppa Site'!H127&lt;&gt;0,'Boletins Nuppa Site'!H127,"NULL")</f>
        <v>15</v>
      </c>
      <c r="F127" s="19">
        <f>IF('Boletins Nuppa Site'!I127&lt;&gt;0,'Boletins Nuppa Site'!I127,"NULL")</f>
        <v>24</v>
      </c>
      <c r="G127" s="19">
        <f>IF('Boletins Nuppa Site'!J127&lt;&gt;0,'Boletins Nuppa Site'!J127,"NULL")</f>
        <v>19</v>
      </c>
      <c r="H127" s="19">
        <f>IF('Boletins Nuppa Site'!K127&lt;&gt;0,'Boletins Nuppa Site'!K127,"NULL")</f>
        <v>18</v>
      </c>
      <c r="J127" s="1" t="str">
        <f t="shared" si="1"/>
        <v>INSERT INTO COTACAO (blt_id, pap_id, cot_prc_comum, cot_prc_min, cot_prc_max, cot_prc_med, cot_prc_mediana) VALUES (4, 9, NULL, 15, 24, 19, 18);</v>
      </c>
    </row>
    <row r="128" spans="1:10" x14ac:dyDescent="0.3">
      <c r="A128" s="1">
        <v>127</v>
      </c>
      <c r="B128" s="1">
        <v>4</v>
      </c>
      <c r="C128" s="1">
        <v>10</v>
      </c>
      <c r="D128" s="1" t="str">
        <f>IF('Boletins Nuppa Site'!G128&lt;&gt;0,'Boletins Nuppa Site'!G128,"NULL")</f>
        <v>NULL</v>
      </c>
      <c r="E128" s="19">
        <f>IF('Boletins Nuppa Site'!H128&lt;&gt;0,'Boletins Nuppa Site'!H128,"NULL")</f>
        <v>60</v>
      </c>
      <c r="F128" s="19">
        <f>IF('Boletins Nuppa Site'!I128&lt;&gt;0,'Boletins Nuppa Site'!I128,"NULL")</f>
        <v>84</v>
      </c>
      <c r="G128" s="19">
        <f>IF('Boletins Nuppa Site'!J128&lt;&gt;0,'Boletins Nuppa Site'!J128,"NULL")</f>
        <v>72</v>
      </c>
      <c r="H128" s="19">
        <f>IF('Boletins Nuppa Site'!K128&lt;&gt;0,'Boletins Nuppa Site'!K128,"NULL")</f>
        <v>72</v>
      </c>
      <c r="J128" s="1" t="str">
        <f t="shared" si="1"/>
        <v>INSERT INTO COTACAO (blt_id, pap_id, cot_prc_comum, cot_prc_min, cot_prc_max, cot_prc_med, cot_prc_mediana) VALUES (4, 10, NULL, 60, 84, 72, 72);</v>
      </c>
    </row>
    <row r="129" spans="1:10" x14ac:dyDescent="0.3">
      <c r="A129" s="1">
        <v>128</v>
      </c>
      <c r="B129" s="1">
        <v>4</v>
      </c>
      <c r="C129" s="1">
        <v>11</v>
      </c>
      <c r="D129" s="19">
        <f>IF('Boletins Nuppa Site'!G129&lt;&gt;0,'Boletins Nuppa Site'!G129,"NULL")</f>
        <v>24</v>
      </c>
      <c r="E129" s="19">
        <f>IF('Boletins Nuppa Site'!H129&lt;&gt;0,'Boletins Nuppa Site'!H129,"NULL")</f>
        <v>18</v>
      </c>
      <c r="F129" s="19">
        <f>IF('Boletins Nuppa Site'!I129&lt;&gt;0,'Boletins Nuppa Site'!I129,"NULL")</f>
        <v>24</v>
      </c>
      <c r="G129" s="19">
        <f>IF('Boletins Nuppa Site'!J129&lt;&gt;0,'Boletins Nuppa Site'!J129,"NULL")</f>
        <v>22</v>
      </c>
      <c r="H129" s="19">
        <f>IF('Boletins Nuppa Site'!K129&lt;&gt;0,'Boletins Nuppa Site'!K129,"NULL")</f>
        <v>24</v>
      </c>
      <c r="J129" s="1" t="str">
        <f t="shared" si="1"/>
        <v>INSERT INTO COTACAO (blt_id, pap_id, cot_prc_comum, cot_prc_min, cot_prc_max, cot_prc_med, cot_prc_mediana) VALUES (4, 11, 24, 18, 24, 22, 24);</v>
      </c>
    </row>
    <row r="130" spans="1:10" x14ac:dyDescent="0.3">
      <c r="A130" s="1">
        <v>129</v>
      </c>
      <c r="B130" s="1">
        <v>4</v>
      </c>
      <c r="C130" s="1">
        <v>12</v>
      </c>
      <c r="D130" s="19">
        <f>IF('Boletins Nuppa Site'!G130&lt;&gt;0,'Boletins Nuppa Site'!G130,"NULL")</f>
        <v>60</v>
      </c>
      <c r="E130" s="19">
        <f>IF('Boletins Nuppa Site'!H130&lt;&gt;0,'Boletins Nuppa Site'!H130,"NULL")</f>
        <v>60</v>
      </c>
      <c r="F130" s="19">
        <f>IF('Boletins Nuppa Site'!I130&lt;&gt;0,'Boletins Nuppa Site'!I130,"NULL")</f>
        <v>60</v>
      </c>
      <c r="G130" s="19">
        <f>IF('Boletins Nuppa Site'!J130&lt;&gt;0,'Boletins Nuppa Site'!J130,"NULL")</f>
        <v>60</v>
      </c>
      <c r="H130" s="19">
        <f>IF('Boletins Nuppa Site'!K130&lt;&gt;0,'Boletins Nuppa Site'!K130,"NULL")</f>
        <v>60</v>
      </c>
      <c r="J130" s="1" t="str">
        <f t="shared" ref="J130:J193" si="2">"INSERT INTO COTACAO (blt_id, pap_id, cot_prc_comum, cot_prc_min, cot_prc_max, cot_prc_med, cot_prc_mediana) VALUES ("&amp;B130&amp;", "&amp;C130&amp;", "&amp;D130&amp;", "&amp;E130&amp;", "&amp;F130&amp;", "&amp;G130&amp;", "&amp;H130&amp;");"</f>
        <v>INSERT INTO COTACAO (blt_id, pap_id, cot_prc_comum, cot_prc_min, cot_prc_max, cot_prc_med, cot_prc_mediana) VALUES (4, 12, 60, 60, 60, 60, 60);</v>
      </c>
    </row>
    <row r="131" spans="1:10" x14ac:dyDescent="0.3">
      <c r="A131" s="1">
        <v>130</v>
      </c>
      <c r="B131" s="1">
        <v>4</v>
      </c>
      <c r="C131" s="1">
        <v>13</v>
      </c>
      <c r="D131" s="1" t="str">
        <f>IF('Boletins Nuppa Site'!G131&lt;&gt;0,'Boletins Nuppa Site'!G131,"NULL")</f>
        <v>NULL</v>
      </c>
      <c r="E131" s="19">
        <f>IF('Boletins Nuppa Site'!H131&lt;&gt;0,'Boletins Nuppa Site'!H131,"NULL")</f>
        <v>54</v>
      </c>
      <c r="F131" s="19">
        <f>IF('Boletins Nuppa Site'!I131&lt;&gt;0,'Boletins Nuppa Site'!I131,"NULL")</f>
        <v>60</v>
      </c>
      <c r="G131" s="19">
        <f>IF('Boletins Nuppa Site'!J131&lt;&gt;0,'Boletins Nuppa Site'!J131,"NULL")</f>
        <v>57</v>
      </c>
      <c r="H131" s="19">
        <f>IF('Boletins Nuppa Site'!K131&lt;&gt;0,'Boletins Nuppa Site'!K131,"NULL")</f>
        <v>57</v>
      </c>
      <c r="J131" s="1" t="str">
        <f t="shared" si="2"/>
        <v>INSERT INTO COTACAO (blt_id, pap_id, cot_prc_comum, cot_prc_min, cot_prc_max, cot_prc_med, cot_prc_mediana) VALUES (4, 13, NULL, 54, 60, 57, 57);</v>
      </c>
    </row>
    <row r="132" spans="1:10" x14ac:dyDescent="0.3">
      <c r="A132" s="1">
        <v>131</v>
      </c>
      <c r="B132" s="1">
        <v>4</v>
      </c>
      <c r="C132" s="1">
        <v>14</v>
      </c>
      <c r="D132" s="1" t="str">
        <f>IF('Boletins Nuppa Site'!G132&lt;&gt;0,'Boletins Nuppa Site'!G132,"NULL")</f>
        <v>NULL</v>
      </c>
      <c r="E132" s="19">
        <f>IF('Boletins Nuppa Site'!H132&lt;&gt;0,'Boletins Nuppa Site'!H132,"NULL")</f>
        <v>40</v>
      </c>
      <c r="F132" s="19">
        <f>IF('Boletins Nuppa Site'!I132&lt;&gt;0,'Boletins Nuppa Site'!I132,"NULL")</f>
        <v>54</v>
      </c>
      <c r="G132" s="19">
        <f>IF('Boletins Nuppa Site'!J132&lt;&gt;0,'Boletins Nuppa Site'!J132,"NULL")</f>
        <v>47</v>
      </c>
      <c r="H132" s="19">
        <f>IF('Boletins Nuppa Site'!K132&lt;&gt;0,'Boletins Nuppa Site'!K132,"NULL")</f>
        <v>47</v>
      </c>
      <c r="J132" s="1" t="str">
        <f t="shared" si="2"/>
        <v>INSERT INTO COTACAO (blt_id, pap_id, cot_prc_comum, cot_prc_min, cot_prc_max, cot_prc_med, cot_prc_mediana) VALUES (4, 14, NULL, 40, 54, 47, 47);</v>
      </c>
    </row>
    <row r="133" spans="1:10" x14ac:dyDescent="0.3">
      <c r="A133" s="1">
        <v>132</v>
      </c>
      <c r="B133" s="1">
        <v>4</v>
      </c>
      <c r="C133" s="1">
        <v>15</v>
      </c>
      <c r="D133" s="1" t="str">
        <f>IF('Boletins Nuppa Site'!G133&lt;&gt;0,'Boletins Nuppa Site'!G133,"NULL")</f>
        <v>NULL</v>
      </c>
      <c r="E133" s="19">
        <f>IF('Boletins Nuppa Site'!H133&lt;&gt;0,'Boletins Nuppa Site'!H133,"NULL")</f>
        <v>25</v>
      </c>
      <c r="F133" s="19">
        <f>IF('Boletins Nuppa Site'!I133&lt;&gt;0,'Boletins Nuppa Site'!I133,"NULL")</f>
        <v>36</v>
      </c>
      <c r="G133" s="1" t="str">
        <f>IF('Boletins Nuppa Site'!J133&lt;&gt;0,'Boletins Nuppa Site'!J133,"NULL")</f>
        <v>30.33</v>
      </c>
      <c r="H133" s="19">
        <f>IF('Boletins Nuppa Site'!K133&lt;&gt;0,'Boletins Nuppa Site'!K133,"NULL")</f>
        <v>30</v>
      </c>
      <c r="J133" s="1" t="str">
        <f t="shared" si="2"/>
        <v>INSERT INTO COTACAO (blt_id, pap_id, cot_prc_comum, cot_prc_min, cot_prc_max, cot_prc_med, cot_prc_mediana) VALUES (4, 15, NULL, 25, 36, 30.33, 30);</v>
      </c>
    </row>
    <row r="134" spans="1:10" x14ac:dyDescent="0.3">
      <c r="A134" s="1">
        <v>133</v>
      </c>
      <c r="B134" s="1">
        <v>4</v>
      </c>
      <c r="C134" s="1">
        <v>16</v>
      </c>
      <c r="D134" s="19">
        <f>IF('Boletins Nuppa Site'!G134&lt;&gt;0,'Boletins Nuppa Site'!G134,"NULL")</f>
        <v>42</v>
      </c>
      <c r="E134" s="19">
        <f>IF('Boletins Nuppa Site'!H134&lt;&gt;0,'Boletins Nuppa Site'!H134,"NULL")</f>
        <v>42</v>
      </c>
      <c r="F134" s="19">
        <f>IF('Boletins Nuppa Site'!I134&lt;&gt;0,'Boletins Nuppa Site'!I134,"NULL")</f>
        <v>42</v>
      </c>
      <c r="G134" s="19">
        <f>IF('Boletins Nuppa Site'!J134&lt;&gt;0,'Boletins Nuppa Site'!J134,"NULL")</f>
        <v>42</v>
      </c>
      <c r="H134" s="19">
        <f>IF('Boletins Nuppa Site'!K134&lt;&gt;0,'Boletins Nuppa Site'!K134,"NULL")</f>
        <v>42</v>
      </c>
      <c r="J134" s="1" t="str">
        <f t="shared" si="2"/>
        <v>INSERT INTO COTACAO (blt_id, pap_id, cot_prc_comum, cot_prc_min, cot_prc_max, cot_prc_med, cot_prc_mediana) VALUES (4, 16, 42, 42, 42, 42, 42);</v>
      </c>
    </row>
    <row r="135" spans="1:10" x14ac:dyDescent="0.3">
      <c r="A135" s="1">
        <v>134</v>
      </c>
      <c r="B135" s="1">
        <v>4</v>
      </c>
      <c r="C135" s="1">
        <v>17</v>
      </c>
      <c r="D135" s="1" t="str">
        <f>IF('Boletins Nuppa Site'!G135&lt;&gt;0,'Boletins Nuppa Site'!G135,"NULL")</f>
        <v>NULL</v>
      </c>
      <c r="E135" s="19">
        <f>IF('Boletins Nuppa Site'!H135&lt;&gt;0,'Boletins Nuppa Site'!H135,"NULL")</f>
        <v>4</v>
      </c>
      <c r="F135" s="19">
        <f>IF('Boletins Nuppa Site'!I135&lt;&gt;0,'Boletins Nuppa Site'!I135,"NULL")</f>
        <v>5</v>
      </c>
      <c r="G135" s="1" t="str">
        <f>IF('Boletins Nuppa Site'!J135&lt;&gt;0,'Boletins Nuppa Site'!J135,"NULL")</f>
        <v>4.5</v>
      </c>
      <c r="H135" s="1" t="str">
        <f>IF('Boletins Nuppa Site'!K135&lt;&gt;0,'Boletins Nuppa Site'!K135,"NULL")</f>
        <v>4.5</v>
      </c>
      <c r="J135" s="1" t="str">
        <f t="shared" si="2"/>
        <v>INSERT INTO COTACAO (blt_id, pap_id, cot_prc_comum, cot_prc_min, cot_prc_max, cot_prc_med, cot_prc_mediana) VALUES (4, 17, NULL, 4, 5, 4.5, 4.5);</v>
      </c>
    </row>
    <row r="136" spans="1:10" x14ac:dyDescent="0.3">
      <c r="A136" s="1">
        <v>135</v>
      </c>
      <c r="B136" s="1">
        <v>4</v>
      </c>
      <c r="C136" s="1">
        <v>18</v>
      </c>
      <c r="D136" s="1" t="str">
        <f>IF('Boletins Nuppa Site'!G136&lt;&gt;0,'Boletins Nuppa Site'!G136,"NULL")</f>
        <v>NULL</v>
      </c>
      <c r="E136" s="19">
        <f>IF('Boletins Nuppa Site'!H136&lt;&gt;0,'Boletins Nuppa Site'!H136,"NULL")</f>
        <v>18</v>
      </c>
      <c r="F136" s="19">
        <f>IF('Boletins Nuppa Site'!I136&lt;&gt;0,'Boletins Nuppa Site'!I136,"NULL")</f>
        <v>20</v>
      </c>
      <c r="G136" s="19">
        <f>IF('Boletins Nuppa Site'!J136&lt;&gt;0,'Boletins Nuppa Site'!J136,"NULL")</f>
        <v>19</v>
      </c>
      <c r="H136" s="19">
        <f>IF('Boletins Nuppa Site'!K136&lt;&gt;0,'Boletins Nuppa Site'!K136,"NULL")</f>
        <v>19</v>
      </c>
      <c r="J136" s="1" t="str">
        <f t="shared" si="2"/>
        <v>INSERT INTO COTACAO (blt_id, pap_id, cot_prc_comum, cot_prc_min, cot_prc_max, cot_prc_med, cot_prc_mediana) VALUES (4, 18, NULL, 18, 20, 19, 19);</v>
      </c>
    </row>
    <row r="137" spans="1:10" x14ac:dyDescent="0.3">
      <c r="A137" s="1">
        <v>136</v>
      </c>
      <c r="B137" s="1">
        <v>4</v>
      </c>
      <c r="C137" s="1">
        <v>19</v>
      </c>
      <c r="D137" s="19">
        <f>IF('Boletins Nuppa Site'!G137&lt;&gt;0,'Boletins Nuppa Site'!G137,"NULL")</f>
        <v>25</v>
      </c>
      <c r="E137" s="19">
        <f>IF('Boletins Nuppa Site'!H137&lt;&gt;0,'Boletins Nuppa Site'!H137,"NULL")</f>
        <v>25</v>
      </c>
      <c r="F137" s="19">
        <f>IF('Boletins Nuppa Site'!I137&lt;&gt;0,'Boletins Nuppa Site'!I137,"NULL")</f>
        <v>25</v>
      </c>
      <c r="G137" s="19">
        <f>IF('Boletins Nuppa Site'!J137&lt;&gt;0,'Boletins Nuppa Site'!J137,"NULL")</f>
        <v>25</v>
      </c>
      <c r="H137" s="19">
        <f>IF('Boletins Nuppa Site'!K137&lt;&gt;0,'Boletins Nuppa Site'!K137,"NULL")</f>
        <v>25</v>
      </c>
      <c r="J137" s="1" t="str">
        <f t="shared" si="2"/>
        <v>INSERT INTO COTACAO (blt_id, pap_id, cot_prc_comum, cot_prc_min, cot_prc_max, cot_prc_med, cot_prc_mediana) VALUES (4, 19, 25, 25, 25, 25, 25);</v>
      </c>
    </row>
    <row r="138" spans="1:10" x14ac:dyDescent="0.3">
      <c r="A138" s="1">
        <v>137</v>
      </c>
      <c r="B138" s="1">
        <v>4</v>
      </c>
      <c r="C138" s="1">
        <v>21</v>
      </c>
      <c r="D138" s="19">
        <f>IF('Boletins Nuppa Site'!G138&lt;&gt;0,'Boletins Nuppa Site'!G138,"NULL")</f>
        <v>50</v>
      </c>
      <c r="E138" s="19">
        <f>IF('Boletins Nuppa Site'!H138&lt;&gt;0,'Boletins Nuppa Site'!H138,"NULL")</f>
        <v>30</v>
      </c>
      <c r="F138" s="19">
        <f>IF('Boletins Nuppa Site'!I138&lt;&gt;0,'Boletins Nuppa Site'!I138,"NULL")</f>
        <v>50</v>
      </c>
      <c r="G138" s="1" t="str">
        <f>IF('Boletins Nuppa Site'!J138&lt;&gt;0,'Boletins Nuppa Site'!J138,"NULL")</f>
        <v>43.33</v>
      </c>
      <c r="H138" s="19">
        <f>IF('Boletins Nuppa Site'!K138&lt;&gt;0,'Boletins Nuppa Site'!K138,"NULL")</f>
        <v>45</v>
      </c>
      <c r="J138" s="1" t="str">
        <f t="shared" si="2"/>
        <v>INSERT INTO COTACAO (blt_id, pap_id, cot_prc_comum, cot_prc_min, cot_prc_max, cot_prc_med, cot_prc_mediana) VALUES (4, 21, 50, 30, 50, 43.33, 45);</v>
      </c>
    </row>
    <row r="139" spans="1:10" x14ac:dyDescent="0.3">
      <c r="A139" s="1">
        <v>138</v>
      </c>
      <c r="B139" s="1">
        <v>4</v>
      </c>
      <c r="C139" s="1">
        <v>22</v>
      </c>
      <c r="D139" s="19">
        <f>IF('Boletins Nuppa Site'!G139&lt;&gt;0,'Boletins Nuppa Site'!G139,"NULL")</f>
        <v>45</v>
      </c>
      <c r="E139" s="19">
        <f>IF('Boletins Nuppa Site'!H139&lt;&gt;0,'Boletins Nuppa Site'!H139,"NULL")</f>
        <v>35</v>
      </c>
      <c r="F139" s="19">
        <f>IF('Boletins Nuppa Site'!I139&lt;&gt;0,'Boletins Nuppa Site'!I139,"NULL")</f>
        <v>60</v>
      </c>
      <c r="G139" s="1" t="str">
        <f>IF('Boletins Nuppa Site'!J139&lt;&gt;0,'Boletins Nuppa Site'!J139,"NULL")</f>
        <v>47.86</v>
      </c>
      <c r="H139" s="19">
        <f>IF('Boletins Nuppa Site'!K139&lt;&gt;0,'Boletins Nuppa Site'!K139,"NULL")</f>
        <v>45</v>
      </c>
      <c r="J139" s="1" t="str">
        <f t="shared" si="2"/>
        <v>INSERT INTO COTACAO (blt_id, pap_id, cot_prc_comum, cot_prc_min, cot_prc_max, cot_prc_med, cot_prc_mediana) VALUES (4, 22, 45, 35, 60, 47.86, 45);</v>
      </c>
    </row>
    <row r="140" spans="1:10" x14ac:dyDescent="0.3">
      <c r="A140" s="1">
        <v>139</v>
      </c>
      <c r="B140" s="1">
        <v>4</v>
      </c>
      <c r="C140" s="1">
        <v>23</v>
      </c>
      <c r="D140" s="19">
        <f>IF('Boletins Nuppa Site'!G140&lt;&gt;0,'Boletins Nuppa Site'!G140,"NULL")</f>
        <v>35</v>
      </c>
      <c r="E140" s="19">
        <f>IF('Boletins Nuppa Site'!H140&lt;&gt;0,'Boletins Nuppa Site'!H140,"NULL")</f>
        <v>30</v>
      </c>
      <c r="F140" s="19">
        <f>IF('Boletins Nuppa Site'!I140&lt;&gt;0,'Boletins Nuppa Site'!I140,"NULL")</f>
        <v>45</v>
      </c>
      <c r="G140" s="1" t="str">
        <f>IF('Boletins Nuppa Site'!J140&lt;&gt;0,'Boletins Nuppa Site'!J140,"NULL")</f>
        <v>38.57</v>
      </c>
      <c r="H140" s="19">
        <f>IF('Boletins Nuppa Site'!K140&lt;&gt;0,'Boletins Nuppa Site'!K140,"NULL")</f>
        <v>40</v>
      </c>
      <c r="J140" s="1" t="str">
        <f t="shared" si="2"/>
        <v>INSERT INTO COTACAO (blt_id, pap_id, cot_prc_comum, cot_prc_min, cot_prc_max, cot_prc_med, cot_prc_mediana) VALUES (4, 23, 35, 30, 45, 38.57, 40);</v>
      </c>
    </row>
    <row r="141" spans="1:10" x14ac:dyDescent="0.3">
      <c r="A141" s="1">
        <v>140</v>
      </c>
      <c r="B141" s="1">
        <v>4</v>
      </c>
      <c r="C141" s="1">
        <v>24</v>
      </c>
      <c r="D141" s="1" t="str">
        <f>IF('Boletins Nuppa Site'!G141&lt;&gt;0,'Boletins Nuppa Site'!G141,"NULL")</f>
        <v>NULL</v>
      </c>
      <c r="E141" s="19">
        <f>IF('Boletins Nuppa Site'!H141&lt;&gt;0,'Boletins Nuppa Site'!H141,"NULL")</f>
        <v>120</v>
      </c>
      <c r="F141" s="19">
        <f>IF('Boletins Nuppa Site'!I141&lt;&gt;0,'Boletins Nuppa Site'!I141,"NULL")</f>
        <v>120</v>
      </c>
      <c r="G141" s="19">
        <f>IF('Boletins Nuppa Site'!J141&lt;&gt;0,'Boletins Nuppa Site'!J141,"NULL")</f>
        <v>120</v>
      </c>
      <c r="H141" s="19">
        <f>IF('Boletins Nuppa Site'!K141&lt;&gt;0,'Boletins Nuppa Site'!K141,"NULL")</f>
        <v>120</v>
      </c>
      <c r="J141" s="1" t="str">
        <f t="shared" si="2"/>
        <v>INSERT INTO COTACAO (blt_id, pap_id, cot_prc_comum, cot_prc_min, cot_prc_max, cot_prc_med, cot_prc_mediana) VALUES (4, 24, NULL, 120, 120, 120, 120);</v>
      </c>
    </row>
    <row r="142" spans="1:10" x14ac:dyDescent="0.3">
      <c r="A142" s="1">
        <v>141</v>
      </c>
      <c r="B142" s="1">
        <v>4</v>
      </c>
      <c r="C142" s="1">
        <v>25</v>
      </c>
      <c r="D142" s="19">
        <f>IF('Boletins Nuppa Site'!G142&lt;&gt;0,'Boletins Nuppa Site'!G142,"NULL")</f>
        <v>60</v>
      </c>
      <c r="E142" s="19">
        <f>IF('Boletins Nuppa Site'!H142&lt;&gt;0,'Boletins Nuppa Site'!H142,"NULL")</f>
        <v>50</v>
      </c>
      <c r="F142" s="19">
        <f>IF('Boletins Nuppa Site'!I142&lt;&gt;0,'Boletins Nuppa Site'!I142,"NULL")</f>
        <v>65</v>
      </c>
      <c r="G142" s="1" t="str">
        <f>IF('Boletins Nuppa Site'!J142&lt;&gt;0,'Boletins Nuppa Site'!J142,"NULL")</f>
        <v>58.75</v>
      </c>
      <c r="H142" s="19">
        <f>IF('Boletins Nuppa Site'!K142&lt;&gt;0,'Boletins Nuppa Site'!K142,"NULL")</f>
        <v>60</v>
      </c>
      <c r="J142" s="1" t="str">
        <f t="shared" si="2"/>
        <v>INSERT INTO COTACAO (blt_id, pap_id, cot_prc_comum, cot_prc_min, cot_prc_max, cot_prc_med, cot_prc_mediana) VALUES (4, 25, 60, 50, 65, 58.75, 60);</v>
      </c>
    </row>
    <row r="143" spans="1:10" x14ac:dyDescent="0.3">
      <c r="A143" s="1">
        <v>142</v>
      </c>
      <c r="B143" s="1">
        <v>4</v>
      </c>
      <c r="C143" s="1">
        <v>26</v>
      </c>
      <c r="D143" s="19">
        <f>IF('Boletins Nuppa Site'!G143&lt;&gt;0,'Boletins Nuppa Site'!G143,"NULL")</f>
        <v>60</v>
      </c>
      <c r="E143" s="19">
        <f>IF('Boletins Nuppa Site'!H143&lt;&gt;0,'Boletins Nuppa Site'!H143,"NULL")</f>
        <v>60</v>
      </c>
      <c r="F143" s="19">
        <f>IF('Boletins Nuppa Site'!I143&lt;&gt;0,'Boletins Nuppa Site'!I143,"NULL")</f>
        <v>80</v>
      </c>
      <c r="G143" s="19">
        <f>IF('Boletins Nuppa Site'!J143&lt;&gt;0,'Boletins Nuppa Site'!J143,"NULL")</f>
        <v>68</v>
      </c>
      <c r="H143" s="19">
        <f>IF('Boletins Nuppa Site'!K143&lt;&gt;0,'Boletins Nuppa Site'!K143,"NULL")</f>
        <v>60</v>
      </c>
      <c r="J143" s="1" t="str">
        <f t="shared" si="2"/>
        <v>INSERT INTO COTACAO (blt_id, pap_id, cot_prc_comum, cot_prc_min, cot_prc_max, cot_prc_med, cot_prc_mediana) VALUES (4, 26, 60, 60, 80, 68, 60);</v>
      </c>
    </row>
    <row r="144" spans="1:10" x14ac:dyDescent="0.3">
      <c r="A144" s="1">
        <v>143</v>
      </c>
      <c r="B144" s="1">
        <v>4</v>
      </c>
      <c r="C144" s="1">
        <v>27</v>
      </c>
      <c r="D144" s="19">
        <f>IF('Boletins Nuppa Site'!G144&lt;&gt;0,'Boletins Nuppa Site'!G144,"NULL")</f>
        <v>70</v>
      </c>
      <c r="E144" s="19">
        <f>IF('Boletins Nuppa Site'!H144&lt;&gt;0,'Boletins Nuppa Site'!H144,"NULL")</f>
        <v>50</v>
      </c>
      <c r="F144" s="19">
        <f>IF('Boletins Nuppa Site'!I144&lt;&gt;0,'Boletins Nuppa Site'!I144,"NULL")</f>
        <v>80</v>
      </c>
      <c r="G144" s="1" t="str">
        <f>IF('Boletins Nuppa Site'!J144&lt;&gt;0,'Boletins Nuppa Site'!J144,"NULL")</f>
        <v>66.67</v>
      </c>
      <c r="H144" s="19">
        <f>IF('Boletins Nuppa Site'!K144&lt;&gt;0,'Boletins Nuppa Site'!K144,"NULL")</f>
        <v>70</v>
      </c>
      <c r="J144" s="1" t="str">
        <f t="shared" si="2"/>
        <v>INSERT INTO COTACAO (blt_id, pap_id, cot_prc_comum, cot_prc_min, cot_prc_max, cot_prc_med, cot_prc_mediana) VALUES (4, 27, 70, 50, 80, 66.67, 70);</v>
      </c>
    </row>
    <row r="145" spans="1:10" x14ac:dyDescent="0.3">
      <c r="A145" s="1">
        <v>144</v>
      </c>
      <c r="B145" s="1">
        <v>4</v>
      </c>
      <c r="C145" s="1">
        <v>28</v>
      </c>
      <c r="D145" s="19">
        <f>IF('Boletins Nuppa Site'!G145&lt;&gt;0,'Boletins Nuppa Site'!G145,"NULL")</f>
        <v>70</v>
      </c>
      <c r="E145" s="19">
        <f>IF('Boletins Nuppa Site'!H145&lt;&gt;0,'Boletins Nuppa Site'!H145,"NULL")</f>
        <v>60</v>
      </c>
      <c r="F145" s="19">
        <f>IF('Boletins Nuppa Site'!I145&lt;&gt;0,'Boletins Nuppa Site'!I145,"NULL")</f>
        <v>70</v>
      </c>
      <c r="G145" s="1" t="str">
        <f>IF('Boletins Nuppa Site'!J145&lt;&gt;0,'Boletins Nuppa Site'!J145,"NULL")</f>
        <v>67.5</v>
      </c>
      <c r="H145" s="19">
        <f>IF('Boletins Nuppa Site'!K145&lt;&gt;0,'Boletins Nuppa Site'!K145,"NULL")</f>
        <v>70</v>
      </c>
      <c r="J145" s="1" t="str">
        <f t="shared" si="2"/>
        <v>INSERT INTO COTACAO (blt_id, pap_id, cot_prc_comum, cot_prc_min, cot_prc_max, cot_prc_med, cot_prc_mediana) VALUES (4, 28, 70, 60, 70, 67.5, 70);</v>
      </c>
    </row>
    <row r="146" spans="1:10" x14ac:dyDescent="0.3">
      <c r="A146" s="1">
        <v>145</v>
      </c>
      <c r="B146" s="1">
        <v>4</v>
      </c>
      <c r="C146" s="1">
        <v>29</v>
      </c>
      <c r="D146" s="1" t="str">
        <f>IF('Boletins Nuppa Site'!G146&lt;&gt;0,'Boletins Nuppa Site'!G146,"NULL")</f>
        <v>NULL</v>
      </c>
      <c r="E146" s="19">
        <f>IF('Boletins Nuppa Site'!H146&lt;&gt;0,'Boletins Nuppa Site'!H146,"NULL")</f>
        <v>60</v>
      </c>
      <c r="F146" s="19">
        <f>IF('Boletins Nuppa Site'!I146&lt;&gt;0,'Boletins Nuppa Site'!I146,"NULL")</f>
        <v>70</v>
      </c>
      <c r="G146" s="19">
        <f>IF('Boletins Nuppa Site'!J146&lt;&gt;0,'Boletins Nuppa Site'!J146,"NULL")</f>
        <v>65</v>
      </c>
      <c r="H146" s="19">
        <f>IF('Boletins Nuppa Site'!K146&lt;&gt;0,'Boletins Nuppa Site'!K146,"NULL")</f>
        <v>65</v>
      </c>
      <c r="J146" s="1" t="str">
        <f t="shared" si="2"/>
        <v>INSERT INTO COTACAO (blt_id, pap_id, cot_prc_comum, cot_prc_min, cot_prc_max, cot_prc_med, cot_prc_mediana) VALUES (4, 29, NULL, 60, 70, 65, 65);</v>
      </c>
    </row>
    <row r="147" spans="1:10" x14ac:dyDescent="0.3">
      <c r="A147" s="1">
        <v>146</v>
      </c>
      <c r="B147" s="1">
        <v>4</v>
      </c>
      <c r="C147" s="1">
        <v>30</v>
      </c>
      <c r="D147" s="19">
        <f>IF('Boletins Nuppa Site'!G147&lt;&gt;0,'Boletins Nuppa Site'!G147,"NULL")</f>
        <v>60</v>
      </c>
      <c r="E147" s="19">
        <f>IF('Boletins Nuppa Site'!H147&lt;&gt;0,'Boletins Nuppa Site'!H147,"NULL")</f>
        <v>40</v>
      </c>
      <c r="F147" s="19">
        <f>IF('Boletins Nuppa Site'!I147&lt;&gt;0,'Boletins Nuppa Site'!I147,"NULL")</f>
        <v>60</v>
      </c>
      <c r="G147" s="19">
        <f>IF('Boletins Nuppa Site'!J147&lt;&gt;0,'Boletins Nuppa Site'!J147,"NULL")</f>
        <v>53</v>
      </c>
      <c r="H147" s="19">
        <f>IF('Boletins Nuppa Site'!K147&lt;&gt;0,'Boletins Nuppa Site'!K147,"NULL")</f>
        <v>60</v>
      </c>
      <c r="J147" s="1" t="str">
        <f t="shared" si="2"/>
        <v>INSERT INTO COTACAO (blt_id, pap_id, cot_prc_comum, cot_prc_min, cot_prc_max, cot_prc_med, cot_prc_mediana) VALUES (4, 30, 60, 40, 60, 53, 60);</v>
      </c>
    </row>
    <row r="148" spans="1:10" x14ac:dyDescent="0.3">
      <c r="A148" s="1">
        <v>147</v>
      </c>
      <c r="B148" s="1">
        <v>4</v>
      </c>
      <c r="C148" s="1">
        <v>31</v>
      </c>
      <c r="D148" s="19">
        <f>IF('Boletins Nuppa Site'!G148&lt;&gt;0,'Boletins Nuppa Site'!G148,"NULL")</f>
        <v>70</v>
      </c>
      <c r="E148" s="19">
        <f>IF('Boletins Nuppa Site'!H148&lt;&gt;0,'Boletins Nuppa Site'!H148,"NULL")</f>
        <v>50</v>
      </c>
      <c r="F148" s="19">
        <f>IF('Boletins Nuppa Site'!I148&lt;&gt;0,'Boletins Nuppa Site'!I148,"NULL")</f>
        <v>90</v>
      </c>
      <c r="G148" s="1" t="str">
        <f>IF('Boletins Nuppa Site'!J148&lt;&gt;0,'Boletins Nuppa Site'!J148,"NULL")</f>
        <v>70.83</v>
      </c>
      <c r="H148" s="19">
        <f>IF('Boletins Nuppa Site'!K148&lt;&gt;0,'Boletins Nuppa Site'!K148,"NULL")</f>
        <v>70</v>
      </c>
      <c r="J148" s="1" t="str">
        <f t="shared" si="2"/>
        <v>INSERT INTO COTACAO (blt_id, pap_id, cot_prc_comum, cot_prc_min, cot_prc_max, cot_prc_med, cot_prc_mediana) VALUES (4, 31, 70, 50, 90, 70.83, 70);</v>
      </c>
    </row>
    <row r="149" spans="1:10" x14ac:dyDescent="0.3">
      <c r="A149" s="1">
        <v>148</v>
      </c>
      <c r="B149" s="1">
        <v>4</v>
      </c>
      <c r="C149" s="1">
        <v>32</v>
      </c>
      <c r="D149" s="19">
        <f>IF('Boletins Nuppa Site'!G149&lt;&gt;0,'Boletins Nuppa Site'!G149,"NULL")</f>
        <v>40</v>
      </c>
      <c r="E149" s="19">
        <f>IF('Boletins Nuppa Site'!H149&lt;&gt;0,'Boletins Nuppa Site'!H149,"NULL")</f>
        <v>35</v>
      </c>
      <c r="F149" s="19">
        <f>IF('Boletins Nuppa Site'!I149&lt;&gt;0,'Boletins Nuppa Site'!I149,"NULL")</f>
        <v>40</v>
      </c>
      <c r="G149" s="1" t="str">
        <f>IF('Boletins Nuppa Site'!J149&lt;&gt;0,'Boletins Nuppa Site'!J149,"NULL")</f>
        <v>39.17</v>
      </c>
      <c r="H149" s="19">
        <f>IF('Boletins Nuppa Site'!K149&lt;&gt;0,'Boletins Nuppa Site'!K149,"NULL")</f>
        <v>40</v>
      </c>
      <c r="J149" s="1" t="str">
        <f t="shared" si="2"/>
        <v>INSERT INTO COTACAO (blt_id, pap_id, cot_prc_comum, cot_prc_min, cot_prc_max, cot_prc_med, cot_prc_mediana) VALUES (4, 32, 40, 35, 40, 39.17, 40);</v>
      </c>
    </row>
    <row r="150" spans="1:10" x14ac:dyDescent="0.3">
      <c r="A150" s="1">
        <v>149</v>
      </c>
      <c r="B150" s="1">
        <v>4</v>
      </c>
      <c r="C150" s="1">
        <v>33</v>
      </c>
      <c r="D150" s="19">
        <f>IF('Boletins Nuppa Site'!G150&lt;&gt;0,'Boletins Nuppa Site'!G150,"NULL")</f>
        <v>80</v>
      </c>
      <c r="E150" s="19">
        <f>IF('Boletins Nuppa Site'!H150&lt;&gt;0,'Boletins Nuppa Site'!H150,"NULL")</f>
        <v>80</v>
      </c>
      <c r="F150" s="19">
        <f>IF('Boletins Nuppa Site'!I150&lt;&gt;0,'Boletins Nuppa Site'!I150,"NULL")</f>
        <v>100</v>
      </c>
      <c r="G150" s="19">
        <f>IF('Boletins Nuppa Site'!J150&lt;&gt;0,'Boletins Nuppa Site'!J150,"NULL")</f>
        <v>85</v>
      </c>
      <c r="H150" s="19">
        <f>IF('Boletins Nuppa Site'!K150&lt;&gt;0,'Boletins Nuppa Site'!K150,"NULL")</f>
        <v>80</v>
      </c>
      <c r="J150" s="1" t="str">
        <f t="shared" si="2"/>
        <v>INSERT INTO COTACAO (blt_id, pap_id, cot_prc_comum, cot_prc_min, cot_prc_max, cot_prc_med, cot_prc_mediana) VALUES (4, 33, 80, 80, 100, 85, 80);</v>
      </c>
    </row>
    <row r="151" spans="1:10" x14ac:dyDescent="0.3">
      <c r="A151" s="1">
        <v>150</v>
      </c>
      <c r="B151" s="1">
        <v>4</v>
      </c>
      <c r="C151" s="1">
        <v>34</v>
      </c>
      <c r="D151" s="19">
        <f>IF('Boletins Nuppa Site'!G151&lt;&gt;0,'Boletins Nuppa Site'!G151,"NULL")</f>
        <v>70</v>
      </c>
      <c r="E151" s="19">
        <f>IF('Boletins Nuppa Site'!H151&lt;&gt;0,'Boletins Nuppa Site'!H151,"NULL")</f>
        <v>70</v>
      </c>
      <c r="F151" s="19">
        <f>IF('Boletins Nuppa Site'!I151&lt;&gt;0,'Boletins Nuppa Site'!I151,"NULL")</f>
        <v>80</v>
      </c>
      <c r="G151" s="1" t="str">
        <f>IF('Boletins Nuppa Site'!J151&lt;&gt;0,'Boletins Nuppa Site'!J151,"NULL")</f>
        <v>73.33</v>
      </c>
      <c r="H151" s="19">
        <f>IF('Boletins Nuppa Site'!K151&lt;&gt;0,'Boletins Nuppa Site'!K151,"NULL")</f>
        <v>70</v>
      </c>
      <c r="J151" s="1" t="str">
        <f t="shared" si="2"/>
        <v>INSERT INTO COTACAO (blt_id, pap_id, cot_prc_comum, cot_prc_min, cot_prc_max, cot_prc_med, cot_prc_mediana) VALUES (4, 34, 70, 70, 80, 73.33, 70);</v>
      </c>
    </row>
    <row r="152" spans="1:10" x14ac:dyDescent="0.3">
      <c r="A152" s="1">
        <v>151</v>
      </c>
      <c r="B152" s="1">
        <v>4</v>
      </c>
      <c r="C152" s="1">
        <v>35</v>
      </c>
      <c r="D152" s="19">
        <f>IF('Boletins Nuppa Site'!G152&lt;&gt;0,'Boletins Nuppa Site'!G152,"NULL")</f>
        <v>100</v>
      </c>
      <c r="E152" s="19">
        <f>IF('Boletins Nuppa Site'!H152&lt;&gt;0,'Boletins Nuppa Site'!H152,"NULL")</f>
        <v>100</v>
      </c>
      <c r="F152" s="19">
        <f>IF('Boletins Nuppa Site'!I152&lt;&gt;0,'Boletins Nuppa Site'!I152,"NULL")</f>
        <v>120</v>
      </c>
      <c r="G152" s="1" t="str">
        <f>IF('Boletins Nuppa Site'!J152&lt;&gt;0,'Boletins Nuppa Site'!J152,"NULL")</f>
        <v>107.5</v>
      </c>
      <c r="H152" s="19">
        <f>IF('Boletins Nuppa Site'!K152&lt;&gt;0,'Boletins Nuppa Site'!K152,"NULL")</f>
        <v>105</v>
      </c>
      <c r="J152" s="1" t="str">
        <f t="shared" si="2"/>
        <v>INSERT INTO COTACAO (blt_id, pap_id, cot_prc_comum, cot_prc_min, cot_prc_max, cot_prc_med, cot_prc_mediana) VALUES (4, 35, 100, 100, 120, 107.5, 105);</v>
      </c>
    </row>
    <row r="153" spans="1:10" x14ac:dyDescent="0.3">
      <c r="A153" s="1">
        <v>152</v>
      </c>
      <c r="B153" s="1">
        <v>4</v>
      </c>
      <c r="C153" s="1">
        <v>36</v>
      </c>
      <c r="D153" s="1" t="str">
        <f>IF('Boletins Nuppa Site'!G153&lt;&gt;0,'Boletins Nuppa Site'!G153,"NULL")</f>
        <v>NULL</v>
      </c>
      <c r="E153" s="1" t="str">
        <f>IF('Boletins Nuppa Site'!H153&lt;&gt;0,'Boletins Nuppa Site'!H153,"NULL")</f>
        <v>NULL</v>
      </c>
      <c r="F153" s="1" t="str">
        <f>IF('Boletins Nuppa Site'!I153&lt;&gt;0,'Boletins Nuppa Site'!I153,"NULL")</f>
        <v>NULL</v>
      </c>
      <c r="G153" s="1" t="str">
        <f>IF('Boletins Nuppa Site'!J153&lt;&gt;0,'Boletins Nuppa Site'!J153,"NULL")</f>
        <v>NULL</v>
      </c>
      <c r="H153" s="1" t="str">
        <f>IF('Boletins Nuppa Site'!K153&lt;&gt;0,'Boletins Nuppa Site'!K153,"NULL")</f>
        <v>NULL</v>
      </c>
      <c r="J153" s="1" t="str">
        <f t="shared" si="2"/>
        <v>INSERT INTO COTACAO (blt_id, pap_id, cot_prc_comum, cot_prc_min, cot_prc_max, cot_prc_med, cot_prc_mediana) VALUES (4, 36, NULL, NULL, NULL, NULL, NULL);</v>
      </c>
    </row>
    <row r="154" spans="1:10" x14ac:dyDescent="0.3">
      <c r="A154" s="1">
        <v>153</v>
      </c>
      <c r="B154" s="1">
        <v>4</v>
      </c>
      <c r="C154" s="1">
        <v>37</v>
      </c>
      <c r="D154" s="1" t="str">
        <f>IF('Boletins Nuppa Site'!G154&lt;&gt;0,'Boletins Nuppa Site'!G154,"NULL")</f>
        <v>NULL</v>
      </c>
      <c r="E154" s="1" t="str">
        <f>IF('Boletins Nuppa Site'!H154&lt;&gt;0,'Boletins Nuppa Site'!H154,"NULL")</f>
        <v>NULL</v>
      </c>
      <c r="F154" s="1" t="str">
        <f>IF('Boletins Nuppa Site'!I154&lt;&gt;0,'Boletins Nuppa Site'!I154,"NULL")</f>
        <v>NULL</v>
      </c>
      <c r="G154" s="1" t="str">
        <f>IF('Boletins Nuppa Site'!J154&lt;&gt;0,'Boletins Nuppa Site'!J154,"NULL")</f>
        <v>NULL</v>
      </c>
      <c r="H154" s="1" t="str">
        <f>IF('Boletins Nuppa Site'!K154&lt;&gt;0,'Boletins Nuppa Site'!K154,"NULL")</f>
        <v>NULL</v>
      </c>
      <c r="J154" s="1" t="str">
        <f t="shared" si="2"/>
        <v>INSERT INTO COTACAO (blt_id, pap_id, cot_prc_comum, cot_prc_min, cot_prc_max, cot_prc_med, cot_prc_mediana) VALUES (4, 37, NULL, NULL, NULL, NULL, NULL);</v>
      </c>
    </row>
    <row r="155" spans="1:10" x14ac:dyDescent="0.3">
      <c r="A155" s="1">
        <v>154</v>
      </c>
      <c r="B155" s="1">
        <v>4</v>
      </c>
      <c r="C155" s="1">
        <v>38</v>
      </c>
      <c r="D155" s="1" t="str">
        <f>IF('Boletins Nuppa Site'!G155&lt;&gt;0,'Boletins Nuppa Site'!G155,"NULL")</f>
        <v>NULL</v>
      </c>
      <c r="E155" s="1" t="str">
        <f>IF('Boletins Nuppa Site'!H155&lt;&gt;0,'Boletins Nuppa Site'!H155,"NULL")</f>
        <v>NULL</v>
      </c>
      <c r="F155" s="1" t="str">
        <f>IF('Boletins Nuppa Site'!I155&lt;&gt;0,'Boletins Nuppa Site'!I155,"NULL")</f>
        <v>NULL</v>
      </c>
      <c r="G155" s="1" t="str">
        <f>IF('Boletins Nuppa Site'!J155&lt;&gt;0,'Boletins Nuppa Site'!J155,"NULL")</f>
        <v>NULL</v>
      </c>
      <c r="H155" s="1" t="str">
        <f>IF('Boletins Nuppa Site'!K155&lt;&gt;0,'Boletins Nuppa Site'!K155,"NULL")</f>
        <v>NULL</v>
      </c>
      <c r="J155" s="1" t="str">
        <f t="shared" si="2"/>
        <v>INSERT INTO COTACAO (blt_id, pap_id, cot_prc_comum, cot_prc_min, cot_prc_max, cot_prc_med, cot_prc_mediana) VALUES (4, 38, NULL, NULL, NULL, NULL, NULL);</v>
      </c>
    </row>
    <row r="156" spans="1:10" x14ac:dyDescent="0.3">
      <c r="A156" s="1">
        <v>155</v>
      </c>
      <c r="B156" s="1">
        <v>4</v>
      </c>
      <c r="C156" s="1">
        <v>39</v>
      </c>
      <c r="D156" s="1" t="str">
        <f>IF('Boletins Nuppa Site'!G156&lt;&gt;0,'Boletins Nuppa Site'!G156,"NULL")</f>
        <v>NULL</v>
      </c>
      <c r="E156" s="1" t="str">
        <f>IF('Boletins Nuppa Site'!H156&lt;&gt;0,'Boletins Nuppa Site'!H156,"NULL")</f>
        <v>NULL</v>
      </c>
      <c r="F156" s="1" t="str">
        <f>IF('Boletins Nuppa Site'!I156&lt;&gt;0,'Boletins Nuppa Site'!I156,"NULL")</f>
        <v>NULL</v>
      </c>
      <c r="G156" s="1" t="str">
        <f>IF('Boletins Nuppa Site'!J156&lt;&gt;0,'Boletins Nuppa Site'!J156,"NULL")</f>
        <v>NULL</v>
      </c>
      <c r="H156" s="1" t="str">
        <f>IF('Boletins Nuppa Site'!K156&lt;&gt;0,'Boletins Nuppa Site'!K156,"NULL")</f>
        <v>NULL</v>
      </c>
      <c r="J156" s="1" t="str">
        <f t="shared" si="2"/>
        <v>INSERT INTO COTACAO (blt_id, pap_id, cot_prc_comum, cot_prc_min, cot_prc_max, cot_prc_med, cot_prc_mediana) VALUES (4, 39, NULL, NULL, NULL, NULL, NULL);</v>
      </c>
    </row>
    <row r="157" spans="1:10" x14ac:dyDescent="0.3">
      <c r="A157" s="1">
        <v>156</v>
      </c>
      <c r="B157" s="1">
        <v>4</v>
      </c>
      <c r="C157" s="1">
        <v>40</v>
      </c>
      <c r="D157" s="1" t="str">
        <f>IF('Boletins Nuppa Site'!G157&lt;&gt;0,'Boletins Nuppa Site'!G157,"NULL")</f>
        <v>NULL</v>
      </c>
      <c r="E157" s="1" t="str">
        <f>IF('Boletins Nuppa Site'!H157&lt;&gt;0,'Boletins Nuppa Site'!H157,"NULL")</f>
        <v>NULL</v>
      </c>
      <c r="F157" s="1" t="str">
        <f>IF('Boletins Nuppa Site'!I157&lt;&gt;0,'Boletins Nuppa Site'!I157,"NULL")</f>
        <v>NULL</v>
      </c>
      <c r="G157" s="1" t="str">
        <f>IF('Boletins Nuppa Site'!J157&lt;&gt;0,'Boletins Nuppa Site'!J157,"NULL")</f>
        <v>NULL</v>
      </c>
      <c r="H157" s="1" t="str">
        <f>IF('Boletins Nuppa Site'!K157&lt;&gt;0,'Boletins Nuppa Site'!K157,"NULL")</f>
        <v>NULL</v>
      </c>
      <c r="J157" s="1" t="str">
        <f t="shared" si="2"/>
        <v>INSERT INTO COTACAO (blt_id, pap_id, cot_prc_comum, cot_prc_min, cot_prc_max, cot_prc_med, cot_prc_mediana) VALUES (4, 40, NULL, NULL, NULL, NULL, NULL);</v>
      </c>
    </row>
    <row r="158" spans="1:10" x14ac:dyDescent="0.3">
      <c r="A158" s="1">
        <v>157</v>
      </c>
      <c r="B158" s="1">
        <v>5</v>
      </c>
      <c r="C158" s="1">
        <v>1</v>
      </c>
      <c r="D158" s="19">
        <f>IF('Boletins Nuppa Site'!G158&lt;&gt;0,'Boletins Nuppa Site'!G158,"NULL")</f>
        <v>42</v>
      </c>
      <c r="E158" s="19">
        <f>IF('Boletins Nuppa Site'!H158&lt;&gt;0,'Boletins Nuppa Site'!H158,"NULL")</f>
        <v>42</v>
      </c>
      <c r="F158" s="19">
        <f>IF('Boletins Nuppa Site'!I158&lt;&gt;0,'Boletins Nuppa Site'!I158,"NULL")</f>
        <v>42</v>
      </c>
      <c r="G158" s="19">
        <f>IF('Boletins Nuppa Site'!J158&lt;&gt;0,'Boletins Nuppa Site'!J158,"NULL")</f>
        <v>42</v>
      </c>
      <c r="H158" s="19">
        <f>IF('Boletins Nuppa Site'!K158&lt;&gt;0,'Boletins Nuppa Site'!K158,"NULL")</f>
        <v>42</v>
      </c>
      <c r="J158" s="1" t="str">
        <f t="shared" si="2"/>
        <v>INSERT INTO COTACAO (blt_id, pap_id, cot_prc_comum, cot_prc_min, cot_prc_max, cot_prc_med, cot_prc_mediana) VALUES (5, 1, 42, 42, 42, 42, 42);</v>
      </c>
    </row>
    <row r="159" spans="1:10" x14ac:dyDescent="0.3">
      <c r="A159" s="1">
        <v>158</v>
      </c>
      <c r="B159" s="1">
        <v>5</v>
      </c>
      <c r="C159" s="1">
        <v>2</v>
      </c>
      <c r="D159" s="19">
        <f>IF('Boletins Nuppa Site'!G159&lt;&gt;0,'Boletins Nuppa Site'!G159,"NULL")</f>
        <v>60</v>
      </c>
      <c r="E159" s="19">
        <f>IF('Boletins Nuppa Site'!H159&lt;&gt;0,'Boletins Nuppa Site'!H159,"NULL")</f>
        <v>60</v>
      </c>
      <c r="F159" s="19">
        <f>IF('Boletins Nuppa Site'!I159&lt;&gt;0,'Boletins Nuppa Site'!I159,"NULL")</f>
        <v>60</v>
      </c>
      <c r="G159" s="19">
        <f>IF('Boletins Nuppa Site'!J159&lt;&gt;0,'Boletins Nuppa Site'!J159,"NULL")</f>
        <v>60</v>
      </c>
      <c r="H159" s="19">
        <f>IF('Boletins Nuppa Site'!K159&lt;&gt;0,'Boletins Nuppa Site'!K159,"NULL")</f>
        <v>60</v>
      </c>
      <c r="J159" s="1" t="str">
        <f t="shared" si="2"/>
        <v>INSERT INTO COTACAO (blt_id, pap_id, cot_prc_comum, cot_prc_min, cot_prc_max, cot_prc_med, cot_prc_mediana) VALUES (5, 2, 60, 60, 60, 60, 60);</v>
      </c>
    </row>
    <row r="160" spans="1:10" x14ac:dyDescent="0.3">
      <c r="A160" s="1">
        <v>159</v>
      </c>
      <c r="B160" s="1">
        <v>5</v>
      </c>
      <c r="C160" s="1">
        <v>3</v>
      </c>
      <c r="D160" s="19">
        <f>IF('Boletins Nuppa Site'!G160&lt;&gt;0,'Boletins Nuppa Site'!G160,"NULL")</f>
        <v>30</v>
      </c>
      <c r="E160" s="19">
        <f>IF('Boletins Nuppa Site'!H160&lt;&gt;0,'Boletins Nuppa Site'!H160,"NULL")</f>
        <v>30</v>
      </c>
      <c r="F160" s="19">
        <f>IF('Boletins Nuppa Site'!I160&lt;&gt;0,'Boletins Nuppa Site'!I160,"NULL")</f>
        <v>42</v>
      </c>
      <c r="G160" s="1" t="str">
        <f>IF('Boletins Nuppa Site'!J160&lt;&gt;0,'Boletins Nuppa Site'!J160,"NULL")</f>
        <v>34.25</v>
      </c>
      <c r="H160" s="1" t="str">
        <f>IF('Boletins Nuppa Site'!K160&lt;&gt;0,'Boletins Nuppa Site'!K160,"NULL")</f>
        <v>32.5</v>
      </c>
      <c r="J160" s="1" t="str">
        <f t="shared" si="2"/>
        <v>INSERT INTO COTACAO (blt_id, pap_id, cot_prc_comum, cot_prc_min, cot_prc_max, cot_prc_med, cot_prc_mediana) VALUES (5, 3, 30, 30, 42, 34.25, 32.5);</v>
      </c>
    </row>
    <row r="161" spans="1:10" x14ac:dyDescent="0.3">
      <c r="A161" s="1">
        <v>160</v>
      </c>
      <c r="B161" s="1">
        <v>5</v>
      </c>
      <c r="C161" s="1">
        <v>4</v>
      </c>
      <c r="D161" s="19">
        <f>IF('Boletins Nuppa Site'!G161&lt;&gt;0,'Boletins Nuppa Site'!G161,"NULL")</f>
        <v>18</v>
      </c>
      <c r="E161" s="19">
        <f>IF('Boletins Nuppa Site'!H161&lt;&gt;0,'Boletins Nuppa Site'!H161,"NULL")</f>
        <v>18</v>
      </c>
      <c r="F161" s="19">
        <f>IF('Boletins Nuppa Site'!I161&lt;&gt;0,'Boletins Nuppa Site'!I161,"NULL")</f>
        <v>24</v>
      </c>
      <c r="G161" s="19">
        <f>IF('Boletins Nuppa Site'!J161&lt;&gt;0,'Boletins Nuppa Site'!J161,"NULL")</f>
        <v>21</v>
      </c>
      <c r="H161" s="19">
        <f>IF('Boletins Nuppa Site'!K161&lt;&gt;0,'Boletins Nuppa Site'!K161,"NULL")</f>
        <v>21</v>
      </c>
      <c r="J161" s="1" t="str">
        <f t="shared" si="2"/>
        <v>INSERT INTO COTACAO (blt_id, pap_id, cot_prc_comum, cot_prc_min, cot_prc_max, cot_prc_med, cot_prc_mediana) VALUES (5, 4, 18, 18, 24, 21, 21);</v>
      </c>
    </row>
    <row r="162" spans="1:10" x14ac:dyDescent="0.3">
      <c r="A162" s="1">
        <v>161</v>
      </c>
      <c r="B162" s="1">
        <v>5</v>
      </c>
      <c r="C162" s="1">
        <v>5</v>
      </c>
      <c r="D162" s="19">
        <f>IF('Boletins Nuppa Site'!G162&lt;&gt;0,'Boletins Nuppa Site'!G162,"NULL")</f>
        <v>18</v>
      </c>
      <c r="E162" s="19">
        <f>IF('Boletins Nuppa Site'!H162&lt;&gt;0,'Boletins Nuppa Site'!H162,"NULL")</f>
        <v>18</v>
      </c>
      <c r="F162" s="19">
        <f>IF('Boletins Nuppa Site'!I162&lt;&gt;0,'Boletins Nuppa Site'!I162,"NULL")</f>
        <v>24</v>
      </c>
      <c r="G162" s="19">
        <f>IF('Boletins Nuppa Site'!J162&lt;&gt;0,'Boletins Nuppa Site'!J162,"NULL")</f>
        <v>21</v>
      </c>
      <c r="H162" s="19">
        <f>IF('Boletins Nuppa Site'!K162&lt;&gt;0,'Boletins Nuppa Site'!K162,"NULL")</f>
        <v>21</v>
      </c>
      <c r="J162" s="1" t="str">
        <f t="shared" si="2"/>
        <v>INSERT INTO COTACAO (blt_id, pap_id, cot_prc_comum, cot_prc_min, cot_prc_max, cot_prc_med, cot_prc_mediana) VALUES (5, 5, 18, 18, 24, 21, 21);</v>
      </c>
    </row>
    <row r="163" spans="1:10" x14ac:dyDescent="0.3">
      <c r="A163" s="1">
        <v>162</v>
      </c>
      <c r="B163" s="1">
        <v>5</v>
      </c>
      <c r="C163" s="1">
        <v>6</v>
      </c>
      <c r="D163" s="19">
        <f>IF('Boletins Nuppa Site'!G163&lt;&gt;0,'Boletins Nuppa Site'!G163,"NULL")</f>
        <v>42</v>
      </c>
      <c r="E163" s="19">
        <f>IF('Boletins Nuppa Site'!H163&lt;&gt;0,'Boletins Nuppa Site'!H163,"NULL")</f>
        <v>42</v>
      </c>
      <c r="F163" s="19">
        <f>IF('Boletins Nuppa Site'!I163&lt;&gt;0,'Boletins Nuppa Site'!I163,"NULL")</f>
        <v>48</v>
      </c>
      <c r="G163" s="19">
        <f>IF('Boletins Nuppa Site'!J163&lt;&gt;0,'Boletins Nuppa Site'!J163,"NULL")</f>
        <v>44</v>
      </c>
      <c r="H163" s="19">
        <f>IF('Boletins Nuppa Site'!K163&lt;&gt;0,'Boletins Nuppa Site'!K163,"NULL")</f>
        <v>42</v>
      </c>
      <c r="J163" s="1" t="str">
        <f t="shared" si="2"/>
        <v>INSERT INTO COTACAO (blt_id, pap_id, cot_prc_comum, cot_prc_min, cot_prc_max, cot_prc_med, cot_prc_mediana) VALUES (5, 6, 42, 42, 48, 44, 42);</v>
      </c>
    </row>
    <row r="164" spans="1:10" x14ac:dyDescent="0.3">
      <c r="A164" s="1">
        <v>163</v>
      </c>
      <c r="B164" s="1">
        <v>5</v>
      </c>
      <c r="C164" s="1">
        <v>7</v>
      </c>
      <c r="D164" s="1" t="str">
        <f>IF('Boletins Nuppa Site'!G164&lt;&gt;0,'Boletins Nuppa Site'!G164,"NULL")</f>
        <v>NULL</v>
      </c>
      <c r="E164" s="19">
        <f>IF('Boletins Nuppa Site'!H164&lt;&gt;0,'Boletins Nuppa Site'!H164,"NULL")</f>
        <v>72</v>
      </c>
      <c r="F164" s="19">
        <f>IF('Boletins Nuppa Site'!I164&lt;&gt;0,'Boletins Nuppa Site'!I164,"NULL")</f>
        <v>78</v>
      </c>
      <c r="G164" s="19">
        <f>IF('Boletins Nuppa Site'!J164&lt;&gt;0,'Boletins Nuppa Site'!J164,"NULL")</f>
        <v>75</v>
      </c>
      <c r="H164" s="19">
        <f>IF('Boletins Nuppa Site'!K164&lt;&gt;0,'Boletins Nuppa Site'!K164,"NULL")</f>
        <v>75</v>
      </c>
      <c r="J164" s="1" t="str">
        <f t="shared" si="2"/>
        <v>INSERT INTO COTACAO (blt_id, pap_id, cot_prc_comum, cot_prc_min, cot_prc_max, cot_prc_med, cot_prc_mediana) VALUES (5, 7, NULL, 72, 78, 75, 75);</v>
      </c>
    </row>
    <row r="165" spans="1:10" x14ac:dyDescent="0.3">
      <c r="A165" s="1">
        <v>164</v>
      </c>
      <c r="B165" s="1">
        <v>5</v>
      </c>
      <c r="C165" s="1">
        <v>8</v>
      </c>
      <c r="D165" s="1" t="str">
        <f>IF('Boletins Nuppa Site'!G165&lt;&gt;0,'Boletins Nuppa Site'!G165,"NULL")</f>
        <v>NULL</v>
      </c>
      <c r="E165" s="19">
        <f>IF('Boletins Nuppa Site'!H165&lt;&gt;0,'Boletins Nuppa Site'!H165,"NULL")</f>
        <v>48</v>
      </c>
      <c r="F165" s="19">
        <f>IF('Boletins Nuppa Site'!I165&lt;&gt;0,'Boletins Nuppa Site'!I165,"NULL")</f>
        <v>60</v>
      </c>
      <c r="G165" s="19">
        <f>IF('Boletins Nuppa Site'!J165&lt;&gt;0,'Boletins Nuppa Site'!J165,"NULL")</f>
        <v>54</v>
      </c>
      <c r="H165" s="19">
        <f>IF('Boletins Nuppa Site'!K165&lt;&gt;0,'Boletins Nuppa Site'!K165,"NULL")</f>
        <v>54</v>
      </c>
      <c r="J165" s="1" t="str">
        <f t="shared" si="2"/>
        <v>INSERT INTO COTACAO (blt_id, pap_id, cot_prc_comum, cot_prc_min, cot_prc_max, cot_prc_med, cot_prc_mediana) VALUES (5, 8, NULL, 48, 60, 54, 54);</v>
      </c>
    </row>
    <row r="166" spans="1:10" x14ac:dyDescent="0.3">
      <c r="A166" s="1">
        <v>165</v>
      </c>
      <c r="B166" s="1">
        <v>5</v>
      </c>
      <c r="C166" s="1">
        <v>9</v>
      </c>
      <c r="D166" s="1" t="str">
        <f>IF('Boletins Nuppa Site'!G166&lt;&gt;0,'Boletins Nuppa Site'!G166,"NULL")</f>
        <v>NULL</v>
      </c>
      <c r="E166" s="19">
        <f>IF('Boletins Nuppa Site'!H166&lt;&gt;0,'Boletins Nuppa Site'!H166,"NULL")</f>
        <v>18</v>
      </c>
      <c r="F166" s="19">
        <f>IF('Boletins Nuppa Site'!I166&lt;&gt;0,'Boletins Nuppa Site'!I166,"NULL")</f>
        <v>24</v>
      </c>
      <c r="G166" s="1" t="str">
        <f>IF('Boletins Nuppa Site'!J166&lt;&gt;0,'Boletins Nuppa Site'!J166,"NULL")</f>
        <v>20.67</v>
      </c>
      <c r="H166" s="19">
        <f>IF('Boletins Nuppa Site'!K166&lt;&gt;0,'Boletins Nuppa Site'!K166,"NULL")</f>
        <v>20</v>
      </c>
      <c r="J166" s="1" t="str">
        <f t="shared" si="2"/>
        <v>INSERT INTO COTACAO (blt_id, pap_id, cot_prc_comum, cot_prc_min, cot_prc_max, cot_prc_med, cot_prc_mediana) VALUES (5, 9, NULL, 18, 24, 20.67, 20);</v>
      </c>
    </row>
    <row r="167" spans="1:10" x14ac:dyDescent="0.3">
      <c r="A167" s="1">
        <v>166</v>
      </c>
      <c r="B167" s="1">
        <v>5</v>
      </c>
      <c r="C167" s="1">
        <v>10</v>
      </c>
      <c r="D167" s="1" t="str">
        <f>IF('Boletins Nuppa Site'!G167&lt;&gt;0,'Boletins Nuppa Site'!G167,"NULL")</f>
        <v>NULL</v>
      </c>
      <c r="E167" s="19">
        <f>IF('Boletins Nuppa Site'!H167&lt;&gt;0,'Boletins Nuppa Site'!H167,"NULL")</f>
        <v>80</v>
      </c>
      <c r="F167" s="19">
        <f>IF('Boletins Nuppa Site'!I167&lt;&gt;0,'Boletins Nuppa Site'!I167,"NULL")</f>
        <v>80</v>
      </c>
      <c r="G167" s="19">
        <f>IF('Boletins Nuppa Site'!J167&lt;&gt;0,'Boletins Nuppa Site'!J167,"NULL")</f>
        <v>80</v>
      </c>
      <c r="H167" s="19">
        <f>IF('Boletins Nuppa Site'!K167&lt;&gt;0,'Boletins Nuppa Site'!K167,"NULL")</f>
        <v>80</v>
      </c>
      <c r="J167" s="1" t="str">
        <f t="shared" si="2"/>
        <v>INSERT INTO COTACAO (blt_id, pap_id, cot_prc_comum, cot_prc_min, cot_prc_max, cot_prc_med, cot_prc_mediana) VALUES (5, 10, NULL, 80, 80, 80, 80);</v>
      </c>
    </row>
    <row r="168" spans="1:10" x14ac:dyDescent="0.3">
      <c r="A168" s="1">
        <v>167</v>
      </c>
      <c r="B168" s="1">
        <v>5</v>
      </c>
      <c r="C168" s="1">
        <v>11</v>
      </c>
      <c r="D168" s="19">
        <f>IF('Boletins Nuppa Site'!G168&lt;&gt;0,'Boletins Nuppa Site'!G168,"NULL")</f>
        <v>18</v>
      </c>
      <c r="E168" s="19">
        <f>IF('Boletins Nuppa Site'!H168&lt;&gt;0,'Boletins Nuppa Site'!H168,"NULL")</f>
        <v>18</v>
      </c>
      <c r="F168" s="19">
        <f>IF('Boletins Nuppa Site'!I168&lt;&gt;0,'Boletins Nuppa Site'!I168,"NULL")</f>
        <v>24</v>
      </c>
      <c r="G168" s="19">
        <f>IF('Boletins Nuppa Site'!J168&lt;&gt;0,'Boletins Nuppa Site'!J168,"NULL")</f>
        <v>21</v>
      </c>
      <c r="H168" s="19">
        <f>IF('Boletins Nuppa Site'!K168&lt;&gt;0,'Boletins Nuppa Site'!K168,"NULL")</f>
        <v>21</v>
      </c>
      <c r="J168" s="1" t="str">
        <f t="shared" si="2"/>
        <v>INSERT INTO COTACAO (blt_id, pap_id, cot_prc_comum, cot_prc_min, cot_prc_max, cot_prc_med, cot_prc_mediana) VALUES (5, 11, 18, 18, 24, 21, 21);</v>
      </c>
    </row>
    <row r="169" spans="1:10" x14ac:dyDescent="0.3">
      <c r="A169" s="1">
        <v>168</v>
      </c>
      <c r="B169" s="1">
        <v>5</v>
      </c>
      <c r="C169" s="1">
        <v>12</v>
      </c>
      <c r="D169" s="1" t="str">
        <f>IF('Boletins Nuppa Site'!G169&lt;&gt;0,'Boletins Nuppa Site'!G169,"NULL")</f>
        <v>NULL</v>
      </c>
      <c r="E169" s="19">
        <f>IF('Boletins Nuppa Site'!H169&lt;&gt;0,'Boletins Nuppa Site'!H169,"NULL")</f>
        <v>36</v>
      </c>
      <c r="F169" s="19">
        <f>IF('Boletins Nuppa Site'!I169&lt;&gt;0,'Boletins Nuppa Site'!I169,"NULL")</f>
        <v>60</v>
      </c>
      <c r="G169" s="19">
        <f>IF('Boletins Nuppa Site'!J169&lt;&gt;0,'Boletins Nuppa Site'!J169,"NULL")</f>
        <v>48</v>
      </c>
      <c r="H169" s="19">
        <f>IF('Boletins Nuppa Site'!K169&lt;&gt;0,'Boletins Nuppa Site'!K169,"NULL")</f>
        <v>48</v>
      </c>
      <c r="J169" s="1" t="str">
        <f t="shared" si="2"/>
        <v>INSERT INTO COTACAO (blt_id, pap_id, cot_prc_comum, cot_prc_min, cot_prc_max, cot_prc_med, cot_prc_mediana) VALUES (5, 12, NULL, 36, 60, 48, 48);</v>
      </c>
    </row>
    <row r="170" spans="1:10" x14ac:dyDescent="0.3">
      <c r="A170" s="1">
        <v>169</v>
      </c>
      <c r="B170" s="1">
        <v>5</v>
      </c>
      <c r="C170" s="1">
        <v>13</v>
      </c>
      <c r="D170" s="1" t="str">
        <f>IF('Boletins Nuppa Site'!G170&lt;&gt;0,'Boletins Nuppa Site'!G170,"NULL")</f>
        <v>NULL</v>
      </c>
      <c r="E170" s="19">
        <f>IF('Boletins Nuppa Site'!H170&lt;&gt;0,'Boletins Nuppa Site'!H170,"NULL")</f>
        <v>36</v>
      </c>
      <c r="F170" s="19">
        <f>IF('Boletins Nuppa Site'!I170&lt;&gt;0,'Boletins Nuppa Site'!I170,"NULL")</f>
        <v>54</v>
      </c>
      <c r="G170" s="19">
        <f>IF('Boletins Nuppa Site'!J170&lt;&gt;0,'Boletins Nuppa Site'!J170,"NULL")</f>
        <v>46</v>
      </c>
      <c r="H170" s="19">
        <f>IF('Boletins Nuppa Site'!K170&lt;&gt;0,'Boletins Nuppa Site'!K170,"NULL")</f>
        <v>48</v>
      </c>
      <c r="J170" s="1" t="str">
        <f t="shared" si="2"/>
        <v>INSERT INTO COTACAO (blt_id, pap_id, cot_prc_comum, cot_prc_min, cot_prc_max, cot_prc_med, cot_prc_mediana) VALUES (5, 13, NULL, 36, 54, 46, 48);</v>
      </c>
    </row>
    <row r="171" spans="1:10" x14ac:dyDescent="0.3">
      <c r="A171" s="1">
        <v>170</v>
      </c>
      <c r="B171" s="1">
        <v>5</v>
      </c>
      <c r="C171" s="1">
        <v>14</v>
      </c>
      <c r="D171" s="1" t="str">
        <f>IF('Boletins Nuppa Site'!G171&lt;&gt;0,'Boletins Nuppa Site'!G171,"NULL")</f>
        <v>NULL</v>
      </c>
      <c r="E171" s="19">
        <f>IF('Boletins Nuppa Site'!H171&lt;&gt;0,'Boletins Nuppa Site'!H171,"NULL")</f>
        <v>40</v>
      </c>
      <c r="F171" s="19">
        <f>IF('Boletins Nuppa Site'!I171&lt;&gt;0,'Boletins Nuppa Site'!I171,"NULL")</f>
        <v>40</v>
      </c>
      <c r="G171" s="19">
        <f>IF('Boletins Nuppa Site'!J171&lt;&gt;0,'Boletins Nuppa Site'!J171,"NULL")</f>
        <v>40</v>
      </c>
      <c r="H171" s="19">
        <f>IF('Boletins Nuppa Site'!K171&lt;&gt;0,'Boletins Nuppa Site'!K171,"NULL")</f>
        <v>40</v>
      </c>
      <c r="J171" s="1" t="str">
        <f t="shared" si="2"/>
        <v>INSERT INTO COTACAO (blt_id, pap_id, cot_prc_comum, cot_prc_min, cot_prc_max, cot_prc_med, cot_prc_mediana) VALUES (5, 14, NULL, 40, 40, 40, 40);</v>
      </c>
    </row>
    <row r="172" spans="1:10" x14ac:dyDescent="0.3">
      <c r="A172" s="1">
        <v>171</v>
      </c>
      <c r="B172" s="1">
        <v>5</v>
      </c>
      <c r="C172" s="1">
        <v>15</v>
      </c>
      <c r="D172" s="1" t="str">
        <f>IF('Boletins Nuppa Site'!G172&lt;&gt;0,'Boletins Nuppa Site'!G172,"NULL")</f>
        <v>NULL</v>
      </c>
      <c r="E172" s="19">
        <f>IF('Boletins Nuppa Site'!H172&lt;&gt;0,'Boletins Nuppa Site'!H172,"NULL")</f>
        <v>25</v>
      </c>
      <c r="F172" s="19">
        <f>IF('Boletins Nuppa Site'!I172&lt;&gt;0,'Boletins Nuppa Site'!I172,"NULL")</f>
        <v>40</v>
      </c>
      <c r="G172" s="1" t="str">
        <f>IF('Boletins Nuppa Site'!J172&lt;&gt;0,'Boletins Nuppa Site'!J172,"NULL")</f>
        <v>31.67</v>
      </c>
      <c r="H172" s="19">
        <f>IF('Boletins Nuppa Site'!K172&lt;&gt;0,'Boletins Nuppa Site'!K172,"NULL")</f>
        <v>30</v>
      </c>
      <c r="J172" s="1" t="str">
        <f t="shared" si="2"/>
        <v>INSERT INTO COTACAO (blt_id, pap_id, cot_prc_comum, cot_prc_min, cot_prc_max, cot_prc_med, cot_prc_mediana) VALUES (5, 15, NULL, 25, 40, 31.67, 30);</v>
      </c>
    </row>
    <row r="173" spans="1:10" x14ac:dyDescent="0.3">
      <c r="A173" s="1">
        <v>172</v>
      </c>
      <c r="B173" s="1">
        <v>5</v>
      </c>
      <c r="C173" s="1">
        <v>16</v>
      </c>
      <c r="D173" s="19">
        <f>IF('Boletins Nuppa Site'!G173&lt;&gt;0,'Boletins Nuppa Site'!G173,"NULL")</f>
        <v>36</v>
      </c>
      <c r="E173" s="19">
        <f>IF('Boletins Nuppa Site'!H173&lt;&gt;0,'Boletins Nuppa Site'!H173,"NULL")</f>
        <v>36</v>
      </c>
      <c r="F173" s="19">
        <f>IF('Boletins Nuppa Site'!I173&lt;&gt;0,'Boletins Nuppa Site'!I173,"NULL")</f>
        <v>42</v>
      </c>
      <c r="G173" s="19">
        <f>IF('Boletins Nuppa Site'!J173&lt;&gt;0,'Boletins Nuppa Site'!J173,"NULL")</f>
        <v>39</v>
      </c>
      <c r="H173" s="19">
        <f>IF('Boletins Nuppa Site'!K173&lt;&gt;0,'Boletins Nuppa Site'!K173,"NULL")</f>
        <v>39</v>
      </c>
      <c r="J173" s="1" t="str">
        <f t="shared" si="2"/>
        <v>INSERT INTO COTACAO (blt_id, pap_id, cot_prc_comum, cot_prc_min, cot_prc_max, cot_prc_med, cot_prc_mediana) VALUES (5, 16, 36, 36, 42, 39, 39);</v>
      </c>
    </row>
    <row r="174" spans="1:10" x14ac:dyDescent="0.3">
      <c r="A174" s="1">
        <v>173</v>
      </c>
      <c r="B174" s="1">
        <v>5</v>
      </c>
      <c r="C174" s="1">
        <v>17</v>
      </c>
      <c r="D174" s="1" t="str">
        <f>IF('Boletins Nuppa Site'!G174&lt;&gt;0,'Boletins Nuppa Site'!G174,"NULL")</f>
        <v>NULL</v>
      </c>
      <c r="E174" s="1" t="str">
        <f>IF('Boletins Nuppa Site'!H174&lt;&gt;0,'Boletins Nuppa Site'!H174,"NULL")</f>
        <v>3.5</v>
      </c>
      <c r="F174" s="19">
        <f>IF('Boletins Nuppa Site'!I174&lt;&gt;0,'Boletins Nuppa Site'!I174,"NULL")</f>
        <v>5</v>
      </c>
      <c r="G174" s="1" t="str">
        <f>IF('Boletins Nuppa Site'!J174&lt;&gt;0,'Boletins Nuppa Site'!J174,"NULL")</f>
        <v>4.17</v>
      </c>
      <c r="H174" s="19">
        <f>IF('Boletins Nuppa Site'!K174&lt;&gt;0,'Boletins Nuppa Site'!K174,"NULL")</f>
        <v>4</v>
      </c>
      <c r="J174" s="1" t="str">
        <f t="shared" si="2"/>
        <v>INSERT INTO COTACAO (blt_id, pap_id, cot_prc_comum, cot_prc_min, cot_prc_max, cot_prc_med, cot_prc_mediana) VALUES (5, 17, NULL, 3.5, 5, 4.17, 4);</v>
      </c>
    </row>
    <row r="175" spans="1:10" x14ac:dyDescent="0.3">
      <c r="A175" s="1">
        <v>174</v>
      </c>
      <c r="B175" s="1">
        <v>5</v>
      </c>
      <c r="C175" s="1">
        <v>18</v>
      </c>
      <c r="D175" s="19">
        <f>IF('Boletins Nuppa Site'!G175&lt;&gt;0,'Boletins Nuppa Site'!G175,"NULL")</f>
        <v>20</v>
      </c>
      <c r="E175" s="19">
        <f>IF('Boletins Nuppa Site'!H175&lt;&gt;0,'Boletins Nuppa Site'!H175,"NULL")</f>
        <v>20</v>
      </c>
      <c r="F175" s="19">
        <f>IF('Boletins Nuppa Site'!I175&lt;&gt;0,'Boletins Nuppa Site'!I175,"NULL")</f>
        <v>22</v>
      </c>
      <c r="G175" s="1" t="str">
        <f>IF('Boletins Nuppa Site'!J175&lt;&gt;0,'Boletins Nuppa Site'!J175,"NULL")</f>
        <v>20.67</v>
      </c>
      <c r="H175" s="19">
        <f>IF('Boletins Nuppa Site'!K175&lt;&gt;0,'Boletins Nuppa Site'!K175,"NULL")</f>
        <v>20</v>
      </c>
      <c r="J175" s="1" t="str">
        <f t="shared" si="2"/>
        <v>INSERT INTO COTACAO (blt_id, pap_id, cot_prc_comum, cot_prc_min, cot_prc_max, cot_prc_med, cot_prc_mediana) VALUES (5, 18, 20, 20, 22, 20.67, 20);</v>
      </c>
    </row>
    <row r="176" spans="1:10" x14ac:dyDescent="0.3">
      <c r="A176" s="1">
        <v>175</v>
      </c>
      <c r="B176" s="1">
        <v>5</v>
      </c>
      <c r="C176" s="1">
        <v>19</v>
      </c>
      <c r="D176" s="19">
        <f>IF('Boletins Nuppa Site'!G176&lt;&gt;0,'Boletins Nuppa Site'!G176,"NULL")</f>
        <v>20</v>
      </c>
      <c r="E176" s="19">
        <f>IF('Boletins Nuppa Site'!H176&lt;&gt;0,'Boletins Nuppa Site'!H176,"NULL")</f>
        <v>20</v>
      </c>
      <c r="F176" s="19">
        <f>IF('Boletins Nuppa Site'!I176&lt;&gt;0,'Boletins Nuppa Site'!I176,"NULL")</f>
        <v>30</v>
      </c>
      <c r="G176" s="1" t="str">
        <f>IF('Boletins Nuppa Site'!J176&lt;&gt;0,'Boletins Nuppa Site'!J176,"NULL")</f>
        <v>23.33</v>
      </c>
      <c r="H176" s="19">
        <f>IF('Boletins Nuppa Site'!K176&lt;&gt;0,'Boletins Nuppa Site'!K176,"NULL")</f>
        <v>20</v>
      </c>
      <c r="J176" s="1" t="str">
        <f t="shared" si="2"/>
        <v>INSERT INTO COTACAO (blt_id, pap_id, cot_prc_comum, cot_prc_min, cot_prc_max, cot_prc_med, cot_prc_mediana) VALUES (5, 19, 20, 20, 30, 23.33, 20);</v>
      </c>
    </row>
    <row r="177" spans="1:10" x14ac:dyDescent="0.3">
      <c r="A177" s="1">
        <v>176</v>
      </c>
      <c r="B177" s="1">
        <v>5</v>
      </c>
      <c r="C177" s="1">
        <v>21</v>
      </c>
      <c r="D177" s="19">
        <f>IF('Boletins Nuppa Site'!G177&lt;&gt;0,'Boletins Nuppa Site'!G177,"NULL")</f>
        <v>35</v>
      </c>
      <c r="E177" s="19">
        <f>IF('Boletins Nuppa Site'!H177&lt;&gt;0,'Boletins Nuppa Site'!H177,"NULL")</f>
        <v>35</v>
      </c>
      <c r="F177" s="19">
        <f>IF('Boletins Nuppa Site'!I177&lt;&gt;0,'Boletins Nuppa Site'!I177,"NULL")</f>
        <v>65</v>
      </c>
      <c r="G177" s="1" t="str">
        <f>IF('Boletins Nuppa Site'!J177&lt;&gt;0,'Boletins Nuppa Site'!J177,"NULL")</f>
        <v>50.71</v>
      </c>
      <c r="H177" s="19">
        <f>IF('Boletins Nuppa Site'!K177&lt;&gt;0,'Boletins Nuppa Site'!K177,"NULL")</f>
        <v>50</v>
      </c>
      <c r="J177" s="1" t="str">
        <f t="shared" si="2"/>
        <v>INSERT INTO COTACAO (blt_id, pap_id, cot_prc_comum, cot_prc_min, cot_prc_max, cot_prc_med, cot_prc_mediana) VALUES (5, 21, 35, 35, 65, 50.71, 50);</v>
      </c>
    </row>
    <row r="178" spans="1:10" x14ac:dyDescent="0.3">
      <c r="A178" s="1">
        <v>177</v>
      </c>
      <c r="B178" s="1">
        <v>5</v>
      </c>
      <c r="C178" s="1">
        <v>22</v>
      </c>
      <c r="D178" s="19">
        <f>IF('Boletins Nuppa Site'!G178&lt;&gt;0,'Boletins Nuppa Site'!G178,"NULL")</f>
        <v>35</v>
      </c>
      <c r="E178" s="19">
        <f>IF('Boletins Nuppa Site'!H178&lt;&gt;0,'Boletins Nuppa Site'!H178,"NULL")</f>
        <v>35</v>
      </c>
      <c r="F178" s="19">
        <f>IF('Boletins Nuppa Site'!I178&lt;&gt;0,'Boletins Nuppa Site'!I178,"NULL")</f>
        <v>65</v>
      </c>
      <c r="G178" s="1" t="str">
        <f>IF('Boletins Nuppa Site'!J178&lt;&gt;0,'Boletins Nuppa Site'!J178,"NULL")</f>
        <v>49.29</v>
      </c>
      <c r="H178" s="19">
        <f>IF('Boletins Nuppa Site'!K178&lt;&gt;0,'Boletins Nuppa Site'!K178,"NULL")</f>
        <v>55</v>
      </c>
      <c r="J178" s="1" t="str">
        <f t="shared" si="2"/>
        <v>INSERT INTO COTACAO (blt_id, pap_id, cot_prc_comum, cot_prc_min, cot_prc_max, cot_prc_med, cot_prc_mediana) VALUES (5, 22, 35, 35, 65, 49.29, 55);</v>
      </c>
    </row>
    <row r="179" spans="1:10" x14ac:dyDescent="0.3">
      <c r="A179" s="1">
        <v>178</v>
      </c>
      <c r="B179" s="1">
        <v>5</v>
      </c>
      <c r="C179" s="1">
        <v>23</v>
      </c>
      <c r="D179" s="19">
        <f>IF('Boletins Nuppa Site'!G179&lt;&gt;0,'Boletins Nuppa Site'!G179,"NULL")</f>
        <v>35</v>
      </c>
      <c r="E179" s="19">
        <f>IF('Boletins Nuppa Site'!H179&lt;&gt;0,'Boletins Nuppa Site'!H179,"NULL")</f>
        <v>30</v>
      </c>
      <c r="F179" s="19">
        <f>IF('Boletins Nuppa Site'!I179&lt;&gt;0,'Boletins Nuppa Site'!I179,"NULL")</f>
        <v>50</v>
      </c>
      <c r="G179" s="1" t="str">
        <f>IF('Boletins Nuppa Site'!J179&lt;&gt;0,'Boletins Nuppa Site'!J179,"NULL")</f>
        <v>37.86</v>
      </c>
      <c r="H179" s="19">
        <f>IF('Boletins Nuppa Site'!K179&lt;&gt;0,'Boletins Nuppa Site'!K179,"NULL")</f>
        <v>35</v>
      </c>
      <c r="J179" s="1" t="str">
        <f t="shared" si="2"/>
        <v>INSERT INTO COTACAO (blt_id, pap_id, cot_prc_comum, cot_prc_min, cot_prc_max, cot_prc_med, cot_prc_mediana) VALUES (5, 23, 35, 30, 50, 37.86, 35);</v>
      </c>
    </row>
    <row r="180" spans="1:10" x14ac:dyDescent="0.3">
      <c r="A180" s="1">
        <v>179</v>
      </c>
      <c r="B180" s="1">
        <v>5</v>
      </c>
      <c r="C180" s="1">
        <v>24</v>
      </c>
      <c r="D180" s="19">
        <f>IF('Boletins Nuppa Site'!G180&lt;&gt;0,'Boletins Nuppa Site'!G180,"NULL")</f>
        <v>100</v>
      </c>
      <c r="E180" s="19">
        <f>IF('Boletins Nuppa Site'!H180&lt;&gt;0,'Boletins Nuppa Site'!H180,"NULL")</f>
        <v>100</v>
      </c>
      <c r="F180" s="19">
        <f>IF('Boletins Nuppa Site'!I180&lt;&gt;0,'Boletins Nuppa Site'!I180,"NULL")</f>
        <v>110</v>
      </c>
      <c r="G180" s="1" t="str">
        <f>IF('Boletins Nuppa Site'!J180&lt;&gt;0,'Boletins Nuppa Site'!J180,"NULL")</f>
        <v>103.33</v>
      </c>
      <c r="H180" s="19">
        <f>IF('Boletins Nuppa Site'!K180&lt;&gt;0,'Boletins Nuppa Site'!K180,"NULL")</f>
        <v>100</v>
      </c>
      <c r="J180" s="1" t="str">
        <f t="shared" si="2"/>
        <v>INSERT INTO COTACAO (blt_id, pap_id, cot_prc_comum, cot_prc_min, cot_prc_max, cot_prc_med, cot_prc_mediana) VALUES (5, 24, 100, 100, 110, 103.33, 100);</v>
      </c>
    </row>
    <row r="181" spans="1:10" x14ac:dyDescent="0.3">
      <c r="A181" s="1">
        <v>180</v>
      </c>
      <c r="B181" s="1">
        <v>5</v>
      </c>
      <c r="C181" s="1">
        <v>25</v>
      </c>
      <c r="D181" s="19">
        <f>IF('Boletins Nuppa Site'!G181&lt;&gt;0,'Boletins Nuppa Site'!G181,"NULL")</f>
        <v>50</v>
      </c>
      <c r="E181" s="19">
        <f>IF('Boletins Nuppa Site'!H181&lt;&gt;0,'Boletins Nuppa Site'!H181,"NULL")</f>
        <v>40</v>
      </c>
      <c r="F181" s="19">
        <f>IF('Boletins Nuppa Site'!I181&lt;&gt;0,'Boletins Nuppa Site'!I181,"NULL")</f>
        <v>55</v>
      </c>
      <c r="G181" s="1" t="str">
        <f>IF('Boletins Nuppa Site'!J181&lt;&gt;0,'Boletins Nuppa Site'!J181,"NULL")</f>
        <v>49.17</v>
      </c>
      <c r="H181" s="19">
        <f>IF('Boletins Nuppa Site'!K181&lt;&gt;0,'Boletins Nuppa Site'!K181,"NULL")</f>
        <v>50</v>
      </c>
      <c r="J181" s="1" t="str">
        <f t="shared" si="2"/>
        <v>INSERT INTO COTACAO (blt_id, pap_id, cot_prc_comum, cot_prc_min, cot_prc_max, cot_prc_med, cot_prc_mediana) VALUES (5, 25, 50, 40, 55, 49.17, 50);</v>
      </c>
    </row>
    <row r="182" spans="1:10" x14ac:dyDescent="0.3">
      <c r="A182" s="1">
        <v>181</v>
      </c>
      <c r="B182" s="1">
        <v>5</v>
      </c>
      <c r="C182" s="1">
        <v>26</v>
      </c>
      <c r="D182" s="19">
        <f>IF('Boletins Nuppa Site'!G182&lt;&gt;0,'Boletins Nuppa Site'!G182,"NULL")</f>
        <v>70</v>
      </c>
      <c r="E182" s="19">
        <f>IF('Boletins Nuppa Site'!H182&lt;&gt;0,'Boletins Nuppa Site'!H182,"NULL")</f>
        <v>60</v>
      </c>
      <c r="F182" s="19">
        <f>IF('Boletins Nuppa Site'!I182&lt;&gt;0,'Boletins Nuppa Site'!I182,"NULL")</f>
        <v>70</v>
      </c>
      <c r="G182" s="1" t="str">
        <f>IF('Boletins Nuppa Site'!J182&lt;&gt;0,'Boletins Nuppa Site'!J182,"NULL")</f>
        <v>66.67</v>
      </c>
      <c r="H182" s="1" t="str">
        <f>IF('Boletins Nuppa Site'!K182&lt;&gt;0,'Boletins Nuppa Site'!K182,"NULL")</f>
        <v>67.5</v>
      </c>
      <c r="J182" s="1" t="str">
        <f t="shared" si="2"/>
        <v>INSERT INTO COTACAO (blt_id, pap_id, cot_prc_comum, cot_prc_min, cot_prc_max, cot_prc_med, cot_prc_mediana) VALUES (5, 26, 70, 60, 70, 66.67, 67.5);</v>
      </c>
    </row>
    <row r="183" spans="1:10" x14ac:dyDescent="0.3">
      <c r="A183" s="1">
        <v>182</v>
      </c>
      <c r="B183" s="1">
        <v>5</v>
      </c>
      <c r="C183" s="1">
        <v>27</v>
      </c>
      <c r="D183" s="19">
        <f>IF('Boletins Nuppa Site'!G183&lt;&gt;0,'Boletins Nuppa Site'!G183,"NULL")</f>
        <v>70</v>
      </c>
      <c r="E183" s="19">
        <f>IF('Boletins Nuppa Site'!H183&lt;&gt;0,'Boletins Nuppa Site'!H183,"NULL")</f>
        <v>70</v>
      </c>
      <c r="F183" s="19">
        <f>IF('Boletins Nuppa Site'!I183&lt;&gt;0,'Boletins Nuppa Site'!I183,"NULL")</f>
        <v>75</v>
      </c>
      <c r="G183" s="1" t="str">
        <f>IF('Boletins Nuppa Site'!J183&lt;&gt;0,'Boletins Nuppa Site'!J183,"NULL")</f>
        <v>70.83</v>
      </c>
      <c r="H183" s="19">
        <f>IF('Boletins Nuppa Site'!K183&lt;&gt;0,'Boletins Nuppa Site'!K183,"NULL")</f>
        <v>70</v>
      </c>
      <c r="J183" s="1" t="str">
        <f t="shared" si="2"/>
        <v>INSERT INTO COTACAO (blt_id, pap_id, cot_prc_comum, cot_prc_min, cot_prc_max, cot_prc_med, cot_prc_mediana) VALUES (5, 27, 70, 70, 75, 70.83, 70);</v>
      </c>
    </row>
    <row r="184" spans="1:10" x14ac:dyDescent="0.3">
      <c r="A184" s="1">
        <v>183</v>
      </c>
      <c r="B184" s="1">
        <v>5</v>
      </c>
      <c r="C184" s="1">
        <v>28</v>
      </c>
      <c r="D184" s="19">
        <f>IF('Boletins Nuppa Site'!G184&lt;&gt;0,'Boletins Nuppa Site'!G184,"NULL")</f>
        <v>70</v>
      </c>
      <c r="E184" s="19">
        <f>IF('Boletins Nuppa Site'!H184&lt;&gt;0,'Boletins Nuppa Site'!H184,"NULL")</f>
        <v>60</v>
      </c>
      <c r="F184" s="19">
        <f>IF('Boletins Nuppa Site'!I184&lt;&gt;0,'Boletins Nuppa Site'!I184,"NULL")</f>
        <v>80</v>
      </c>
      <c r="G184" s="19">
        <f>IF('Boletins Nuppa Site'!J184&lt;&gt;0,'Boletins Nuppa Site'!J184,"NULL")</f>
        <v>70</v>
      </c>
      <c r="H184" s="19">
        <f>IF('Boletins Nuppa Site'!K184&lt;&gt;0,'Boletins Nuppa Site'!K184,"NULL")</f>
        <v>70</v>
      </c>
      <c r="J184" s="1" t="str">
        <f t="shared" si="2"/>
        <v>INSERT INTO COTACAO (blt_id, pap_id, cot_prc_comum, cot_prc_min, cot_prc_max, cot_prc_med, cot_prc_mediana) VALUES (5, 28, 70, 60, 80, 70, 70);</v>
      </c>
    </row>
    <row r="185" spans="1:10" x14ac:dyDescent="0.3">
      <c r="A185" s="1">
        <v>184</v>
      </c>
      <c r="B185" s="1">
        <v>5</v>
      </c>
      <c r="C185" s="1">
        <v>29</v>
      </c>
      <c r="D185" s="1" t="str">
        <f>IF('Boletins Nuppa Site'!G185&lt;&gt;0,'Boletins Nuppa Site'!G185,"NULL")</f>
        <v>NULL</v>
      </c>
      <c r="E185" s="19">
        <f>IF('Boletins Nuppa Site'!H185&lt;&gt;0,'Boletins Nuppa Site'!H185,"NULL")</f>
        <v>60</v>
      </c>
      <c r="F185" s="19">
        <f>IF('Boletins Nuppa Site'!I185&lt;&gt;0,'Boletins Nuppa Site'!I185,"NULL")</f>
        <v>60</v>
      </c>
      <c r="G185" s="19">
        <f>IF('Boletins Nuppa Site'!J185&lt;&gt;0,'Boletins Nuppa Site'!J185,"NULL")</f>
        <v>60</v>
      </c>
      <c r="H185" s="19">
        <f>IF('Boletins Nuppa Site'!K185&lt;&gt;0,'Boletins Nuppa Site'!K185,"NULL")</f>
        <v>60</v>
      </c>
      <c r="J185" s="1" t="str">
        <f t="shared" si="2"/>
        <v>INSERT INTO COTACAO (blt_id, pap_id, cot_prc_comum, cot_prc_min, cot_prc_max, cot_prc_med, cot_prc_mediana) VALUES (5, 29, NULL, 60, 60, 60, 60);</v>
      </c>
    </row>
    <row r="186" spans="1:10" x14ac:dyDescent="0.3">
      <c r="A186" s="1">
        <v>185</v>
      </c>
      <c r="B186" s="1">
        <v>5</v>
      </c>
      <c r="C186" s="1">
        <v>30</v>
      </c>
      <c r="D186" s="19">
        <f>IF('Boletins Nuppa Site'!G186&lt;&gt;0,'Boletins Nuppa Site'!G186,"NULL")</f>
        <v>50</v>
      </c>
      <c r="E186" s="19">
        <f>IF('Boletins Nuppa Site'!H186&lt;&gt;0,'Boletins Nuppa Site'!H186,"NULL")</f>
        <v>40</v>
      </c>
      <c r="F186" s="19">
        <f>IF('Boletins Nuppa Site'!I186&lt;&gt;0,'Boletins Nuppa Site'!I186,"NULL")</f>
        <v>50</v>
      </c>
      <c r="G186" s="1" t="str">
        <f>IF('Boletins Nuppa Site'!J186&lt;&gt;0,'Boletins Nuppa Site'!J186,"NULL")</f>
        <v>47.5</v>
      </c>
      <c r="H186" s="19">
        <f>IF('Boletins Nuppa Site'!K186&lt;&gt;0,'Boletins Nuppa Site'!K186,"NULL")</f>
        <v>50</v>
      </c>
      <c r="J186" s="1" t="str">
        <f t="shared" si="2"/>
        <v>INSERT INTO COTACAO (blt_id, pap_id, cot_prc_comum, cot_prc_min, cot_prc_max, cot_prc_med, cot_prc_mediana) VALUES (5, 30, 50, 40, 50, 47.5, 50);</v>
      </c>
    </row>
    <row r="187" spans="1:10" x14ac:dyDescent="0.3">
      <c r="A187" s="1">
        <v>186</v>
      </c>
      <c r="B187" s="1">
        <v>5</v>
      </c>
      <c r="C187" s="1">
        <v>31</v>
      </c>
      <c r="D187" s="19">
        <f>IF('Boletins Nuppa Site'!G187&lt;&gt;0,'Boletins Nuppa Site'!G187,"NULL")</f>
        <v>80</v>
      </c>
      <c r="E187" s="19">
        <f>IF('Boletins Nuppa Site'!H187&lt;&gt;0,'Boletins Nuppa Site'!H187,"NULL")</f>
        <v>65</v>
      </c>
      <c r="F187" s="19">
        <f>IF('Boletins Nuppa Site'!I187&lt;&gt;0,'Boletins Nuppa Site'!I187,"NULL")</f>
        <v>80</v>
      </c>
      <c r="G187" s="19">
        <f>IF('Boletins Nuppa Site'!J187&lt;&gt;0,'Boletins Nuppa Site'!J187,"NULL")</f>
        <v>75</v>
      </c>
      <c r="H187" s="19">
        <f>IF('Boletins Nuppa Site'!K187&lt;&gt;0,'Boletins Nuppa Site'!K187,"NULL")</f>
        <v>80</v>
      </c>
      <c r="J187" s="1" t="str">
        <f t="shared" si="2"/>
        <v>INSERT INTO COTACAO (blt_id, pap_id, cot_prc_comum, cot_prc_min, cot_prc_max, cot_prc_med, cot_prc_mediana) VALUES (5, 31, 80, 65, 80, 75, 80);</v>
      </c>
    </row>
    <row r="188" spans="1:10" x14ac:dyDescent="0.3">
      <c r="A188" s="1">
        <v>187</v>
      </c>
      <c r="B188" s="1">
        <v>5</v>
      </c>
      <c r="C188" s="1">
        <v>32</v>
      </c>
      <c r="D188" s="19">
        <f>IF('Boletins Nuppa Site'!G188&lt;&gt;0,'Boletins Nuppa Site'!G188,"NULL")</f>
        <v>35</v>
      </c>
      <c r="E188" s="19">
        <f>IF('Boletins Nuppa Site'!H188&lt;&gt;0,'Boletins Nuppa Site'!H188,"NULL")</f>
        <v>30</v>
      </c>
      <c r="F188" s="19">
        <f>IF('Boletins Nuppa Site'!I188&lt;&gt;0,'Boletins Nuppa Site'!I188,"NULL")</f>
        <v>45</v>
      </c>
      <c r="G188" s="1" t="str">
        <f>IF('Boletins Nuppa Site'!J188&lt;&gt;0,'Boletins Nuppa Site'!J188,"NULL")</f>
        <v>36.43</v>
      </c>
      <c r="H188" s="19">
        <f>IF('Boletins Nuppa Site'!K188&lt;&gt;0,'Boletins Nuppa Site'!K188,"NULL")</f>
        <v>35</v>
      </c>
      <c r="J188" s="1" t="str">
        <f t="shared" si="2"/>
        <v>INSERT INTO COTACAO (blt_id, pap_id, cot_prc_comum, cot_prc_min, cot_prc_max, cot_prc_med, cot_prc_mediana) VALUES (5, 32, 35, 30, 45, 36.43, 35);</v>
      </c>
    </row>
    <row r="189" spans="1:10" x14ac:dyDescent="0.3">
      <c r="A189" s="1">
        <v>188</v>
      </c>
      <c r="B189" s="1">
        <v>5</v>
      </c>
      <c r="C189" s="1">
        <v>33</v>
      </c>
      <c r="D189" s="19">
        <f>IF('Boletins Nuppa Site'!G189&lt;&gt;0,'Boletins Nuppa Site'!G189,"NULL")</f>
        <v>70</v>
      </c>
      <c r="E189" s="19">
        <f>IF('Boletins Nuppa Site'!H189&lt;&gt;0,'Boletins Nuppa Site'!H189,"NULL")</f>
        <v>70</v>
      </c>
      <c r="F189" s="19">
        <f>IF('Boletins Nuppa Site'!I189&lt;&gt;0,'Boletins Nuppa Site'!I189,"NULL")</f>
        <v>100</v>
      </c>
      <c r="G189" s="1" t="str">
        <f>IF('Boletins Nuppa Site'!J189&lt;&gt;0,'Boletins Nuppa Site'!J189,"NULL")</f>
        <v>78.57</v>
      </c>
      <c r="H189" s="19">
        <f>IF('Boletins Nuppa Site'!K189&lt;&gt;0,'Boletins Nuppa Site'!K189,"NULL")</f>
        <v>70</v>
      </c>
      <c r="J189" s="1" t="str">
        <f t="shared" si="2"/>
        <v>INSERT INTO COTACAO (blt_id, pap_id, cot_prc_comum, cot_prc_min, cot_prc_max, cot_prc_med, cot_prc_mediana) VALUES (5, 33, 70, 70, 100, 78.57, 70);</v>
      </c>
    </row>
    <row r="190" spans="1:10" x14ac:dyDescent="0.3">
      <c r="A190" s="1">
        <v>189</v>
      </c>
      <c r="B190" s="1">
        <v>5</v>
      </c>
      <c r="C190" s="1">
        <v>34</v>
      </c>
      <c r="D190" s="19">
        <f>IF('Boletins Nuppa Site'!G190&lt;&gt;0,'Boletins Nuppa Site'!G190,"NULL")</f>
        <v>100</v>
      </c>
      <c r="E190" s="19">
        <f>IF('Boletins Nuppa Site'!H190&lt;&gt;0,'Boletins Nuppa Site'!H190,"NULL")</f>
        <v>90</v>
      </c>
      <c r="F190" s="19">
        <f>IF('Boletins Nuppa Site'!I190&lt;&gt;0,'Boletins Nuppa Site'!I190,"NULL")</f>
        <v>110</v>
      </c>
      <c r="G190" s="1" t="str">
        <f>IF('Boletins Nuppa Site'!J190&lt;&gt;0,'Boletins Nuppa Site'!J190,"NULL")</f>
        <v>102.86</v>
      </c>
      <c r="H190" s="19">
        <f>IF('Boletins Nuppa Site'!K190&lt;&gt;0,'Boletins Nuppa Site'!K190,"NULL")</f>
        <v>100</v>
      </c>
      <c r="J190" s="1" t="str">
        <f t="shared" si="2"/>
        <v>INSERT INTO COTACAO (blt_id, pap_id, cot_prc_comum, cot_prc_min, cot_prc_max, cot_prc_med, cot_prc_mediana) VALUES (5, 34, 100, 90, 110, 102.86, 100);</v>
      </c>
    </row>
    <row r="191" spans="1:10" x14ac:dyDescent="0.3">
      <c r="A191" s="1">
        <v>190</v>
      </c>
      <c r="B191" s="1">
        <v>5</v>
      </c>
      <c r="C191" s="1">
        <v>35</v>
      </c>
      <c r="D191" s="19">
        <f>IF('Boletins Nuppa Site'!G191&lt;&gt;0,'Boletins Nuppa Site'!G191,"NULL")</f>
        <v>35</v>
      </c>
      <c r="E191" s="19">
        <f>IF('Boletins Nuppa Site'!H191&lt;&gt;0,'Boletins Nuppa Site'!H191,"NULL")</f>
        <v>35</v>
      </c>
      <c r="F191" s="19">
        <f>IF('Boletins Nuppa Site'!I191&lt;&gt;0,'Boletins Nuppa Site'!I191,"NULL")</f>
        <v>65</v>
      </c>
      <c r="G191" s="1" t="str">
        <f>IF('Boletins Nuppa Site'!J191&lt;&gt;0,'Boletins Nuppa Site'!J191,"NULL")</f>
        <v>50.71</v>
      </c>
      <c r="H191" s="19">
        <f>IF('Boletins Nuppa Site'!K191&lt;&gt;0,'Boletins Nuppa Site'!K191,"NULL")</f>
        <v>50</v>
      </c>
      <c r="J191" s="1" t="str">
        <f t="shared" si="2"/>
        <v>INSERT INTO COTACAO (blt_id, pap_id, cot_prc_comum, cot_prc_min, cot_prc_max, cot_prc_med, cot_prc_mediana) VALUES (5, 35, 35, 35, 65, 50.71, 50);</v>
      </c>
    </row>
    <row r="192" spans="1:10" x14ac:dyDescent="0.3">
      <c r="A192" s="1">
        <v>191</v>
      </c>
      <c r="B192" s="1">
        <v>5</v>
      </c>
      <c r="C192" s="1">
        <v>36</v>
      </c>
      <c r="D192" s="1" t="str">
        <f>IF('Boletins Nuppa Site'!G192&lt;&gt;0,'Boletins Nuppa Site'!G192,"NULL")</f>
        <v>NULL</v>
      </c>
      <c r="E192" s="1" t="str">
        <f>IF('Boletins Nuppa Site'!H192&lt;&gt;0,'Boletins Nuppa Site'!H192,"NULL")</f>
        <v>NULL</v>
      </c>
      <c r="F192" s="1" t="str">
        <f>IF('Boletins Nuppa Site'!I192&lt;&gt;0,'Boletins Nuppa Site'!I192,"NULL")</f>
        <v>NULL</v>
      </c>
      <c r="G192" s="1" t="str">
        <f>IF('Boletins Nuppa Site'!J192&lt;&gt;0,'Boletins Nuppa Site'!J192,"NULL")</f>
        <v>NULL</v>
      </c>
      <c r="H192" s="1" t="str">
        <f>IF('Boletins Nuppa Site'!K192&lt;&gt;0,'Boletins Nuppa Site'!K192,"NULL")</f>
        <v>NULL</v>
      </c>
      <c r="J192" s="1" t="str">
        <f t="shared" si="2"/>
        <v>INSERT INTO COTACAO (blt_id, pap_id, cot_prc_comum, cot_prc_min, cot_prc_max, cot_prc_med, cot_prc_mediana) VALUES (5, 36, NULL, NULL, NULL, NULL, NULL);</v>
      </c>
    </row>
    <row r="193" spans="1:10" x14ac:dyDescent="0.3">
      <c r="A193" s="1">
        <v>192</v>
      </c>
      <c r="B193" s="1">
        <v>5</v>
      </c>
      <c r="C193" s="1">
        <v>37</v>
      </c>
      <c r="D193" s="1" t="str">
        <f>IF('Boletins Nuppa Site'!G193&lt;&gt;0,'Boletins Nuppa Site'!G193,"NULL")</f>
        <v>NULL</v>
      </c>
      <c r="E193" s="1" t="str">
        <f>IF('Boletins Nuppa Site'!H193&lt;&gt;0,'Boletins Nuppa Site'!H193,"NULL")</f>
        <v>NULL</v>
      </c>
      <c r="F193" s="1" t="str">
        <f>IF('Boletins Nuppa Site'!I193&lt;&gt;0,'Boletins Nuppa Site'!I193,"NULL")</f>
        <v>NULL</v>
      </c>
      <c r="G193" s="1" t="str">
        <f>IF('Boletins Nuppa Site'!J193&lt;&gt;0,'Boletins Nuppa Site'!J193,"NULL")</f>
        <v>NULL</v>
      </c>
      <c r="H193" s="1" t="str">
        <f>IF('Boletins Nuppa Site'!K193&lt;&gt;0,'Boletins Nuppa Site'!K193,"NULL")</f>
        <v>NULL</v>
      </c>
      <c r="J193" s="1" t="str">
        <f t="shared" si="2"/>
        <v>INSERT INTO COTACAO (blt_id, pap_id, cot_prc_comum, cot_prc_min, cot_prc_max, cot_prc_med, cot_prc_mediana) VALUES (5, 37, NULL, NULL, NULL, NULL, NULL);</v>
      </c>
    </row>
    <row r="194" spans="1:10" x14ac:dyDescent="0.3">
      <c r="A194" s="1">
        <v>193</v>
      </c>
      <c r="B194" s="1">
        <v>5</v>
      </c>
      <c r="C194" s="1">
        <v>38</v>
      </c>
      <c r="D194" s="1" t="str">
        <f>IF('Boletins Nuppa Site'!G194&lt;&gt;0,'Boletins Nuppa Site'!G194,"NULL")</f>
        <v>NULL</v>
      </c>
      <c r="E194" s="1" t="str">
        <f>IF('Boletins Nuppa Site'!H194&lt;&gt;0,'Boletins Nuppa Site'!H194,"NULL")</f>
        <v>NULL</v>
      </c>
      <c r="F194" s="1" t="str">
        <f>IF('Boletins Nuppa Site'!I194&lt;&gt;0,'Boletins Nuppa Site'!I194,"NULL")</f>
        <v>NULL</v>
      </c>
      <c r="G194" s="1" t="str">
        <f>IF('Boletins Nuppa Site'!J194&lt;&gt;0,'Boletins Nuppa Site'!J194,"NULL")</f>
        <v>NULL</v>
      </c>
      <c r="H194" s="1" t="str">
        <f>IF('Boletins Nuppa Site'!K194&lt;&gt;0,'Boletins Nuppa Site'!K194,"NULL")</f>
        <v>NULL</v>
      </c>
      <c r="J194" s="1" t="str">
        <f t="shared" ref="J194:J257" si="3">"INSERT INTO COTACAO (blt_id, pap_id, cot_prc_comum, cot_prc_min, cot_prc_max, cot_prc_med, cot_prc_mediana) VALUES ("&amp;B194&amp;", "&amp;C194&amp;", "&amp;D194&amp;", "&amp;E194&amp;", "&amp;F194&amp;", "&amp;G194&amp;", "&amp;H194&amp;");"</f>
        <v>INSERT INTO COTACAO (blt_id, pap_id, cot_prc_comum, cot_prc_min, cot_prc_max, cot_prc_med, cot_prc_mediana) VALUES (5, 38, NULL, NULL, NULL, NULL, NULL);</v>
      </c>
    </row>
    <row r="195" spans="1:10" x14ac:dyDescent="0.3">
      <c r="A195" s="1">
        <v>194</v>
      </c>
      <c r="B195" s="1">
        <v>5</v>
      </c>
      <c r="C195" s="1">
        <v>39</v>
      </c>
      <c r="D195" s="1" t="str">
        <f>IF('Boletins Nuppa Site'!G195&lt;&gt;0,'Boletins Nuppa Site'!G195,"NULL")</f>
        <v>NULL</v>
      </c>
      <c r="E195" s="1" t="str">
        <f>IF('Boletins Nuppa Site'!H195&lt;&gt;0,'Boletins Nuppa Site'!H195,"NULL")</f>
        <v>NULL</v>
      </c>
      <c r="F195" s="1" t="str">
        <f>IF('Boletins Nuppa Site'!I195&lt;&gt;0,'Boletins Nuppa Site'!I195,"NULL")</f>
        <v>NULL</v>
      </c>
      <c r="G195" s="1" t="str">
        <f>IF('Boletins Nuppa Site'!J195&lt;&gt;0,'Boletins Nuppa Site'!J195,"NULL")</f>
        <v>NULL</v>
      </c>
      <c r="H195" s="1" t="str">
        <f>IF('Boletins Nuppa Site'!K195&lt;&gt;0,'Boletins Nuppa Site'!K195,"NULL")</f>
        <v>NULL</v>
      </c>
      <c r="J195" s="1" t="str">
        <f t="shared" si="3"/>
        <v>INSERT INTO COTACAO (blt_id, pap_id, cot_prc_comum, cot_prc_min, cot_prc_max, cot_prc_med, cot_prc_mediana) VALUES (5, 39, NULL, NULL, NULL, NULL, NULL);</v>
      </c>
    </row>
    <row r="196" spans="1:10" x14ac:dyDescent="0.3">
      <c r="A196" s="1">
        <v>195</v>
      </c>
      <c r="B196" s="1">
        <v>5</v>
      </c>
      <c r="C196" s="1">
        <v>40</v>
      </c>
      <c r="D196" s="1" t="str">
        <f>IF('Boletins Nuppa Site'!G196&lt;&gt;0,'Boletins Nuppa Site'!G196,"NULL")</f>
        <v>NULL</v>
      </c>
      <c r="E196" s="1" t="str">
        <f>IF('Boletins Nuppa Site'!H196&lt;&gt;0,'Boletins Nuppa Site'!H196,"NULL")</f>
        <v>NULL</v>
      </c>
      <c r="F196" s="1" t="str">
        <f>IF('Boletins Nuppa Site'!I196&lt;&gt;0,'Boletins Nuppa Site'!I196,"NULL")</f>
        <v>NULL</v>
      </c>
      <c r="G196" s="1" t="str">
        <f>IF('Boletins Nuppa Site'!J196&lt;&gt;0,'Boletins Nuppa Site'!J196,"NULL")</f>
        <v>NULL</v>
      </c>
      <c r="H196" s="1" t="str">
        <f>IF('Boletins Nuppa Site'!K196&lt;&gt;0,'Boletins Nuppa Site'!K196,"NULL")</f>
        <v>NULL</v>
      </c>
      <c r="J196" s="1" t="str">
        <f t="shared" si="3"/>
        <v>INSERT INTO COTACAO (blt_id, pap_id, cot_prc_comum, cot_prc_min, cot_prc_max, cot_prc_med, cot_prc_mediana) VALUES (5, 40, NULL, NULL, NULL, NULL, NULL);</v>
      </c>
    </row>
    <row r="197" spans="1:10" x14ac:dyDescent="0.3">
      <c r="A197" s="1">
        <v>196</v>
      </c>
      <c r="B197" s="1">
        <v>6</v>
      </c>
      <c r="C197" s="1">
        <v>1</v>
      </c>
      <c r="D197" s="1" t="str">
        <f>IF('Boletins Nuppa Site'!G197&lt;&gt;0,'Boletins Nuppa Site'!G197,"NULL")</f>
        <v>NULL</v>
      </c>
      <c r="E197" s="19">
        <f>IF('Boletins Nuppa Site'!H197&lt;&gt;0,'Boletins Nuppa Site'!H197,"NULL")</f>
        <v>42</v>
      </c>
      <c r="F197" s="19">
        <f>IF('Boletins Nuppa Site'!I197&lt;&gt;0,'Boletins Nuppa Site'!I197,"NULL")</f>
        <v>48</v>
      </c>
      <c r="G197" s="19">
        <f>IF('Boletins Nuppa Site'!J197&lt;&gt;0,'Boletins Nuppa Site'!J197,"NULL")</f>
        <v>45</v>
      </c>
      <c r="H197" s="19">
        <f>IF('Boletins Nuppa Site'!K197&lt;&gt;0,'Boletins Nuppa Site'!K197,"NULL")</f>
        <v>45</v>
      </c>
      <c r="J197" s="1" t="str">
        <f t="shared" si="3"/>
        <v>INSERT INTO COTACAO (blt_id, pap_id, cot_prc_comum, cot_prc_min, cot_prc_max, cot_prc_med, cot_prc_mediana) VALUES (6, 1, NULL, 42, 48, 45, 45);</v>
      </c>
    </row>
    <row r="198" spans="1:10" x14ac:dyDescent="0.3">
      <c r="A198" s="1">
        <v>197</v>
      </c>
      <c r="B198" s="1">
        <v>6</v>
      </c>
      <c r="C198" s="1">
        <v>2</v>
      </c>
      <c r="D198" s="19">
        <f>IF('Boletins Nuppa Site'!G198&lt;&gt;0,'Boletins Nuppa Site'!G198,"NULL")</f>
        <v>60</v>
      </c>
      <c r="E198" s="19">
        <f>IF('Boletins Nuppa Site'!H198&lt;&gt;0,'Boletins Nuppa Site'!H198,"NULL")</f>
        <v>60</v>
      </c>
      <c r="F198" s="19">
        <f>IF('Boletins Nuppa Site'!I198&lt;&gt;0,'Boletins Nuppa Site'!I198,"NULL")</f>
        <v>60</v>
      </c>
      <c r="G198" s="19">
        <f>IF('Boletins Nuppa Site'!J198&lt;&gt;0,'Boletins Nuppa Site'!J198,"NULL")</f>
        <v>60</v>
      </c>
      <c r="H198" s="19">
        <f>IF('Boletins Nuppa Site'!K198&lt;&gt;0,'Boletins Nuppa Site'!K198,"NULL")</f>
        <v>60</v>
      </c>
      <c r="J198" s="1" t="str">
        <f t="shared" si="3"/>
        <v>INSERT INTO COTACAO (blt_id, pap_id, cot_prc_comum, cot_prc_min, cot_prc_max, cot_prc_med, cot_prc_mediana) VALUES (6, 2, 60, 60, 60, 60, 60);</v>
      </c>
    </row>
    <row r="199" spans="1:10" x14ac:dyDescent="0.3">
      <c r="A199" s="1">
        <v>198</v>
      </c>
      <c r="B199" s="1">
        <v>6</v>
      </c>
      <c r="C199" s="1">
        <v>3</v>
      </c>
      <c r="D199" s="1" t="str">
        <f>IF('Boletins Nuppa Site'!G199&lt;&gt;0,'Boletins Nuppa Site'!G199,"NULL")</f>
        <v>NULL</v>
      </c>
      <c r="E199" s="19">
        <f>IF('Boletins Nuppa Site'!H199&lt;&gt;0,'Boletins Nuppa Site'!H199,"NULL")</f>
        <v>24</v>
      </c>
      <c r="F199" s="19">
        <f>IF('Boletins Nuppa Site'!I199&lt;&gt;0,'Boletins Nuppa Site'!I199,"NULL")</f>
        <v>36</v>
      </c>
      <c r="G199" s="19">
        <f>IF('Boletins Nuppa Site'!J199&lt;&gt;0,'Boletins Nuppa Site'!J199,"NULL")</f>
        <v>30</v>
      </c>
      <c r="H199" s="19">
        <f>IF('Boletins Nuppa Site'!K199&lt;&gt;0,'Boletins Nuppa Site'!K199,"NULL")</f>
        <v>30</v>
      </c>
      <c r="J199" s="1" t="str">
        <f t="shared" si="3"/>
        <v>INSERT INTO COTACAO (blt_id, pap_id, cot_prc_comum, cot_prc_min, cot_prc_max, cot_prc_med, cot_prc_mediana) VALUES (6, 3, NULL, 24, 36, 30, 30);</v>
      </c>
    </row>
    <row r="200" spans="1:10" x14ac:dyDescent="0.3">
      <c r="A200" s="1">
        <v>199</v>
      </c>
      <c r="B200" s="1">
        <v>6</v>
      </c>
      <c r="C200" s="1">
        <v>4</v>
      </c>
      <c r="D200" s="19">
        <f>IF('Boletins Nuppa Site'!G200&lt;&gt;0,'Boletins Nuppa Site'!G200,"NULL")</f>
        <v>18</v>
      </c>
      <c r="E200" s="19">
        <f>IF('Boletins Nuppa Site'!H200&lt;&gt;0,'Boletins Nuppa Site'!H200,"NULL")</f>
        <v>18</v>
      </c>
      <c r="F200" s="19">
        <f>IF('Boletins Nuppa Site'!I200&lt;&gt;0,'Boletins Nuppa Site'!I200,"NULL")</f>
        <v>26</v>
      </c>
      <c r="G200" s="1" t="str">
        <f>IF('Boletins Nuppa Site'!J200&lt;&gt;0,'Boletins Nuppa Site'!J200,"NULL")</f>
        <v>21.6</v>
      </c>
      <c r="H200" s="19">
        <f>IF('Boletins Nuppa Site'!K200&lt;&gt;0,'Boletins Nuppa Site'!K200,"NULL")</f>
        <v>22</v>
      </c>
      <c r="J200" s="1" t="str">
        <f t="shared" si="3"/>
        <v>INSERT INTO COTACAO (blt_id, pap_id, cot_prc_comum, cot_prc_min, cot_prc_max, cot_prc_med, cot_prc_mediana) VALUES (6, 4, 18, 18, 26, 21.6, 22);</v>
      </c>
    </row>
    <row r="201" spans="1:10" x14ac:dyDescent="0.3">
      <c r="A201" s="1">
        <v>200</v>
      </c>
      <c r="B201" s="1">
        <v>6</v>
      </c>
      <c r="C201" s="1">
        <v>5</v>
      </c>
      <c r="D201" s="1" t="str">
        <f>IF('Boletins Nuppa Site'!G201&lt;&gt;0,'Boletins Nuppa Site'!G201,"NULL")</f>
        <v>NULL</v>
      </c>
      <c r="E201" s="19">
        <f>IF('Boletins Nuppa Site'!H201&lt;&gt;0,'Boletins Nuppa Site'!H201,"NULL")</f>
        <v>18</v>
      </c>
      <c r="F201" s="19">
        <f>IF('Boletins Nuppa Site'!I201&lt;&gt;0,'Boletins Nuppa Site'!I201,"NULL")</f>
        <v>35</v>
      </c>
      <c r="G201" s="1" t="str">
        <f>IF('Boletins Nuppa Site'!J201&lt;&gt;0,'Boletins Nuppa Site'!J201,"NULL")</f>
        <v>24.75</v>
      </c>
      <c r="H201" s="19">
        <f>IF('Boletins Nuppa Site'!K201&lt;&gt;0,'Boletins Nuppa Site'!K201,"NULL")</f>
        <v>23</v>
      </c>
      <c r="J201" s="1" t="str">
        <f t="shared" si="3"/>
        <v>INSERT INTO COTACAO (blt_id, pap_id, cot_prc_comum, cot_prc_min, cot_prc_max, cot_prc_med, cot_prc_mediana) VALUES (6, 5, NULL, 18, 35, 24.75, 23);</v>
      </c>
    </row>
    <row r="202" spans="1:10" x14ac:dyDescent="0.3">
      <c r="A202" s="1">
        <v>201</v>
      </c>
      <c r="B202" s="1">
        <v>6</v>
      </c>
      <c r="C202" s="1">
        <v>6</v>
      </c>
      <c r="D202" s="1" t="str">
        <f>IF('Boletins Nuppa Site'!G202&lt;&gt;0,'Boletins Nuppa Site'!G202,"NULL")</f>
        <v>NULL</v>
      </c>
      <c r="E202" s="19">
        <f>IF('Boletins Nuppa Site'!H202&lt;&gt;0,'Boletins Nuppa Site'!H202,"NULL")</f>
        <v>48</v>
      </c>
      <c r="F202" s="19">
        <f>IF('Boletins Nuppa Site'!I202&lt;&gt;0,'Boletins Nuppa Site'!I202,"NULL")</f>
        <v>48</v>
      </c>
      <c r="G202" s="19">
        <f>IF('Boletins Nuppa Site'!J202&lt;&gt;0,'Boletins Nuppa Site'!J202,"NULL")</f>
        <v>48</v>
      </c>
      <c r="H202" s="19">
        <f>IF('Boletins Nuppa Site'!K202&lt;&gt;0,'Boletins Nuppa Site'!K202,"NULL")</f>
        <v>48</v>
      </c>
      <c r="J202" s="1" t="str">
        <f t="shared" si="3"/>
        <v>INSERT INTO COTACAO (blt_id, pap_id, cot_prc_comum, cot_prc_min, cot_prc_max, cot_prc_med, cot_prc_mediana) VALUES (6, 6, NULL, 48, 48, 48, 48);</v>
      </c>
    </row>
    <row r="203" spans="1:10" x14ac:dyDescent="0.3">
      <c r="A203" s="1">
        <v>202</v>
      </c>
      <c r="B203" s="1">
        <v>6</v>
      </c>
      <c r="C203" s="1">
        <v>7</v>
      </c>
      <c r="D203" s="19">
        <f>IF('Boletins Nuppa Site'!G203&lt;&gt;0,'Boletins Nuppa Site'!G203,"NULL")</f>
        <v>72</v>
      </c>
      <c r="E203" s="19">
        <f>IF('Boletins Nuppa Site'!H203&lt;&gt;0,'Boletins Nuppa Site'!H203,"NULL")</f>
        <v>48</v>
      </c>
      <c r="F203" s="19">
        <f>IF('Boletins Nuppa Site'!I203&lt;&gt;0,'Boletins Nuppa Site'!I203,"NULL")</f>
        <v>72</v>
      </c>
      <c r="G203" s="19">
        <f>IF('Boletins Nuppa Site'!J203&lt;&gt;0,'Boletins Nuppa Site'!J203,"NULL")</f>
        <v>64</v>
      </c>
      <c r="H203" s="19">
        <f>IF('Boletins Nuppa Site'!K203&lt;&gt;0,'Boletins Nuppa Site'!K203,"NULL")</f>
        <v>72</v>
      </c>
      <c r="J203" s="1" t="str">
        <f t="shared" si="3"/>
        <v>INSERT INTO COTACAO (blt_id, pap_id, cot_prc_comum, cot_prc_min, cot_prc_max, cot_prc_med, cot_prc_mediana) VALUES (6, 7, 72, 48, 72, 64, 72);</v>
      </c>
    </row>
    <row r="204" spans="1:10" x14ac:dyDescent="0.3">
      <c r="A204" s="1">
        <v>203</v>
      </c>
      <c r="B204" s="1">
        <v>6</v>
      </c>
      <c r="C204" s="1">
        <v>8</v>
      </c>
      <c r="D204" s="19">
        <f>IF('Boletins Nuppa Site'!G204&lt;&gt;0,'Boletins Nuppa Site'!G204,"NULL")</f>
        <v>72</v>
      </c>
      <c r="E204" s="19">
        <f>IF('Boletins Nuppa Site'!H204&lt;&gt;0,'Boletins Nuppa Site'!H204,"NULL")</f>
        <v>72</v>
      </c>
      <c r="F204" s="19">
        <f>IF('Boletins Nuppa Site'!I204&lt;&gt;0,'Boletins Nuppa Site'!I204,"NULL")</f>
        <v>72</v>
      </c>
      <c r="G204" s="19">
        <f>IF('Boletins Nuppa Site'!J204&lt;&gt;0,'Boletins Nuppa Site'!J204,"NULL")</f>
        <v>72</v>
      </c>
      <c r="H204" s="19">
        <f>IF('Boletins Nuppa Site'!K204&lt;&gt;0,'Boletins Nuppa Site'!K204,"NULL")</f>
        <v>72</v>
      </c>
      <c r="J204" s="1" t="str">
        <f t="shared" si="3"/>
        <v>INSERT INTO COTACAO (blt_id, pap_id, cot_prc_comum, cot_prc_min, cot_prc_max, cot_prc_med, cot_prc_mediana) VALUES (6, 8, 72, 72, 72, 72, 72);</v>
      </c>
    </row>
    <row r="205" spans="1:10" x14ac:dyDescent="0.3">
      <c r="A205" s="1">
        <v>204</v>
      </c>
      <c r="B205" s="1">
        <v>6</v>
      </c>
      <c r="C205" s="1">
        <v>9</v>
      </c>
      <c r="D205" s="19">
        <f>IF('Boletins Nuppa Site'!G205&lt;&gt;0,'Boletins Nuppa Site'!G205,"NULL")</f>
        <v>24</v>
      </c>
      <c r="E205" s="19">
        <f>IF('Boletins Nuppa Site'!H205&lt;&gt;0,'Boletins Nuppa Site'!H205,"NULL")</f>
        <v>15</v>
      </c>
      <c r="F205" s="19">
        <f>IF('Boletins Nuppa Site'!I205&lt;&gt;0,'Boletins Nuppa Site'!I205,"NULL")</f>
        <v>24</v>
      </c>
      <c r="G205" s="1" t="str">
        <f>IF('Boletins Nuppa Site'!J205&lt;&gt;0,'Boletins Nuppa Site'!J205,"NULL")</f>
        <v>20.25</v>
      </c>
      <c r="H205" s="19">
        <f>IF('Boletins Nuppa Site'!K205&lt;&gt;0,'Boletins Nuppa Site'!K205,"NULL")</f>
        <v>21</v>
      </c>
      <c r="J205" s="1" t="str">
        <f t="shared" si="3"/>
        <v>INSERT INTO COTACAO (blt_id, pap_id, cot_prc_comum, cot_prc_min, cot_prc_max, cot_prc_med, cot_prc_mediana) VALUES (6, 9, 24, 15, 24, 20.25, 21);</v>
      </c>
    </row>
    <row r="206" spans="1:10" x14ac:dyDescent="0.3">
      <c r="A206" s="1">
        <v>205</v>
      </c>
      <c r="B206" s="1">
        <v>6</v>
      </c>
      <c r="C206" s="1">
        <v>10</v>
      </c>
      <c r="D206" s="1" t="str">
        <f>IF('Boletins Nuppa Site'!G206&lt;&gt;0,'Boletins Nuppa Site'!G206,"NULL")</f>
        <v>NULL</v>
      </c>
      <c r="E206" s="19">
        <f>IF('Boletins Nuppa Site'!H206&lt;&gt;0,'Boletins Nuppa Site'!H206,"NULL")</f>
        <v>60</v>
      </c>
      <c r="F206" s="19">
        <f>IF('Boletins Nuppa Site'!I206&lt;&gt;0,'Boletins Nuppa Site'!I206,"NULL")</f>
        <v>78</v>
      </c>
      <c r="G206" s="1" t="str">
        <f>IF('Boletins Nuppa Site'!J206&lt;&gt;0,'Boletins Nuppa Site'!J206,"NULL")</f>
        <v>69.33</v>
      </c>
      <c r="H206" s="19">
        <f>IF('Boletins Nuppa Site'!K206&lt;&gt;0,'Boletins Nuppa Site'!K206,"NULL")</f>
        <v>70</v>
      </c>
      <c r="J206" s="1" t="str">
        <f t="shared" si="3"/>
        <v>INSERT INTO COTACAO (blt_id, pap_id, cot_prc_comum, cot_prc_min, cot_prc_max, cot_prc_med, cot_prc_mediana) VALUES (6, 10, NULL, 60, 78, 69.33, 70);</v>
      </c>
    </row>
    <row r="207" spans="1:10" x14ac:dyDescent="0.3">
      <c r="A207" s="1">
        <v>206</v>
      </c>
      <c r="B207" s="1">
        <v>6</v>
      </c>
      <c r="C207" s="1">
        <v>11</v>
      </c>
      <c r="D207" s="19">
        <f>IF('Boletins Nuppa Site'!G207&lt;&gt;0,'Boletins Nuppa Site'!G207,"NULL")</f>
        <v>18</v>
      </c>
      <c r="E207" s="19">
        <f>IF('Boletins Nuppa Site'!H207&lt;&gt;0,'Boletins Nuppa Site'!H207,"NULL")</f>
        <v>18</v>
      </c>
      <c r="F207" s="19">
        <f>IF('Boletins Nuppa Site'!I207&lt;&gt;0,'Boletins Nuppa Site'!I207,"NULL")</f>
        <v>24</v>
      </c>
      <c r="G207" s="1" t="str">
        <f>IF('Boletins Nuppa Site'!J207&lt;&gt;0,'Boletins Nuppa Site'!J207,"NULL")</f>
        <v>20.5</v>
      </c>
      <c r="H207" s="19">
        <f>IF('Boletins Nuppa Site'!K207&lt;&gt;0,'Boletins Nuppa Site'!K207,"NULL")</f>
        <v>20</v>
      </c>
      <c r="J207" s="1" t="str">
        <f t="shared" si="3"/>
        <v>INSERT INTO COTACAO (blt_id, pap_id, cot_prc_comum, cot_prc_min, cot_prc_max, cot_prc_med, cot_prc_mediana) VALUES (6, 11, 18, 18, 24, 20.5, 20);</v>
      </c>
    </row>
    <row r="208" spans="1:10" x14ac:dyDescent="0.3">
      <c r="A208" s="1">
        <v>207</v>
      </c>
      <c r="B208" s="1">
        <v>6</v>
      </c>
      <c r="C208" s="1">
        <v>12</v>
      </c>
      <c r="D208" s="1" t="str">
        <f>IF('Boletins Nuppa Site'!G208&lt;&gt;0,'Boletins Nuppa Site'!G208,"NULL")</f>
        <v>NULL</v>
      </c>
      <c r="E208" s="19">
        <f>IF('Boletins Nuppa Site'!H208&lt;&gt;0,'Boletins Nuppa Site'!H208,"NULL")</f>
        <v>54</v>
      </c>
      <c r="F208" s="19">
        <f>IF('Boletins Nuppa Site'!I208&lt;&gt;0,'Boletins Nuppa Site'!I208,"NULL")</f>
        <v>60</v>
      </c>
      <c r="G208" s="19">
        <f>IF('Boletins Nuppa Site'!J208&lt;&gt;0,'Boletins Nuppa Site'!J208,"NULL")</f>
        <v>57</v>
      </c>
      <c r="H208" s="19">
        <f>IF('Boletins Nuppa Site'!K208&lt;&gt;0,'Boletins Nuppa Site'!K208,"NULL")</f>
        <v>57</v>
      </c>
      <c r="J208" s="1" t="str">
        <f t="shared" si="3"/>
        <v>INSERT INTO COTACAO (blt_id, pap_id, cot_prc_comum, cot_prc_min, cot_prc_max, cot_prc_med, cot_prc_mediana) VALUES (6, 12, NULL, 54, 60, 57, 57);</v>
      </c>
    </row>
    <row r="209" spans="1:10" x14ac:dyDescent="0.3">
      <c r="A209" s="1">
        <v>208</v>
      </c>
      <c r="B209" s="1">
        <v>6</v>
      </c>
      <c r="C209" s="1">
        <v>13</v>
      </c>
      <c r="D209" s="1" t="str">
        <f>IF('Boletins Nuppa Site'!G209&lt;&gt;0,'Boletins Nuppa Site'!G209,"NULL")</f>
        <v>NULL</v>
      </c>
      <c r="E209" s="19">
        <f>IF('Boletins Nuppa Site'!H209&lt;&gt;0,'Boletins Nuppa Site'!H209,"NULL")</f>
        <v>60</v>
      </c>
      <c r="F209" s="19">
        <f>IF('Boletins Nuppa Site'!I209&lt;&gt;0,'Boletins Nuppa Site'!I209,"NULL")</f>
        <v>60</v>
      </c>
      <c r="G209" s="19">
        <f>IF('Boletins Nuppa Site'!J209&lt;&gt;0,'Boletins Nuppa Site'!J209,"NULL")</f>
        <v>60</v>
      </c>
      <c r="H209" s="19">
        <f>IF('Boletins Nuppa Site'!K209&lt;&gt;0,'Boletins Nuppa Site'!K209,"NULL")</f>
        <v>60</v>
      </c>
      <c r="J209" s="1" t="str">
        <f t="shared" si="3"/>
        <v>INSERT INTO COTACAO (blt_id, pap_id, cot_prc_comum, cot_prc_min, cot_prc_max, cot_prc_med, cot_prc_mediana) VALUES (6, 13, NULL, 60, 60, 60, 60);</v>
      </c>
    </row>
    <row r="210" spans="1:10" x14ac:dyDescent="0.3">
      <c r="A210" s="1">
        <v>209</v>
      </c>
      <c r="B210" s="1">
        <v>6</v>
      </c>
      <c r="C210" s="1">
        <v>14</v>
      </c>
      <c r="D210" s="1" t="str">
        <f>IF('Boletins Nuppa Site'!G210&lt;&gt;0,'Boletins Nuppa Site'!G210,"NULL")</f>
        <v>NULL</v>
      </c>
      <c r="E210" s="19">
        <f>IF('Boletins Nuppa Site'!H210&lt;&gt;0,'Boletins Nuppa Site'!H210,"NULL")</f>
        <v>48</v>
      </c>
      <c r="F210" s="19">
        <f>IF('Boletins Nuppa Site'!I210&lt;&gt;0,'Boletins Nuppa Site'!I210,"NULL")</f>
        <v>60</v>
      </c>
      <c r="G210" s="19">
        <f>IF('Boletins Nuppa Site'!J210&lt;&gt;0,'Boletins Nuppa Site'!J210,"NULL")</f>
        <v>54</v>
      </c>
      <c r="H210" s="19">
        <f>IF('Boletins Nuppa Site'!K210&lt;&gt;0,'Boletins Nuppa Site'!K210,"NULL")</f>
        <v>54</v>
      </c>
      <c r="J210" s="1" t="str">
        <f t="shared" si="3"/>
        <v>INSERT INTO COTACAO (blt_id, pap_id, cot_prc_comum, cot_prc_min, cot_prc_max, cot_prc_med, cot_prc_mediana) VALUES (6, 14, NULL, 48, 60, 54, 54);</v>
      </c>
    </row>
    <row r="211" spans="1:10" x14ac:dyDescent="0.3">
      <c r="A211" s="1">
        <v>210</v>
      </c>
      <c r="B211" s="1">
        <v>6</v>
      </c>
      <c r="C211" s="1">
        <v>15</v>
      </c>
      <c r="D211" s="19">
        <f>IF('Boletins Nuppa Site'!G211&lt;&gt;0,'Boletins Nuppa Site'!G211,"NULL")</f>
        <v>36</v>
      </c>
      <c r="E211" s="19">
        <f>IF('Boletins Nuppa Site'!H211&lt;&gt;0,'Boletins Nuppa Site'!H211,"NULL")</f>
        <v>35</v>
      </c>
      <c r="F211" s="19">
        <f>IF('Boletins Nuppa Site'!I211&lt;&gt;0,'Boletins Nuppa Site'!I211,"NULL")</f>
        <v>40</v>
      </c>
      <c r="G211" s="1" t="str">
        <f>IF('Boletins Nuppa Site'!J211&lt;&gt;0,'Boletins Nuppa Site'!J211,"NULL")</f>
        <v>36.75</v>
      </c>
      <c r="H211" s="19">
        <f>IF('Boletins Nuppa Site'!K211&lt;&gt;0,'Boletins Nuppa Site'!K211,"NULL")</f>
        <v>36</v>
      </c>
      <c r="J211" s="1" t="str">
        <f t="shared" si="3"/>
        <v>INSERT INTO COTACAO (blt_id, pap_id, cot_prc_comum, cot_prc_min, cot_prc_max, cot_prc_med, cot_prc_mediana) VALUES (6, 15, 36, 35, 40, 36.75, 36);</v>
      </c>
    </row>
    <row r="212" spans="1:10" x14ac:dyDescent="0.3">
      <c r="A212" s="1">
        <v>211</v>
      </c>
      <c r="B212" s="1">
        <v>6</v>
      </c>
      <c r="C212" s="1">
        <v>16</v>
      </c>
      <c r="D212" s="19">
        <f>IF('Boletins Nuppa Site'!G212&lt;&gt;0,'Boletins Nuppa Site'!G212,"NULL")</f>
        <v>42</v>
      </c>
      <c r="E212" s="19">
        <f>IF('Boletins Nuppa Site'!H212&lt;&gt;0,'Boletins Nuppa Site'!H212,"NULL")</f>
        <v>42</v>
      </c>
      <c r="F212" s="19">
        <f>IF('Boletins Nuppa Site'!I212&lt;&gt;0,'Boletins Nuppa Site'!I212,"NULL")</f>
        <v>42</v>
      </c>
      <c r="G212" s="19">
        <f>IF('Boletins Nuppa Site'!J212&lt;&gt;0,'Boletins Nuppa Site'!J212,"NULL")</f>
        <v>42</v>
      </c>
      <c r="H212" s="19">
        <f>IF('Boletins Nuppa Site'!K212&lt;&gt;0,'Boletins Nuppa Site'!K212,"NULL")</f>
        <v>42</v>
      </c>
      <c r="J212" s="1" t="str">
        <f t="shared" si="3"/>
        <v>INSERT INTO COTACAO (blt_id, pap_id, cot_prc_comum, cot_prc_min, cot_prc_max, cot_prc_med, cot_prc_mediana) VALUES (6, 16, 42, 42, 42, 42, 42);</v>
      </c>
    </row>
    <row r="213" spans="1:10" x14ac:dyDescent="0.3">
      <c r="A213" s="1">
        <v>212</v>
      </c>
      <c r="B213" s="1">
        <v>6</v>
      </c>
      <c r="C213" s="1">
        <v>17</v>
      </c>
      <c r="D213" s="19">
        <f>IF('Boletins Nuppa Site'!G213&lt;&gt;0,'Boletins Nuppa Site'!G213,"NULL")</f>
        <v>4</v>
      </c>
      <c r="E213" s="19">
        <f>IF('Boletins Nuppa Site'!H213&lt;&gt;0,'Boletins Nuppa Site'!H213,"NULL")</f>
        <v>4</v>
      </c>
      <c r="F213" s="19">
        <f>IF('Boletins Nuppa Site'!I213&lt;&gt;0,'Boletins Nuppa Site'!I213,"NULL")</f>
        <v>5</v>
      </c>
      <c r="G213" s="1" t="str">
        <f>IF('Boletins Nuppa Site'!J213&lt;&gt;0,'Boletins Nuppa Site'!J213,"NULL")</f>
        <v>4.25</v>
      </c>
      <c r="H213" s="19">
        <f>IF('Boletins Nuppa Site'!K213&lt;&gt;0,'Boletins Nuppa Site'!K213,"NULL")</f>
        <v>4</v>
      </c>
      <c r="J213" s="1" t="str">
        <f t="shared" si="3"/>
        <v>INSERT INTO COTACAO (blt_id, pap_id, cot_prc_comum, cot_prc_min, cot_prc_max, cot_prc_med, cot_prc_mediana) VALUES (6, 17, 4, 4, 5, 4.25, 4);</v>
      </c>
    </row>
    <row r="214" spans="1:10" x14ac:dyDescent="0.3">
      <c r="A214" s="1">
        <v>213</v>
      </c>
      <c r="B214" s="1">
        <v>6</v>
      </c>
      <c r="C214" s="1">
        <v>18</v>
      </c>
      <c r="D214" s="19">
        <f>IF('Boletins Nuppa Site'!G214&lt;&gt;0,'Boletins Nuppa Site'!G214,"NULL")</f>
        <v>25</v>
      </c>
      <c r="E214" s="19">
        <f>IF('Boletins Nuppa Site'!H214&lt;&gt;0,'Boletins Nuppa Site'!H214,"NULL")</f>
        <v>15</v>
      </c>
      <c r="F214" s="19">
        <f>IF('Boletins Nuppa Site'!I214&lt;&gt;0,'Boletins Nuppa Site'!I214,"NULL")</f>
        <v>25</v>
      </c>
      <c r="G214" s="1" t="str">
        <f>IF('Boletins Nuppa Site'!J214&lt;&gt;0,'Boletins Nuppa Site'!J214,"NULL")</f>
        <v>21.4</v>
      </c>
      <c r="H214" s="19">
        <f>IF('Boletins Nuppa Site'!K214&lt;&gt;0,'Boletins Nuppa Site'!K214,"NULL")</f>
        <v>22</v>
      </c>
      <c r="J214" s="1" t="str">
        <f t="shared" si="3"/>
        <v>INSERT INTO COTACAO (blt_id, pap_id, cot_prc_comum, cot_prc_min, cot_prc_max, cot_prc_med, cot_prc_mediana) VALUES (6, 18, 25, 15, 25, 21.4, 22);</v>
      </c>
    </row>
    <row r="215" spans="1:10" x14ac:dyDescent="0.3">
      <c r="A215" s="1">
        <v>214</v>
      </c>
      <c r="B215" s="1">
        <v>6</v>
      </c>
      <c r="C215" s="1">
        <v>19</v>
      </c>
      <c r="D215" s="19">
        <f>IF('Boletins Nuppa Site'!G215&lt;&gt;0,'Boletins Nuppa Site'!G215,"NULL")</f>
        <v>25</v>
      </c>
      <c r="E215" s="19">
        <f>IF('Boletins Nuppa Site'!H215&lt;&gt;0,'Boletins Nuppa Site'!H215,"NULL")</f>
        <v>25</v>
      </c>
      <c r="F215" s="19">
        <f>IF('Boletins Nuppa Site'!I215&lt;&gt;0,'Boletins Nuppa Site'!I215,"NULL")</f>
        <v>25</v>
      </c>
      <c r="G215" s="19">
        <f>IF('Boletins Nuppa Site'!J215&lt;&gt;0,'Boletins Nuppa Site'!J215,"NULL")</f>
        <v>25</v>
      </c>
      <c r="H215" s="19">
        <f>IF('Boletins Nuppa Site'!K215&lt;&gt;0,'Boletins Nuppa Site'!K215,"NULL")</f>
        <v>25</v>
      </c>
      <c r="J215" s="1" t="str">
        <f t="shared" si="3"/>
        <v>INSERT INTO COTACAO (blt_id, pap_id, cot_prc_comum, cot_prc_min, cot_prc_max, cot_prc_med, cot_prc_mediana) VALUES (6, 19, 25, 25, 25, 25, 25);</v>
      </c>
    </row>
    <row r="216" spans="1:10" x14ac:dyDescent="0.3">
      <c r="A216" s="1">
        <v>215</v>
      </c>
      <c r="B216" s="1">
        <v>6</v>
      </c>
      <c r="C216" s="1">
        <v>21</v>
      </c>
      <c r="D216" s="19">
        <f>IF('Boletins Nuppa Site'!G216&lt;&gt;0,'Boletins Nuppa Site'!G216,"NULL")</f>
        <v>70</v>
      </c>
      <c r="E216" s="19">
        <f>IF('Boletins Nuppa Site'!H216&lt;&gt;0,'Boletins Nuppa Site'!H216,"NULL")</f>
        <v>35</v>
      </c>
      <c r="F216" s="19">
        <f>IF('Boletins Nuppa Site'!I216&lt;&gt;0,'Boletins Nuppa Site'!I216,"NULL")</f>
        <v>70</v>
      </c>
      <c r="G216" s="1" t="str">
        <f>IF('Boletins Nuppa Site'!J216&lt;&gt;0,'Boletins Nuppa Site'!J216,"NULL")</f>
        <v>56.88</v>
      </c>
      <c r="H216" s="19">
        <f>IF('Boletins Nuppa Site'!K216&lt;&gt;0,'Boletins Nuppa Site'!K216,"NULL")</f>
        <v>60</v>
      </c>
      <c r="J216" s="1" t="str">
        <f t="shared" si="3"/>
        <v>INSERT INTO COTACAO (blt_id, pap_id, cot_prc_comum, cot_prc_min, cot_prc_max, cot_prc_med, cot_prc_mediana) VALUES (6, 21, 70, 35, 70, 56.88, 60);</v>
      </c>
    </row>
    <row r="217" spans="1:10" x14ac:dyDescent="0.3">
      <c r="A217" s="1">
        <v>216</v>
      </c>
      <c r="B217" s="1">
        <v>6</v>
      </c>
      <c r="C217" s="1">
        <v>22</v>
      </c>
      <c r="D217" s="19">
        <f>IF('Boletins Nuppa Site'!G217&lt;&gt;0,'Boletins Nuppa Site'!G217,"NULL")</f>
        <v>35</v>
      </c>
      <c r="E217" s="19">
        <f>IF('Boletins Nuppa Site'!H217&lt;&gt;0,'Boletins Nuppa Site'!H217,"NULL")</f>
        <v>35</v>
      </c>
      <c r="F217" s="19">
        <f>IF('Boletins Nuppa Site'!I217&lt;&gt;0,'Boletins Nuppa Site'!I217,"NULL")</f>
        <v>65</v>
      </c>
      <c r="G217" s="1" t="str">
        <f>IF('Boletins Nuppa Site'!J217&lt;&gt;0,'Boletins Nuppa Site'!J217,"NULL")</f>
        <v>46.67</v>
      </c>
      <c r="H217" s="19">
        <f>IF('Boletins Nuppa Site'!K217&lt;&gt;0,'Boletins Nuppa Site'!K217,"NULL")</f>
        <v>40</v>
      </c>
      <c r="J217" s="1" t="str">
        <f t="shared" si="3"/>
        <v>INSERT INTO COTACAO (blt_id, pap_id, cot_prc_comum, cot_prc_min, cot_prc_max, cot_prc_med, cot_prc_mediana) VALUES (6, 22, 35, 35, 65, 46.67, 40);</v>
      </c>
    </row>
    <row r="218" spans="1:10" x14ac:dyDescent="0.3">
      <c r="A218" s="1">
        <v>217</v>
      </c>
      <c r="B218" s="1">
        <v>6</v>
      </c>
      <c r="C218" s="1">
        <v>23</v>
      </c>
      <c r="D218" s="19">
        <f>IF('Boletins Nuppa Site'!G218&lt;&gt;0,'Boletins Nuppa Site'!G218,"NULL")</f>
        <v>40</v>
      </c>
      <c r="E218" s="19">
        <f>IF('Boletins Nuppa Site'!H218&lt;&gt;0,'Boletins Nuppa Site'!H218,"NULL")</f>
        <v>40</v>
      </c>
      <c r="F218" s="19">
        <f>IF('Boletins Nuppa Site'!I218&lt;&gt;0,'Boletins Nuppa Site'!I218,"NULL")</f>
        <v>40</v>
      </c>
      <c r="G218" s="19">
        <f>IF('Boletins Nuppa Site'!J218&lt;&gt;0,'Boletins Nuppa Site'!J218,"NULL")</f>
        <v>40</v>
      </c>
      <c r="H218" s="19">
        <f>IF('Boletins Nuppa Site'!K218&lt;&gt;0,'Boletins Nuppa Site'!K218,"NULL")</f>
        <v>40</v>
      </c>
      <c r="J218" s="1" t="str">
        <f t="shared" si="3"/>
        <v>INSERT INTO COTACAO (blt_id, pap_id, cot_prc_comum, cot_prc_min, cot_prc_max, cot_prc_med, cot_prc_mediana) VALUES (6, 23, 40, 40, 40, 40, 40);</v>
      </c>
    </row>
    <row r="219" spans="1:10" x14ac:dyDescent="0.3">
      <c r="A219" s="1">
        <v>218</v>
      </c>
      <c r="B219" s="1">
        <v>6</v>
      </c>
      <c r="C219" s="1">
        <v>24</v>
      </c>
      <c r="D219" s="19">
        <f>IF('Boletins Nuppa Site'!G219&lt;&gt;0,'Boletins Nuppa Site'!G219,"NULL")</f>
        <v>100</v>
      </c>
      <c r="E219" s="19">
        <f>IF('Boletins Nuppa Site'!H219&lt;&gt;0,'Boletins Nuppa Site'!H219,"NULL")</f>
        <v>100</v>
      </c>
      <c r="F219" s="19">
        <f>IF('Boletins Nuppa Site'!I219&lt;&gt;0,'Boletins Nuppa Site'!I219,"NULL")</f>
        <v>100</v>
      </c>
      <c r="G219" s="19">
        <f>IF('Boletins Nuppa Site'!J219&lt;&gt;0,'Boletins Nuppa Site'!J219,"NULL")</f>
        <v>100</v>
      </c>
      <c r="H219" s="19">
        <f>IF('Boletins Nuppa Site'!K219&lt;&gt;0,'Boletins Nuppa Site'!K219,"NULL")</f>
        <v>100</v>
      </c>
      <c r="J219" s="1" t="str">
        <f t="shared" si="3"/>
        <v>INSERT INTO COTACAO (blt_id, pap_id, cot_prc_comum, cot_prc_min, cot_prc_max, cot_prc_med, cot_prc_mediana) VALUES (6, 24, 100, 100, 100, 100, 100);</v>
      </c>
    </row>
    <row r="220" spans="1:10" x14ac:dyDescent="0.3">
      <c r="A220" s="1">
        <v>219</v>
      </c>
      <c r="B220" s="1">
        <v>6</v>
      </c>
      <c r="C220" s="1">
        <v>25</v>
      </c>
      <c r="D220" s="19">
        <f>IF('Boletins Nuppa Site'!G220&lt;&gt;0,'Boletins Nuppa Site'!G220,"NULL")</f>
        <v>40</v>
      </c>
      <c r="E220" s="19">
        <f>IF('Boletins Nuppa Site'!H220&lt;&gt;0,'Boletins Nuppa Site'!H220,"NULL")</f>
        <v>40</v>
      </c>
      <c r="F220" s="19">
        <f>IF('Boletins Nuppa Site'!I220&lt;&gt;0,'Boletins Nuppa Site'!I220,"NULL")</f>
        <v>60</v>
      </c>
      <c r="G220" s="1" t="str">
        <f>IF('Boletins Nuppa Site'!J220&lt;&gt;0,'Boletins Nuppa Site'!J220,"NULL")</f>
        <v>49.29</v>
      </c>
      <c r="H220" s="19">
        <f>IF('Boletins Nuppa Site'!K220&lt;&gt;0,'Boletins Nuppa Site'!K220,"NULL")</f>
        <v>50</v>
      </c>
      <c r="J220" s="1" t="str">
        <f t="shared" si="3"/>
        <v>INSERT INTO COTACAO (blt_id, pap_id, cot_prc_comum, cot_prc_min, cot_prc_max, cot_prc_med, cot_prc_mediana) VALUES (6, 25, 40, 40, 60, 49.29, 50);</v>
      </c>
    </row>
    <row r="221" spans="1:10" x14ac:dyDescent="0.3">
      <c r="A221" s="1">
        <v>220</v>
      </c>
      <c r="B221" s="1">
        <v>6</v>
      </c>
      <c r="C221" s="1">
        <v>26</v>
      </c>
      <c r="D221" s="19">
        <f>IF('Boletins Nuppa Site'!G221&lt;&gt;0,'Boletins Nuppa Site'!G221,"NULL")</f>
        <v>75</v>
      </c>
      <c r="E221" s="19">
        <f>IF('Boletins Nuppa Site'!H221&lt;&gt;0,'Boletins Nuppa Site'!H221,"NULL")</f>
        <v>45</v>
      </c>
      <c r="F221" s="19">
        <f>IF('Boletins Nuppa Site'!I221&lt;&gt;0,'Boletins Nuppa Site'!I221,"NULL")</f>
        <v>80</v>
      </c>
      <c r="G221" s="1" t="str">
        <f>IF('Boletins Nuppa Site'!J221&lt;&gt;0,'Boletins Nuppa Site'!J221,"NULL")</f>
        <v>65.56</v>
      </c>
      <c r="H221" s="19">
        <f>IF('Boletins Nuppa Site'!K221&lt;&gt;0,'Boletins Nuppa Site'!K221,"NULL")</f>
        <v>75</v>
      </c>
      <c r="J221" s="1" t="str">
        <f t="shared" si="3"/>
        <v>INSERT INTO COTACAO (blt_id, pap_id, cot_prc_comum, cot_prc_min, cot_prc_max, cot_prc_med, cot_prc_mediana) VALUES (6, 26, 75, 45, 80, 65.56, 75);</v>
      </c>
    </row>
    <row r="222" spans="1:10" x14ac:dyDescent="0.3">
      <c r="A222" s="1">
        <v>221</v>
      </c>
      <c r="B222" s="1">
        <v>6</v>
      </c>
      <c r="C222" s="1">
        <v>27</v>
      </c>
      <c r="D222" s="19">
        <f>IF('Boletins Nuppa Site'!G222&lt;&gt;0,'Boletins Nuppa Site'!G222,"NULL")</f>
        <v>55</v>
      </c>
      <c r="E222" s="19">
        <f>IF('Boletins Nuppa Site'!H222&lt;&gt;0,'Boletins Nuppa Site'!H222,"NULL")</f>
        <v>50</v>
      </c>
      <c r="F222" s="19">
        <f>IF('Boletins Nuppa Site'!I222&lt;&gt;0,'Boletins Nuppa Site'!I222,"NULL")</f>
        <v>70</v>
      </c>
      <c r="G222" s="1" t="str">
        <f>IF('Boletins Nuppa Site'!J222&lt;&gt;0,'Boletins Nuppa Site'!J222,"NULL")</f>
        <v>59.38</v>
      </c>
      <c r="H222" s="1" t="str">
        <f>IF('Boletins Nuppa Site'!K222&lt;&gt;0,'Boletins Nuppa Site'!K222,"NULL")</f>
        <v>57.5</v>
      </c>
      <c r="J222" s="1" t="str">
        <f t="shared" si="3"/>
        <v>INSERT INTO COTACAO (blt_id, pap_id, cot_prc_comum, cot_prc_min, cot_prc_max, cot_prc_med, cot_prc_mediana) VALUES (6, 27, 55, 50, 70, 59.38, 57.5);</v>
      </c>
    </row>
    <row r="223" spans="1:10" x14ac:dyDescent="0.3">
      <c r="A223" s="1">
        <v>222</v>
      </c>
      <c r="B223" s="1">
        <v>6</v>
      </c>
      <c r="C223" s="1">
        <v>28</v>
      </c>
      <c r="D223" s="19">
        <f>IF('Boletins Nuppa Site'!G223&lt;&gt;0,'Boletins Nuppa Site'!G223,"NULL")</f>
        <v>70</v>
      </c>
      <c r="E223" s="19">
        <f>IF('Boletins Nuppa Site'!H223&lt;&gt;0,'Boletins Nuppa Site'!H223,"NULL")</f>
        <v>50</v>
      </c>
      <c r="F223" s="19">
        <f>IF('Boletins Nuppa Site'!I223&lt;&gt;0,'Boletins Nuppa Site'!I223,"NULL")</f>
        <v>80</v>
      </c>
      <c r="G223" s="1" t="str">
        <f>IF('Boletins Nuppa Site'!J223&lt;&gt;0,'Boletins Nuppa Site'!J223,"NULL")</f>
        <v>68.57</v>
      </c>
      <c r="H223" s="19">
        <f>IF('Boletins Nuppa Site'!K223&lt;&gt;0,'Boletins Nuppa Site'!K223,"NULL")</f>
        <v>70</v>
      </c>
      <c r="J223" s="1" t="str">
        <f t="shared" si="3"/>
        <v>INSERT INTO COTACAO (blt_id, pap_id, cot_prc_comum, cot_prc_min, cot_prc_max, cot_prc_med, cot_prc_mediana) VALUES (6, 28, 70, 50, 80, 68.57, 70);</v>
      </c>
    </row>
    <row r="224" spans="1:10" x14ac:dyDescent="0.3">
      <c r="A224" s="1">
        <v>223</v>
      </c>
      <c r="B224" s="1">
        <v>6</v>
      </c>
      <c r="C224" s="1">
        <v>29</v>
      </c>
      <c r="D224" s="1" t="str">
        <f>IF('Boletins Nuppa Site'!G224&lt;&gt;0,'Boletins Nuppa Site'!G224,"NULL")</f>
        <v>NULL</v>
      </c>
      <c r="E224" s="19">
        <f>IF('Boletins Nuppa Site'!H224&lt;&gt;0,'Boletins Nuppa Site'!H224,"NULL")</f>
        <v>55</v>
      </c>
      <c r="F224" s="19">
        <f>IF('Boletins Nuppa Site'!I224&lt;&gt;0,'Boletins Nuppa Site'!I224,"NULL")</f>
        <v>70</v>
      </c>
      <c r="G224" s="1" t="str">
        <f>IF('Boletins Nuppa Site'!J224&lt;&gt;0,'Boletins Nuppa Site'!J224,"NULL")</f>
        <v>61.67</v>
      </c>
      <c r="H224" s="19">
        <f>IF('Boletins Nuppa Site'!K224&lt;&gt;0,'Boletins Nuppa Site'!K224,"NULL")</f>
        <v>60</v>
      </c>
      <c r="J224" s="1" t="str">
        <f t="shared" si="3"/>
        <v>INSERT INTO COTACAO (blt_id, pap_id, cot_prc_comum, cot_prc_min, cot_prc_max, cot_prc_med, cot_prc_mediana) VALUES (6, 29, NULL, 55, 70, 61.67, 60);</v>
      </c>
    </row>
    <row r="225" spans="1:10" x14ac:dyDescent="0.3">
      <c r="A225" s="1">
        <v>224</v>
      </c>
      <c r="B225" s="1">
        <v>6</v>
      </c>
      <c r="C225" s="1">
        <v>30</v>
      </c>
      <c r="D225" s="1" t="str">
        <f>IF('Boletins Nuppa Site'!G225&lt;&gt;0,'Boletins Nuppa Site'!G225,"NULL")</f>
        <v>NULL</v>
      </c>
      <c r="E225" s="19">
        <f>IF('Boletins Nuppa Site'!H225&lt;&gt;0,'Boletins Nuppa Site'!H225,"NULL")</f>
        <v>45</v>
      </c>
      <c r="F225" s="19">
        <f>IF('Boletins Nuppa Site'!I225&lt;&gt;0,'Boletins Nuppa Site'!I225,"NULL")</f>
        <v>65</v>
      </c>
      <c r="G225" s="19">
        <f>IF('Boletins Nuppa Site'!J225&lt;&gt;0,'Boletins Nuppa Site'!J225,"NULL")</f>
        <v>55</v>
      </c>
      <c r="H225" s="19">
        <f>IF('Boletins Nuppa Site'!K225&lt;&gt;0,'Boletins Nuppa Site'!K225,"NULL")</f>
        <v>55</v>
      </c>
      <c r="J225" s="1" t="str">
        <f t="shared" si="3"/>
        <v>INSERT INTO COTACAO (blt_id, pap_id, cot_prc_comum, cot_prc_min, cot_prc_max, cot_prc_med, cot_prc_mediana) VALUES (6, 30, NULL, 45, 65, 55, 55);</v>
      </c>
    </row>
    <row r="226" spans="1:10" x14ac:dyDescent="0.3">
      <c r="A226" s="1">
        <v>225</v>
      </c>
      <c r="B226" s="1">
        <v>6</v>
      </c>
      <c r="C226" s="1">
        <v>31</v>
      </c>
      <c r="D226" s="19">
        <f>IF('Boletins Nuppa Site'!G226&lt;&gt;0,'Boletins Nuppa Site'!G226,"NULL")</f>
        <v>85</v>
      </c>
      <c r="E226" s="19">
        <f>IF('Boletins Nuppa Site'!H226&lt;&gt;0,'Boletins Nuppa Site'!H226,"NULL")</f>
        <v>50</v>
      </c>
      <c r="F226" s="19">
        <f>IF('Boletins Nuppa Site'!I226&lt;&gt;0,'Boletins Nuppa Site'!I226,"NULL")</f>
        <v>85</v>
      </c>
      <c r="G226" s="1" t="str">
        <f>IF('Boletins Nuppa Site'!J226&lt;&gt;0,'Boletins Nuppa Site'!J226,"NULL")</f>
        <v>72.14</v>
      </c>
      <c r="H226" s="19">
        <f>IF('Boletins Nuppa Site'!K226&lt;&gt;0,'Boletins Nuppa Site'!K226,"NULL")</f>
        <v>75</v>
      </c>
      <c r="J226" s="1" t="str">
        <f t="shared" si="3"/>
        <v>INSERT INTO COTACAO (blt_id, pap_id, cot_prc_comum, cot_prc_min, cot_prc_max, cot_prc_med, cot_prc_mediana) VALUES (6, 31, 85, 50, 85, 72.14, 75);</v>
      </c>
    </row>
    <row r="227" spans="1:10" x14ac:dyDescent="0.3">
      <c r="A227" s="1">
        <v>226</v>
      </c>
      <c r="B227" s="1">
        <v>6</v>
      </c>
      <c r="C227" s="1">
        <v>32</v>
      </c>
      <c r="D227" s="19">
        <f>IF('Boletins Nuppa Site'!G227&lt;&gt;0,'Boletins Nuppa Site'!G227,"NULL")</f>
        <v>30</v>
      </c>
      <c r="E227" s="19">
        <f>IF('Boletins Nuppa Site'!H227&lt;&gt;0,'Boletins Nuppa Site'!H227,"NULL")</f>
        <v>20</v>
      </c>
      <c r="F227" s="19">
        <f>IF('Boletins Nuppa Site'!I227&lt;&gt;0,'Boletins Nuppa Site'!I227,"NULL")</f>
        <v>50</v>
      </c>
      <c r="G227" s="19">
        <f>IF('Boletins Nuppa Site'!J227&lt;&gt;0,'Boletins Nuppa Site'!J227,"NULL")</f>
        <v>35</v>
      </c>
      <c r="H227" s="19">
        <f>IF('Boletins Nuppa Site'!K227&lt;&gt;0,'Boletins Nuppa Site'!K227,"NULL")</f>
        <v>35</v>
      </c>
      <c r="J227" s="1" t="str">
        <f t="shared" si="3"/>
        <v>INSERT INTO COTACAO (blt_id, pap_id, cot_prc_comum, cot_prc_min, cot_prc_max, cot_prc_med, cot_prc_mediana) VALUES (6, 32, 30, 20, 50, 35, 35);</v>
      </c>
    </row>
    <row r="228" spans="1:10" x14ac:dyDescent="0.3">
      <c r="A228" s="1">
        <v>227</v>
      </c>
      <c r="B228" s="1">
        <v>6</v>
      </c>
      <c r="C228" s="1">
        <v>33</v>
      </c>
      <c r="D228" s="19">
        <f>IF('Boletins Nuppa Site'!G228&lt;&gt;0,'Boletins Nuppa Site'!G228,"NULL")</f>
        <v>80</v>
      </c>
      <c r="E228" s="19">
        <f>IF('Boletins Nuppa Site'!H228&lt;&gt;0,'Boletins Nuppa Site'!H228,"NULL")</f>
        <v>50</v>
      </c>
      <c r="F228" s="19">
        <f>IF('Boletins Nuppa Site'!I228&lt;&gt;0,'Boletins Nuppa Site'!I228,"NULL")</f>
        <v>80</v>
      </c>
      <c r="G228" s="1" t="str">
        <f>IF('Boletins Nuppa Site'!J228&lt;&gt;0,'Boletins Nuppa Site'!J228,"NULL")</f>
        <v>73.13</v>
      </c>
      <c r="H228" s="1" t="str">
        <f>IF('Boletins Nuppa Site'!K228&lt;&gt;0,'Boletins Nuppa Site'!K228,"NULL")</f>
        <v>77.5</v>
      </c>
      <c r="J228" s="1" t="str">
        <f t="shared" si="3"/>
        <v>INSERT INTO COTACAO (blt_id, pap_id, cot_prc_comum, cot_prc_min, cot_prc_max, cot_prc_med, cot_prc_mediana) VALUES (6, 33, 80, 50, 80, 73.13, 77.5);</v>
      </c>
    </row>
    <row r="229" spans="1:10" x14ac:dyDescent="0.3">
      <c r="A229" s="1">
        <v>228</v>
      </c>
      <c r="B229" s="1">
        <v>6</v>
      </c>
      <c r="C229" s="1">
        <v>34</v>
      </c>
      <c r="D229" s="19">
        <f>IF('Boletins Nuppa Site'!G229&lt;&gt;0,'Boletins Nuppa Site'!G229,"NULL")</f>
        <v>100</v>
      </c>
      <c r="E229" s="19">
        <f>IF('Boletins Nuppa Site'!H229&lt;&gt;0,'Boletins Nuppa Site'!H229,"NULL")</f>
        <v>75</v>
      </c>
      <c r="F229" s="19">
        <f>IF('Boletins Nuppa Site'!I229&lt;&gt;0,'Boletins Nuppa Site'!I229,"NULL")</f>
        <v>100</v>
      </c>
      <c r="G229" s="19">
        <f>IF('Boletins Nuppa Site'!J229&lt;&gt;0,'Boletins Nuppa Site'!J229,"NULL")</f>
        <v>90</v>
      </c>
      <c r="H229" s="19">
        <f>IF('Boletins Nuppa Site'!K229&lt;&gt;0,'Boletins Nuppa Site'!K229,"NULL")</f>
        <v>95</v>
      </c>
      <c r="J229" s="1" t="str">
        <f t="shared" si="3"/>
        <v>INSERT INTO COTACAO (blt_id, pap_id, cot_prc_comum, cot_prc_min, cot_prc_max, cot_prc_med, cot_prc_mediana) VALUES (6, 34, 100, 75, 100, 90, 95);</v>
      </c>
    </row>
    <row r="230" spans="1:10" x14ac:dyDescent="0.3">
      <c r="A230" s="1">
        <v>229</v>
      </c>
      <c r="B230" s="1">
        <v>6</v>
      </c>
      <c r="C230" s="1">
        <v>35</v>
      </c>
      <c r="D230" s="19">
        <f>IF('Boletins Nuppa Site'!G230&lt;&gt;0,'Boletins Nuppa Site'!G230,"NULL")</f>
        <v>120</v>
      </c>
      <c r="E230" s="19">
        <f>IF('Boletins Nuppa Site'!H230&lt;&gt;0,'Boletins Nuppa Site'!H230,"NULL")</f>
        <v>110</v>
      </c>
      <c r="F230" s="19">
        <f>IF('Boletins Nuppa Site'!I230&lt;&gt;0,'Boletins Nuppa Site'!I230,"NULL")</f>
        <v>130</v>
      </c>
      <c r="G230" s="19">
        <f>IF('Boletins Nuppa Site'!J230&lt;&gt;0,'Boletins Nuppa Site'!J230,"NULL")</f>
        <v>120</v>
      </c>
      <c r="H230" s="19">
        <f>IF('Boletins Nuppa Site'!K230&lt;&gt;0,'Boletins Nuppa Site'!K230,"NULL")</f>
        <v>120</v>
      </c>
      <c r="J230" s="1" t="str">
        <f t="shared" si="3"/>
        <v>INSERT INTO COTACAO (blt_id, pap_id, cot_prc_comum, cot_prc_min, cot_prc_max, cot_prc_med, cot_prc_mediana) VALUES (6, 35, 120, 110, 130, 120, 120);</v>
      </c>
    </row>
    <row r="231" spans="1:10" x14ac:dyDescent="0.3">
      <c r="A231" s="1">
        <v>230</v>
      </c>
      <c r="B231" s="1">
        <v>6</v>
      </c>
      <c r="C231" s="1">
        <v>36</v>
      </c>
      <c r="D231" s="1" t="str">
        <f>IF('Boletins Nuppa Site'!G231&lt;&gt;0,'Boletins Nuppa Site'!G231,"NULL")</f>
        <v>NULL</v>
      </c>
      <c r="E231" s="1" t="str">
        <f>IF('Boletins Nuppa Site'!H231&lt;&gt;0,'Boletins Nuppa Site'!H231,"NULL")</f>
        <v>NULL</v>
      </c>
      <c r="F231" s="1" t="str">
        <f>IF('Boletins Nuppa Site'!I231&lt;&gt;0,'Boletins Nuppa Site'!I231,"NULL")</f>
        <v>NULL</v>
      </c>
      <c r="G231" s="1" t="str">
        <f>IF('Boletins Nuppa Site'!J231&lt;&gt;0,'Boletins Nuppa Site'!J231,"NULL")</f>
        <v>NULL</v>
      </c>
      <c r="H231" s="1" t="str">
        <f>IF('Boletins Nuppa Site'!K231&lt;&gt;0,'Boletins Nuppa Site'!K231,"NULL")</f>
        <v>NULL</v>
      </c>
      <c r="J231" s="1" t="str">
        <f t="shared" si="3"/>
        <v>INSERT INTO COTACAO (blt_id, pap_id, cot_prc_comum, cot_prc_min, cot_prc_max, cot_prc_med, cot_prc_mediana) VALUES (6, 36, NULL, NULL, NULL, NULL, NULL);</v>
      </c>
    </row>
    <row r="232" spans="1:10" x14ac:dyDescent="0.3">
      <c r="A232" s="1">
        <v>231</v>
      </c>
      <c r="B232" s="1">
        <v>6</v>
      </c>
      <c r="C232" s="1">
        <v>37</v>
      </c>
      <c r="D232" s="1" t="str">
        <f>IF('Boletins Nuppa Site'!G232&lt;&gt;0,'Boletins Nuppa Site'!G232,"NULL")</f>
        <v>NULL</v>
      </c>
      <c r="E232" s="1" t="str">
        <f>IF('Boletins Nuppa Site'!H232&lt;&gt;0,'Boletins Nuppa Site'!H232,"NULL")</f>
        <v>NULL</v>
      </c>
      <c r="F232" s="1" t="str">
        <f>IF('Boletins Nuppa Site'!I232&lt;&gt;0,'Boletins Nuppa Site'!I232,"NULL")</f>
        <v>NULL</v>
      </c>
      <c r="G232" s="1" t="str">
        <f>IF('Boletins Nuppa Site'!J232&lt;&gt;0,'Boletins Nuppa Site'!J232,"NULL")</f>
        <v>NULL</v>
      </c>
      <c r="H232" s="1" t="str">
        <f>IF('Boletins Nuppa Site'!K232&lt;&gt;0,'Boletins Nuppa Site'!K232,"NULL")</f>
        <v>NULL</v>
      </c>
      <c r="J232" s="1" t="str">
        <f t="shared" si="3"/>
        <v>INSERT INTO COTACAO (blt_id, pap_id, cot_prc_comum, cot_prc_min, cot_prc_max, cot_prc_med, cot_prc_mediana) VALUES (6, 37, NULL, NULL, NULL, NULL, NULL);</v>
      </c>
    </row>
    <row r="233" spans="1:10" x14ac:dyDescent="0.3">
      <c r="A233" s="1">
        <v>232</v>
      </c>
      <c r="B233" s="1">
        <v>6</v>
      </c>
      <c r="C233" s="1">
        <v>38</v>
      </c>
      <c r="D233" s="1" t="str">
        <f>IF('Boletins Nuppa Site'!G233&lt;&gt;0,'Boletins Nuppa Site'!G233,"NULL")</f>
        <v>NULL</v>
      </c>
      <c r="E233" s="1" t="str">
        <f>IF('Boletins Nuppa Site'!H233&lt;&gt;0,'Boletins Nuppa Site'!H233,"NULL")</f>
        <v>NULL</v>
      </c>
      <c r="F233" s="1" t="str">
        <f>IF('Boletins Nuppa Site'!I233&lt;&gt;0,'Boletins Nuppa Site'!I233,"NULL")</f>
        <v>NULL</v>
      </c>
      <c r="G233" s="1" t="str">
        <f>IF('Boletins Nuppa Site'!J233&lt;&gt;0,'Boletins Nuppa Site'!J233,"NULL")</f>
        <v>NULL</v>
      </c>
      <c r="H233" s="1" t="str">
        <f>IF('Boletins Nuppa Site'!K233&lt;&gt;0,'Boletins Nuppa Site'!K233,"NULL")</f>
        <v>NULL</v>
      </c>
      <c r="J233" s="1" t="str">
        <f t="shared" si="3"/>
        <v>INSERT INTO COTACAO (blt_id, pap_id, cot_prc_comum, cot_prc_min, cot_prc_max, cot_prc_med, cot_prc_mediana) VALUES (6, 38, NULL, NULL, NULL, NULL, NULL);</v>
      </c>
    </row>
    <row r="234" spans="1:10" x14ac:dyDescent="0.3">
      <c r="A234" s="1">
        <v>233</v>
      </c>
      <c r="B234" s="1">
        <v>6</v>
      </c>
      <c r="C234" s="1">
        <v>40</v>
      </c>
      <c r="D234" s="1" t="str">
        <f>IF('Boletins Nuppa Site'!G234&lt;&gt;0,'Boletins Nuppa Site'!G234,"NULL")</f>
        <v>NULL</v>
      </c>
      <c r="E234" s="1" t="str">
        <f>IF('Boletins Nuppa Site'!H234&lt;&gt;0,'Boletins Nuppa Site'!H234,"NULL")</f>
        <v>NULL</v>
      </c>
      <c r="F234" s="1" t="str">
        <f>IF('Boletins Nuppa Site'!I234&lt;&gt;0,'Boletins Nuppa Site'!I234,"NULL")</f>
        <v>NULL</v>
      </c>
      <c r="G234" s="1" t="str">
        <f>IF('Boletins Nuppa Site'!J234&lt;&gt;0,'Boletins Nuppa Site'!J234,"NULL")</f>
        <v>NULL</v>
      </c>
      <c r="H234" s="1" t="str">
        <f>IF('Boletins Nuppa Site'!K234&lt;&gt;0,'Boletins Nuppa Site'!K234,"NULL")</f>
        <v>NULL</v>
      </c>
      <c r="J234" s="1" t="str">
        <f t="shared" si="3"/>
        <v>INSERT INTO COTACAO (blt_id, pap_id, cot_prc_comum, cot_prc_min, cot_prc_max, cot_prc_med, cot_prc_mediana) VALUES (6, 40, NULL, NULL, NULL, NULL, NULL);</v>
      </c>
    </row>
    <row r="235" spans="1:10" x14ac:dyDescent="0.3">
      <c r="A235" s="1">
        <v>234</v>
      </c>
      <c r="B235" s="1">
        <v>7</v>
      </c>
      <c r="C235" s="1">
        <v>1</v>
      </c>
      <c r="D235" s="19">
        <f>IF('Boletins Nuppa Site'!G235&lt;&gt;0,'Boletins Nuppa Site'!G235,"NULL")</f>
        <v>42</v>
      </c>
      <c r="E235" s="19">
        <f>IF('Boletins Nuppa Site'!H235&lt;&gt;0,'Boletins Nuppa Site'!H235,"NULL")</f>
        <v>36</v>
      </c>
      <c r="F235" s="19">
        <f>IF('Boletins Nuppa Site'!I235&lt;&gt;0,'Boletins Nuppa Site'!I235,"NULL")</f>
        <v>42</v>
      </c>
      <c r="G235" s="19">
        <f>IF('Boletins Nuppa Site'!J235&lt;&gt;0,'Boletins Nuppa Site'!J235,"NULL")</f>
        <v>40</v>
      </c>
      <c r="H235" s="19">
        <f>IF('Boletins Nuppa Site'!K235&lt;&gt;0,'Boletins Nuppa Site'!K235,"NULL")</f>
        <v>42</v>
      </c>
      <c r="J235" s="1" t="str">
        <f t="shared" si="3"/>
        <v>INSERT INTO COTACAO (blt_id, pap_id, cot_prc_comum, cot_prc_min, cot_prc_max, cot_prc_med, cot_prc_mediana) VALUES (7, 1, 42, 36, 42, 40, 42);</v>
      </c>
    </row>
    <row r="236" spans="1:10" x14ac:dyDescent="0.3">
      <c r="A236" s="1">
        <v>235</v>
      </c>
      <c r="B236" s="1">
        <v>7</v>
      </c>
      <c r="C236" s="1">
        <v>2</v>
      </c>
      <c r="D236" s="19">
        <f>IF('Boletins Nuppa Site'!G236&lt;&gt;0,'Boletins Nuppa Site'!G236,"NULL")</f>
        <v>60</v>
      </c>
      <c r="E236" s="19">
        <f>IF('Boletins Nuppa Site'!H236&lt;&gt;0,'Boletins Nuppa Site'!H236,"NULL")</f>
        <v>36</v>
      </c>
      <c r="F236" s="19">
        <f>IF('Boletins Nuppa Site'!I236&lt;&gt;0,'Boletins Nuppa Site'!I236,"NULL")</f>
        <v>60</v>
      </c>
      <c r="G236" s="19">
        <f>IF('Boletins Nuppa Site'!J236&lt;&gt;0,'Boletins Nuppa Site'!J236,"NULL")</f>
        <v>52</v>
      </c>
      <c r="H236" s="19">
        <f>IF('Boletins Nuppa Site'!K236&lt;&gt;0,'Boletins Nuppa Site'!K236,"NULL")</f>
        <v>60</v>
      </c>
      <c r="J236" s="1" t="str">
        <f t="shared" si="3"/>
        <v>INSERT INTO COTACAO (blt_id, pap_id, cot_prc_comum, cot_prc_min, cot_prc_max, cot_prc_med, cot_prc_mediana) VALUES (7, 2, 60, 36, 60, 52, 60);</v>
      </c>
    </row>
    <row r="237" spans="1:10" x14ac:dyDescent="0.3">
      <c r="A237" s="1">
        <v>236</v>
      </c>
      <c r="B237" s="1">
        <v>7</v>
      </c>
      <c r="C237" s="1">
        <v>3</v>
      </c>
      <c r="D237" s="19">
        <f>IF('Boletins Nuppa Site'!G237&lt;&gt;0,'Boletins Nuppa Site'!G237,"NULL")</f>
        <v>36</v>
      </c>
      <c r="E237" s="19">
        <f>IF('Boletins Nuppa Site'!H237&lt;&gt;0,'Boletins Nuppa Site'!H237,"NULL")</f>
        <v>36</v>
      </c>
      <c r="F237" s="19">
        <f>IF('Boletins Nuppa Site'!I237&lt;&gt;0,'Boletins Nuppa Site'!I237,"NULL")</f>
        <v>42</v>
      </c>
      <c r="G237" s="19">
        <f>IF('Boletins Nuppa Site'!J237&lt;&gt;0,'Boletins Nuppa Site'!J237,"NULL")</f>
        <v>38</v>
      </c>
      <c r="H237" s="19">
        <f>IF('Boletins Nuppa Site'!K237&lt;&gt;0,'Boletins Nuppa Site'!K237,"NULL")</f>
        <v>36</v>
      </c>
      <c r="J237" s="1" t="str">
        <f t="shared" si="3"/>
        <v>INSERT INTO COTACAO (blt_id, pap_id, cot_prc_comum, cot_prc_min, cot_prc_max, cot_prc_med, cot_prc_mediana) VALUES (7, 3, 36, 36, 42, 38, 36);</v>
      </c>
    </row>
    <row r="238" spans="1:10" x14ac:dyDescent="0.3">
      <c r="A238" s="1">
        <v>237</v>
      </c>
      <c r="B238" s="1">
        <v>7</v>
      </c>
      <c r="C238" s="1">
        <v>4</v>
      </c>
      <c r="D238" s="19">
        <f>IF('Boletins Nuppa Site'!G238&lt;&gt;0,'Boletins Nuppa Site'!G238,"NULL")</f>
        <v>24</v>
      </c>
      <c r="E238" s="19">
        <f>IF('Boletins Nuppa Site'!H238&lt;&gt;0,'Boletins Nuppa Site'!H238,"NULL")</f>
        <v>18</v>
      </c>
      <c r="F238" s="19">
        <f>IF('Boletins Nuppa Site'!I238&lt;&gt;0,'Boletins Nuppa Site'!I238,"NULL")</f>
        <v>24</v>
      </c>
      <c r="G238" s="1" t="str">
        <f>IF('Boletins Nuppa Site'!J238&lt;&gt;0,'Boletins Nuppa Site'!J238,"NULL")</f>
        <v>22.5</v>
      </c>
      <c r="H238" s="19">
        <f>IF('Boletins Nuppa Site'!K238&lt;&gt;0,'Boletins Nuppa Site'!K238,"NULL")</f>
        <v>24</v>
      </c>
      <c r="J238" s="1" t="str">
        <f t="shared" si="3"/>
        <v>INSERT INTO COTACAO (blt_id, pap_id, cot_prc_comum, cot_prc_min, cot_prc_max, cot_prc_med, cot_prc_mediana) VALUES (7, 4, 24, 18, 24, 22.5, 24);</v>
      </c>
    </row>
    <row r="239" spans="1:10" x14ac:dyDescent="0.3">
      <c r="A239" s="1">
        <v>238</v>
      </c>
      <c r="B239" s="1">
        <v>7</v>
      </c>
      <c r="C239" s="1">
        <v>5</v>
      </c>
      <c r="D239" s="19">
        <f>IF('Boletins Nuppa Site'!G239&lt;&gt;0,'Boletins Nuppa Site'!G239,"NULL")</f>
        <v>24</v>
      </c>
      <c r="E239" s="19">
        <f>IF('Boletins Nuppa Site'!H239&lt;&gt;0,'Boletins Nuppa Site'!H239,"NULL")</f>
        <v>18</v>
      </c>
      <c r="F239" s="19">
        <f>IF('Boletins Nuppa Site'!I239&lt;&gt;0,'Boletins Nuppa Site'!I239,"NULL")</f>
        <v>24</v>
      </c>
      <c r="G239" s="19">
        <f>IF('Boletins Nuppa Site'!J239&lt;&gt;0,'Boletins Nuppa Site'!J239,"NULL")</f>
        <v>21</v>
      </c>
      <c r="H239" s="19">
        <f>IF('Boletins Nuppa Site'!K239&lt;&gt;0,'Boletins Nuppa Site'!K239,"NULL")</f>
        <v>21</v>
      </c>
      <c r="J239" s="1" t="str">
        <f t="shared" si="3"/>
        <v>INSERT INTO COTACAO (blt_id, pap_id, cot_prc_comum, cot_prc_min, cot_prc_max, cot_prc_med, cot_prc_mediana) VALUES (7, 5, 24, 18, 24, 21, 21);</v>
      </c>
    </row>
    <row r="240" spans="1:10" x14ac:dyDescent="0.3">
      <c r="A240" s="1">
        <v>239</v>
      </c>
      <c r="B240" s="1">
        <v>7</v>
      </c>
      <c r="C240" s="1">
        <v>6</v>
      </c>
      <c r="D240" s="1" t="str">
        <f>IF('Boletins Nuppa Site'!G240&lt;&gt;0,'Boletins Nuppa Site'!G240,"NULL")</f>
        <v>NULL</v>
      </c>
      <c r="E240" s="19">
        <f>IF('Boletins Nuppa Site'!H240&lt;&gt;0,'Boletins Nuppa Site'!H240,"NULL")</f>
        <v>42</v>
      </c>
      <c r="F240" s="19">
        <f>IF('Boletins Nuppa Site'!I240&lt;&gt;0,'Boletins Nuppa Site'!I240,"NULL")</f>
        <v>48</v>
      </c>
      <c r="G240" s="19">
        <f>IF('Boletins Nuppa Site'!J240&lt;&gt;0,'Boletins Nuppa Site'!J240,"NULL")</f>
        <v>45</v>
      </c>
      <c r="H240" s="19">
        <f>IF('Boletins Nuppa Site'!K240&lt;&gt;0,'Boletins Nuppa Site'!K240,"NULL")</f>
        <v>45</v>
      </c>
      <c r="J240" s="1" t="str">
        <f t="shared" si="3"/>
        <v>INSERT INTO COTACAO (blt_id, pap_id, cot_prc_comum, cot_prc_min, cot_prc_max, cot_prc_med, cot_prc_mediana) VALUES (7, 6, NULL, 42, 48, 45, 45);</v>
      </c>
    </row>
    <row r="241" spans="1:10" x14ac:dyDescent="0.3">
      <c r="A241" s="1">
        <v>240</v>
      </c>
      <c r="B241" s="1">
        <v>7</v>
      </c>
      <c r="C241" s="1">
        <v>7</v>
      </c>
      <c r="D241" s="19">
        <f>IF('Boletins Nuppa Site'!G241&lt;&gt;0,'Boletins Nuppa Site'!G241,"NULL")</f>
        <v>60</v>
      </c>
      <c r="E241" s="19">
        <f>IF('Boletins Nuppa Site'!H241&lt;&gt;0,'Boletins Nuppa Site'!H241,"NULL")</f>
        <v>60</v>
      </c>
      <c r="F241" s="19">
        <f>IF('Boletins Nuppa Site'!I241&lt;&gt;0,'Boletins Nuppa Site'!I241,"NULL")</f>
        <v>60</v>
      </c>
      <c r="G241" s="19">
        <f>IF('Boletins Nuppa Site'!J241&lt;&gt;0,'Boletins Nuppa Site'!J241,"NULL")</f>
        <v>60</v>
      </c>
      <c r="H241" s="19">
        <f>IF('Boletins Nuppa Site'!K241&lt;&gt;0,'Boletins Nuppa Site'!K241,"NULL")</f>
        <v>60</v>
      </c>
      <c r="J241" s="1" t="str">
        <f t="shared" si="3"/>
        <v>INSERT INTO COTACAO (blt_id, pap_id, cot_prc_comum, cot_prc_min, cot_prc_max, cot_prc_med, cot_prc_mediana) VALUES (7, 7, 60, 60, 60, 60, 60);</v>
      </c>
    </row>
    <row r="242" spans="1:10" x14ac:dyDescent="0.3">
      <c r="A242" s="1">
        <v>241</v>
      </c>
      <c r="B242" s="1">
        <v>7</v>
      </c>
      <c r="C242" s="1">
        <v>8</v>
      </c>
      <c r="D242" s="19">
        <f>IF('Boletins Nuppa Site'!G242&lt;&gt;0,'Boletins Nuppa Site'!G242,"NULL")</f>
        <v>60</v>
      </c>
      <c r="E242" s="19">
        <f>IF('Boletins Nuppa Site'!H242&lt;&gt;0,'Boletins Nuppa Site'!H242,"NULL")</f>
        <v>60</v>
      </c>
      <c r="F242" s="19">
        <f>IF('Boletins Nuppa Site'!I242&lt;&gt;0,'Boletins Nuppa Site'!I242,"NULL")</f>
        <v>72</v>
      </c>
      <c r="G242" s="19">
        <f>IF('Boletins Nuppa Site'!J242&lt;&gt;0,'Boletins Nuppa Site'!J242,"NULL")</f>
        <v>64</v>
      </c>
      <c r="H242" s="19">
        <f>IF('Boletins Nuppa Site'!K242&lt;&gt;0,'Boletins Nuppa Site'!K242,"NULL")</f>
        <v>60</v>
      </c>
      <c r="J242" s="1" t="str">
        <f t="shared" si="3"/>
        <v>INSERT INTO COTACAO (blt_id, pap_id, cot_prc_comum, cot_prc_min, cot_prc_max, cot_prc_med, cot_prc_mediana) VALUES (7, 8, 60, 60, 72, 64, 60);</v>
      </c>
    </row>
    <row r="243" spans="1:10" x14ac:dyDescent="0.3">
      <c r="A243" s="1">
        <v>242</v>
      </c>
      <c r="B243" s="1">
        <v>7</v>
      </c>
      <c r="C243" s="1">
        <v>9</v>
      </c>
      <c r="D243" s="19">
        <f>IF('Boletins Nuppa Site'!G243&lt;&gt;0,'Boletins Nuppa Site'!G243,"NULL")</f>
        <v>15</v>
      </c>
      <c r="E243" s="19">
        <f>IF('Boletins Nuppa Site'!H243&lt;&gt;0,'Boletins Nuppa Site'!H243,"NULL")</f>
        <v>15</v>
      </c>
      <c r="F243" s="19">
        <f>IF('Boletins Nuppa Site'!I243&lt;&gt;0,'Boletins Nuppa Site'!I243,"NULL")</f>
        <v>24</v>
      </c>
      <c r="G243" s="19">
        <f>IF('Boletins Nuppa Site'!J243&lt;&gt;0,'Boletins Nuppa Site'!J243,"NULL")</f>
        <v>18</v>
      </c>
      <c r="H243" s="19">
        <f>IF('Boletins Nuppa Site'!K243&lt;&gt;0,'Boletins Nuppa Site'!K243,"NULL")</f>
        <v>15</v>
      </c>
      <c r="J243" s="1" t="str">
        <f t="shared" si="3"/>
        <v>INSERT INTO COTACAO (blt_id, pap_id, cot_prc_comum, cot_prc_min, cot_prc_max, cot_prc_med, cot_prc_mediana) VALUES (7, 9, 15, 15, 24, 18, 15);</v>
      </c>
    </row>
    <row r="244" spans="1:10" x14ac:dyDescent="0.3">
      <c r="A244" s="1">
        <v>243</v>
      </c>
      <c r="B244" s="1">
        <v>7</v>
      </c>
      <c r="C244" s="1">
        <v>10</v>
      </c>
      <c r="D244" s="19">
        <f>IF('Boletins Nuppa Site'!G244&lt;&gt;0,'Boletins Nuppa Site'!G244,"NULL")</f>
        <v>60</v>
      </c>
      <c r="E244" s="19">
        <f>IF('Boletins Nuppa Site'!H244&lt;&gt;0,'Boletins Nuppa Site'!H244,"NULL")</f>
        <v>60</v>
      </c>
      <c r="F244" s="19">
        <f>IF('Boletins Nuppa Site'!I244&lt;&gt;0,'Boletins Nuppa Site'!I244,"NULL")</f>
        <v>60</v>
      </c>
      <c r="G244" s="19">
        <f>IF('Boletins Nuppa Site'!J244&lt;&gt;0,'Boletins Nuppa Site'!J244,"NULL")</f>
        <v>60</v>
      </c>
      <c r="H244" s="19">
        <f>IF('Boletins Nuppa Site'!K244&lt;&gt;0,'Boletins Nuppa Site'!K244,"NULL")</f>
        <v>60</v>
      </c>
      <c r="J244" s="1" t="str">
        <f t="shared" si="3"/>
        <v>INSERT INTO COTACAO (blt_id, pap_id, cot_prc_comum, cot_prc_min, cot_prc_max, cot_prc_med, cot_prc_mediana) VALUES (7, 10, 60, 60, 60, 60, 60);</v>
      </c>
    </row>
    <row r="245" spans="1:10" x14ac:dyDescent="0.3">
      <c r="A245" s="1">
        <v>244</v>
      </c>
      <c r="B245" s="1">
        <v>7</v>
      </c>
      <c r="C245" s="1">
        <v>11</v>
      </c>
      <c r="D245" s="19">
        <f>IF('Boletins Nuppa Site'!G245&lt;&gt;0,'Boletins Nuppa Site'!G245,"NULL")</f>
        <v>24</v>
      </c>
      <c r="E245" s="19">
        <f>IF('Boletins Nuppa Site'!H245&lt;&gt;0,'Boletins Nuppa Site'!H245,"NULL")</f>
        <v>24</v>
      </c>
      <c r="F245" s="19">
        <f>IF('Boletins Nuppa Site'!I245&lt;&gt;0,'Boletins Nuppa Site'!I245,"NULL")</f>
        <v>24</v>
      </c>
      <c r="G245" s="19">
        <f>IF('Boletins Nuppa Site'!J245&lt;&gt;0,'Boletins Nuppa Site'!J245,"NULL")</f>
        <v>24</v>
      </c>
      <c r="H245" s="19">
        <f>IF('Boletins Nuppa Site'!K245&lt;&gt;0,'Boletins Nuppa Site'!K245,"NULL")</f>
        <v>24</v>
      </c>
      <c r="J245" s="1" t="str">
        <f t="shared" si="3"/>
        <v>INSERT INTO COTACAO (blt_id, pap_id, cot_prc_comum, cot_prc_min, cot_prc_max, cot_prc_med, cot_prc_mediana) VALUES (7, 11, 24, 24, 24, 24, 24);</v>
      </c>
    </row>
    <row r="246" spans="1:10" x14ac:dyDescent="0.3">
      <c r="A246" s="1">
        <v>245</v>
      </c>
      <c r="B246" s="1">
        <v>7</v>
      </c>
      <c r="C246" s="1">
        <v>12</v>
      </c>
      <c r="D246" s="19">
        <f>IF('Boletins Nuppa Site'!G246&lt;&gt;0,'Boletins Nuppa Site'!G246,"NULL")</f>
        <v>42</v>
      </c>
      <c r="E246" s="19">
        <f>IF('Boletins Nuppa Site'!H246&lt;&gt;0,'Boletins Nuppa Site'!H246,"NULL")</f>
        <v>42</v>
      </c>
      <c r="F246" s="19">
        <f>IF('Boletins Nuppa Site'!I246&lt;&gt;0,'Boletins Nuppa Site'!I246,"NULL")</f>
        <v>42</v>
      </c>
      <c r="G246" s="19">
        <f>IF('Boletins Nuppa Site'!J246&lt;&gt;0,'Boletins Nuppa Site'!J246,"NULL")</f>
        <v>42</v>
      </c>
      <c r="H246" s="19">
        <f>IF('Boletins Nuppa Site'!K246&lt;&gt;0,'Boletins Nuppa Site'!K246,"NULL")</f>
        <v>42</v>
      </c>
      <c r="J246" s="1" t="str">
        <f t="shared" si="3"/>
        <v>INSERT INTO COTACAO (blt_id, pap_id, cot_prc_comum, cot_prc_min, cot_prc_max, cot_prc_med, cot_prc_mediana) VALUES (7, 12, 42, 42, 42, 42, 42);</v>
      </c>
    </row>
    <row r="247" spans="1:10" x14ac:dyDescent="0.3">
      <c r="A247" s="1">
        <v>246</v>
      </c>
      <c r="B247" s="1">
        <v>7</v>
      </c>
      <c r="C247" s="1">
        <v>13</v>
      </c>
      <c r="D247" s="1" t="str">
        <f>IF('Boletins Nuppa Site'!G247&lt;&gt;0,'Boletins Nuppa Site'!G247,"NULL")</f>
        <v>NULL</v>
      </c>
      <c r="E247" s="19">
        <f>IF('Boletins Nuppa Site'!H247&lt;&gt;0,'Boletins Nuppa Site'!H247,"NULL")</f>
        <v>42</v>
      </c>
      <c r="F247" s="19">
        <f>IF('Boletins Nuppa Site'!I247&lt;&gt;0,'Boletins Nuppa Site'!I247,"NULL")</f>
        <v>60</v>
      </c>
      <c r="G247" s="19">
        <f>IF('Boletins Nuppa Site'!J247&lt;&gt;0,'Boletins Nuppa Site'!J247,"NULL")</f>
        <v>51</v>
      </c>
      <c r="H247" s="19">
        <f>IF('Boletins Nuppa Site'!K247&lt;&gt;0,'Boletins Nuppa Site'!K247,"NULL")</f>
        <v>51</v>
      </c>
      <c r="J247" s="1" t="str">
        <f t="shared" si="3"/>
        <v>INSERT INTO COTACAO (blt_id, pap_id, cot_prc_comum, cot_prc_min, cot_prc_max, cot_prc_med, cot_prc_mediana) VALUES (7, 13, NULL, 42, 60, 51, 51);</v>
      </c>
    </row>
    <row r="248" spans="1:10" x14ac:dyDescent="0.3">
      <c r="A248" s="1">
        <v>247</v>
      </c>
      <c r="B248" s="1">
        <v>7</v>
      </c>
      <c r="C248" s="1">
        <v>14</v>
      </c>
      <c r="D248" s="19">
        <f>IF('Boletins Nuppa Site'!G248&lt;&gt;0,'Boletins Nuppa Site'!G248,"NULL")</f>
        <v>36</v>
      </c>
      <c r="E248" s="19">
        <f>IF('Boletins Nuppa Site'!H248&lt;&gt;0,'Boletins Nuppa Site'!H248,"NULL")</f>
        <v>36</v>
      </c>
      <c r="F248" s="19">
        <f>IF('Boletins Nuppa Site'!I248&lt;&gt;0,'Boletins Nuppa Site'!I248,"NULL")</f>
        <v>48</v>
      </c>
      <c r="G248" s="19">
        <f>IF('Boletins Nuppa Site'!J248&lt;&gt;0,'Boletins Nuppa Site'!J248,"NULL")</f>
        <v>40</v>
      </c>
      <c r="H248" s="19">
        <f>IF('Boletins Nuppa Site'!K248&lt;&gt;0,'Boletins Nuppa Site'!K248,"NULL")</f>
        <v>36</v>
      </c>
      <c r="J248" s="1" t="str">
        <f t="shared" si="3"/>
        <v>INSERT INTO COTACAO (blt_id, pap_id, cot_prc_comum, cot_prc_min, cot_prc_max, cot_prc_med, cot_prc_mediana) VALUES (7, 14, 36, 36, 48, 40, 36);</v>
      </c>
    </row>
    <row r="249" spans="1:10" x14ac:dyDescent="0.3">
      <c r="A249" s="1">
        <v>248</v>
      </c>
      <c r="B249" s="1">
        <v>7</v>
      </c>
      <c r="C249" s="1">
        <v>15</v>
      </c>
      <c r="D249" s="19">
        <f>IF('Boletins Nuppa Site'!G249&lt;&gt;0,'Boletins Nuppa Site'!G249,"NULL")</f>
        <v>24</v>
      </c>
      <c r="E249" s="19">
        <f>IF('Boletins Nuppa Site'!H249&lt;&gt;0,'Boletins Nuppa Site'!H249,"NULL")</f>
        <v>18</v>
      </c>
      <c r="F249" s="19">
        <f>IF('Boletins Nuppa Site'!I249&lt;&gt;0,'Boletins Nuppa Site'!I249,"NULL")</f>
        <v>30</v>
      </c>
      <c r="G249" s="19">
        <f>IF('Boletins Nuppa Site'!J249&lt;&gt;0,'Boletins Nuppa Site'!J249,"NULL")</f>
        <v>24</v>
      </c>
      <c r="H249" s="19">
        <f>IF('Boletins Nuppa Site'!K249&lt;&gt;0,'Boletins Nuppa Site'!K249,"NULL")</f>
        <v>24</v>
      </c>
      <c r="J249" s="1" t="str">
        <f t="shared" si="3"/>
        <v>INSERT INTO COTACAO (blt_id, pap_id, cot_prc_comum, cot_prc_min, cot_prc_max, cot_prc_med, cot_prc_mediana) VALUES (7, 15, 24, 18, 30, 24, 24);</v>
      </c>
    </row>
    <row r="250" spans="1:10" x14ac:dyDescent="0.3">
      <c r="A250" s="1">
        <v>249</v>
      </c>
      <c r="B250" s="1">
        <v>7</v>
      </c>
      <c r="C250" s="1">
        <v>16</v>
      </c>
      <c r="D250" s="19">
        <f>IF('Boletins Nuppa Site'!G250&lt;&gt;0,'Boletins Nuppa Site'!G250,"NULL")</f>
        <v>42</v>
      </c>
      <c r="E250" s="19">
        <f>IF('Boletins Nuppa Site'!H250&lt;&gt;0,'Boletins Nuppa Site'!H250,"NULL")</f>
        <v>36</v>
      </c>
      <c r="F250" s="19">
        <f>IF('Boletins Nuppa Site'!I250&lt;&gt;0,'Boletins Nuppa Site'!I250,"NULL")</f>
        <v>42</v>
      </c>
      <c r="G250" s="19">
        <f>IF('Boletins Nuppa Site'!J250&lt;&gt;0,'Boletins Nuppa Site'!J250,"NULL")</f>
        <v>39</v>
      </c>
      <c r="H250" s="19">
        <f>IF('Boletins Nuppa Site'!K250&lt;&gt;0,'Boletins Nuppa Site'!K250,"NULL")</f>
        <v>39</v>
      </c>
      <c r="J250" s="1" t="str">
        <f t="shared" si="3"/>
        <v>INSERT INTO COTACAO (blt_id, pap_id, cot_prc_comum, cot_prc_min, cot_prc_max, cot_prc_med, cot_prc_mediana) VALUES (7, 16, 42, 36, 42, 39, 39);</v>
      </c>
    </row>
    <row r="251" spans="1:10" x14ac:dyDescent="0.3">
      <c r="A251" s="1">
        <v>250</v>
      </c>
      <c r="B251" s="1">
        <v>7</v>
      </c>
      <c r="C251" s="1">
        <v>17</v>
      </c>
      <c r="D251" s="19">
        <f>IF('Boletins Nuppa Site'!G251&lt;&gt;0,'Boletins Nuppa Site'!G251,"NULL")</f>
        <v>5</v>
      </c>
      <c r="E251" s="1" t="str">
        <f>IF('Boletins Nuppa Site'!H251&lt;&gt;0,'Boletins Nuppa Site'!H251,"NULL")</f>
        <v>3.5</v>
      </c>
      <c r="F251" s="19">
        <f>IF('Boletins Nuppa Site'!I251&lt;&gt;0,'Boletins Nuppa Site'!I251,"NULL")</f>
        <v>5</v>
      </c>
      <c r="G251" s="1" t="str">
        <f>IF('Boletins Nuppa Site'!J251&lt;&gt;0,'Boletins Nuppa Site'!J251,"NULL")</f>
        <v>4.38</v>
      </c>
      <c r="H251" s="1" t="str">
        <f>IF('Boletins Nuppa Site'!K251&lt;&gt;0,'Boletins Nuppa Site'!K251,"NULL")</f>
        <v>4.5</v>
      </c>
      <c r="J251" s="1" t="str">
        <f t="shared" si="3"/>
        <v>INSERT INTO COTACAO (blt_id, pap_id, cot_prc_comum, cot_prc_min, cot_prc_max, cot_prc_med, cot_prc_mediana) VALUES (7, 17, 5, 3.5, 5, 4.38, 4.5);</v>
      </c>
    </row>
    <row r="252" spans="1:10" x14ac:dyDescent="0.3">
      <c r="A252" s="1">
        <v>251</v>
      </c>
      <c r="B252" s="1">
        <v>7</v>
      </c>
      <c r="C252" s="1">
        <v>18</v>
      </c>
      <c r="D252" s="1" t="str">
        <f>IF('Boletins Nuppa Site'!G252&lt;&gt;0,'Boletins Nuppa Site'!G252,"NULL")</f>
        <v>NULL</v>
      </c>
      <c r="E252" s="19">
        <f>IF('Boletins Nuppa Site'!H252&lt;&gt;0,'Boletins Nuppa Site'!H252,"NULL")</f>
        <v>18</v>
      </c>
      <c r="F252" s="19">
        <f>IF('Boletins Nuppa Site'!I252&lt;&gt;0,'Boletins Nuppa Site'!I252,"NULL")</f>
        <v>25</v>
      </c>
      <c r="G252" s="19">
        <f>IF('Boletins Nuppa Site'!J252&lt;&gt;0,'Boletins Nuppa Site'!J252,"NULL")</f>
        <v>21</v>
      </c>
      <c r="H252" s="19">
        <f>IF('Boletins Nuppa Site'!K252&lt;&gt;0,'Boletins Nuppa Site'!K252,"NULL")</f>
        <v>20</v>
      </c>
      <c r="J252" s="1" t="str">
        <f t="shared" si="3"/>
        <v>INSERT INTO COTACAO (blt_id, pap_id, cot_prc_comum, cot_prc_min, cot_prc_max, cot_prc_med, cot_prc_mediana) VALUES (7, 18, NULL, 18, 25, 21, 20);</v>
      </c>
    </row>
    <row r="253" spans="1:10" x14ac:dyDescent="0.3">
      <c r="A253" s="1">
        <v>252</v>
      </c>
      <c r="B253" s="1">
        <v>7</v>
      </c>
      <c r="C253" s="1">
        <v>19</v>
      </c>
      <c r="D253" s="19">
        <f>IF('Boletins Nuppa Site'!G253&lt;&gt;0,'Boletins Nuppa Site'!G253,"NULL")</f>
        <v>25</v>
      </c>
      <c r="E253" s="19">
        <f>IF('Boletins Nuppa Site'!H253&lt;&gt;0,'Boletins Nuppa Site'!H253,"NULL")</f>
        <v>25</v>
      </c>
      <c r="F253" s="19">
        <f>IF('Boletins Nuppa Site'!I253&lt;&gt;0,'Boletins Nuppa Site'!I253,"NULL")</f>
        <v>30</v>
      </c>
      <c r="G253" s="1" t="str">
        <f>IF('Boletins Nuppa Site'!J253&lt;&gt;0,'Boletins Nuppa Site'!J253,"NULL")</f>
        <v>26.67</v>
      </c>
      <c r="H253" s="19">
        <f>IF('Boletins Nuppa Site'!K253&lt;&gt;0,'Boletins Nuppa Site'!K253,"NULL")</f>
        <v>25</v>
      </c>
      <c r="J253" s="1" t="str">
        <f t="shared" si="3"/>
        <v>INSERT INTO COTACAO (blt_id, pap_id, cot_prc_comum, cot_prc_min, cot_prc_max, cot_prc_med, cot_prc_mediana) VALUES (7, 19, 25, 25, 30, 26.67, 25);</v>
      </c>
    </row>
    <row r="254" spans="1:10" x14ac:dyDescent="0.3">
      <c r="A254" s="1">
        <v>253</v>
      </c>
      <c r="B254" s="1">
        <v>7</v>
      </c>
      <c r="C254" s="1">
        <v>21</v>
      </c>
      <c r="D254" s="19">
        <f>IF('Boletins Nuppa Site'!G254&lt;&gt;0,'Boletins Nuppa Site'!G254,"NULL")</f>
        <v>60</v>
      </c>
      <c r="E254" s="19">
        <f>IF('Boletins Nuppa Site'!H254&lt;&gt;0,'Boletins Nuppa Site'!H254,"NULL")</f>
        <v>40</v>
      </c>
      <c r="F254" s="19">
        <f>IF('Boletins Nuppa Site'!I254&lt;&gt;0,'Boletins Nuppa Site'!I254,"NULL")</f>
        <v>60</v>
      </c>
      <c r="G254" s="1" t="str">
        <f>IF('Boletins Nuppa Site'!J254&lt;&gt;0,'Boletins Nuppa Site'!J254,"NULL")</f>
        <v>52.5</v>
      </c>
      <c r="H254" s="19">
        <f>IF('Boletins Nuppa Site'!K254&lt;&gt;0,'Boletins Nuppa Site'!K254,"NULL")</f>
        <v>55</v>
      </c>
      <c r="J254" s="1" t="str">
        <f t="shared" si="3"/>
        <v>INSERT INTO COTACAO (blt_id, pap_id, cot_prc_comum, cot_prc_min, cot_prc_max, cot_prc_med, cot_prc_mediana) VALUES (7, 21, 60, 40, 60, 52.5, 55);</v>
      </c>
    </row>
    <row r="255" spans="1:10" x14ac:dyDescent="0.3">
      <c r="A255" s="1">
        <v>254</v>
      </c>
      <c r="B255" s="1">
        <v>7</v>
      </c>
      <c r="C255" s="1">
        <v>22</v>
      </c>
      <c r="D255" s="19">
        <f>IF('Boletins Nuppa Site'!G255&lt;&gt;0,'Boletins Nuppa Site'!G255,"NULL")</f>
        <v>50</v>
      </c>
      <c r="E255" s="19">
        <f>IF('Boletins Nuppa Site'!H255&lt;&gt;0,'Boletins Nuppa Site'!H255,"NULL")</f>
        <v>45</v>
      </c>
      <c r="F255" s="19">
        <f>IF('Boletins Nuppa Site'!I255&lt;&gt;0,'Boletins Nuppa Site'!I255,"NULL")</f>
        <v>50</v>
      </c>
      <c r="G255" s="1" t="str">
        <f>IF('Boletins Nuppa Site'!J255&lt;&gt;0,'Boletins Nuppa Site'!J255,"NULL")</f>
        <v>48.75</v>
      </c>
      <c r="H255" s="19">
        <f>IF('Boletins Nuppa Site'!K255&lt;&gt;0,'Boletins Nuppa Site'!K255,"NULL")</f>
        <v>50</v>
      </c>
      <c r="J255" s="1" t="str">
        <f t="shared" si="3"/>
        <v>INSERT INTO COTACAO (blt_id, pap_id, cot_prc_comum, cot_prc_min, cot_prc_max, cot_prc_med, cot_prc_mediana) VALUES (7, 22, 50, 45, 50, 48.75, 50);</v>
      </c>
    </row>
    <row r="256" spans="1:10" x14ac:dyDescent="0.3">
      <c r="A256" s="1">
        <v>255</v>
      </c>
      <c r="B256" s="1">
        <v>7</v>
      </c>
      <c r="C256" s="1">
        <v>23</v>
      </c>
      <c r="D256" s="19">
        <f>IF('Boletins Nuppa Site'!G256&lt;&gt;0,'Boletins Nuppa Site'!G256,"NULL")</f>
        <v>50</v>
      </c>
      <c r="E256" s="19">
        <f>IF('Boletins Nuppa Site'!H256&lt;&gt;0,'Boletins Nuppa Site'!H256,"NULL")</f>
        <v>35</v>
      </c>
      <c r="F256" s="19">
        <f>IF('Boletins Nuppa Site'!I256&lt;&gt;0,'Boletins Nuppa Site'!I256,"NULL")</f>
        <v>50</v>
      </c>
      <c r="G256" s="19">
        <f>IF('Boletins Nuppa Site'!J256&lt;&gt;0,'Boletins Nuppa Site'!J256,"NULL")</f>
        <v>45</v>
      </c>
      <c r="H256" s="1" t="str">
        <f>IF('Boletins Nuppa Site'!K256&lt;&gt;0,'Boletins Nuppa Site'!K256,"NULL")</f>
        <v>47.5</v>
      </c>
      <c r="J256" s="1" t="str">
        <f t="shared" si="3"/>
        <v>INSERT INTO COTACAO (blt_id, pap_id, cot_prc_comum, cot_prc_min, cot_prc_max, cot_prc_med, cot_prc_mediana) VALUES (7, 23, 50, 35, 50, 45, 47.5);</v>
      </c>
    </row>
    <row r="257" spans="1:10" x14ac:dyDescent="0.3">
      <c r="A257" s="1">
        <v>256</v>
      </c>
      <c r="B257" s="1">
        <v>7</v>
      </c>
      <c r="C257" s="1">
        <v>24</v>
      </c>
      <c r="D257" s="1" t="str">
        <f>IF('Boletins Nuppa Site'!G257&lt;&gt;0,'Boletins Nuppa Site'!G257,"NULL")</f>
        <v>NULL</v>
      </c>
      <c r="E257" s="19">
        <f>IF('Boletins Nuppa Site'!H257&lt;&gt;0,'Boletins Nuppa Site'!H257,"NULL")</f>
        <v>60</v>
      </c>
      <c r="F257" s="19">
        <f>IF('Boletins Nuppa Site'!I257&lt;&gt;0,'Boletins Nuppa Site'!I257,"NULL")</f>
        <v>60</v>
      </c>
      <c r="G257" s="19">
        <f>IF('Boletins Nuppa Site'!J257&lt;&gt;0,'Boletins Nuppa Site'!J257,"NULL")</f>
        <v>60</v>
      </c>
      <c r="H257" s="19">
        <f>IF('Boletins Nuppa Site'!K257&lt;&gt;0,'Boletins Nuppa Site'!K257,"NULL")</f>
        <v>60</v>
      </c>
      <c r="J257" s="1" t="str">
        <f t="shared" si="3"/>
        <v>INSERT INTO COTACAO (blt_id, pap_id, cot_prc_comum, cot_prc_min, cot_prc_max, cot_prc_med, cot_prc_mediana) VALUES (7, 24, NULL, 60, 60, 60, 60);</v>
      </c>
    </row>
    <row r="258" spans="1:10" x14ac:dyDescent="0.3">
      <c r="A258" s="1">
        <v>257</v>
      </c>
      <c r="B258" s="1">
        <v>7</v>
      </c>
      <c r="C258" s="1">
        <v>25</v>
      </c>
      <c r="D258" s="19">
        <f>IF('Boletins Nuppa Site'!G258&lt;&gt;0,'Boletins Nuppa Site'!G258,"NULL")</f>
        <v>60</v>
      </c>
      <c r="E258" s="19">
        <f>IF('Boletins Nuppa Site'!H258&lt;&gt;0,'Boletins Nuppa Site'!H258,"NULL")</f>
        <v>50</v>
      </c>
      <c r="F258" s="19">
        <f>IF('Boletins Nuppa Site'!I258&lt;&gt;0,'Boletins Nuppa Site'!I258,"NULL")</f>
        <v>70</v>
      </c>
      <c r="G258" s="19">
        <f>IF('Boletins Nuppa Site'!J258&lt;&gt;0,'Boletins Nuppa Site'!J258,"NULL")</f>
        <v>60</v>
      </c>
      <c r="H258" s="19">
        <f>IF('Boletins Nuppa Site'!K258&lt;&gt;0,'Boletins Nuppa Site'!K258,"NULL")</f>
        <v>60</v>
      </c>
      <c r="J258" s="1" t="str">
        <f t="shared" ref="J258:J321" si="4">"INSERT INTO COTACAO (blt_id, pap_id, cot_prc_comum, cot_prc_min, cot_prc_max, cot_prc_med, cot_prc_mediana) VALUES ("&amp;B258&amp;", "&amp;C258&amp;", "&amp;D258&amp;", "&amp;E258&amp;", "&amp;F258&amp;", "&amp;G258&amp;", "&amp;H258&amp;");"</f>
        <v>INSERT INTO COTACAO (blt_id, pap_id, cot_prc_comum, cot_prc_min, cot_prc_max, cot_prc_med, cot_prc_mediana) VALUES (7, 25, 60, 50, 70, 60, 60);</v>
      </c>
    </row>
    <row r="259" spans="1:10" x14ac:dyDescent="0.3">
      <c r="A259" s="1">
        <v>258</v>
      </c>
      <c r="B259" s="1">
        <v>7</v>
      </c>
      <c r="C259" s="1">
        <v>26</v>
      </c>
      <c r="D259" s="19">
        <f>IF('Boletins Nuppa Site'!G259&lt;&gt;0,'Boletins Nuppa Site'!G259,"NULL")</f>
        <v>60</v>
      </c>
      <c r="E259" s="19">
        <f>IF('Boletins Nuppa Site'!H259&lt;&gt;0,'Boletins Nuppa Site'!H259,"NULL")</f>
        <v>40</v>
      </c>
      <c r="F259" s="19">
        <f>IF('Boletins Nuppa Site'!I259&lt;&gt;0,'Boletins Nuppa Site'!I259,"NULL")</f>
        <v>60</v>
      </c>
      <c r="G259" s="19">
        <f>IF('Boletins Nuppa Site'!J259&lt;&gt;0,'Boletins Nuppa Site'!J259,"NULL")</f>
        <v>54</v>
      </c>
      <c r="H259" s="19">
        <f>IF('Boletins Nuppa Site'!K259&lt;&gt;0,'Boletins Nuppa Site'!K259,"NULL")</f>
        <v>60</v>
      </c>
      <c r="J259" s="1" t="str">
        <f t="shared" si="4"/>
        <v>INSERT INTO COTACAO (blt_id, pap_id, cot_prc_comum, cot_prc_min, cot_prc_max, cot_prc_med, cot_prc_mediana) VALUES (7, 26, 60, 40, 60, 54, 60);</v>
      </c>
    </row>
    <row r="260" spans="1:10" x14ac:dyDescent="0.3">
      <c r="A260" s="1">
        <v>259</v>
      </c>
      <c r="B260" s="1">
        <v>7</v>
      </c>
      <c r="C260" s="1">
        <v>27</v>
      </c>
      <c r="D260" s="19">
        <f>IF('Boletins Nuppa Site'!G260&lt;&gt;0,'Boletins Nuppa Site'!G260,"NULL")</f>
        <v>50</v>
      </c>
      <c r="E260" s="19">
        <f>IF('Boletins Nuppa Site'!H260&lt;&gt;0,'Boletins Nuppa Site'!H260,"NULL")</f>
        <v>35</v>
      </c>
      <c r="F260" s="19">
        <f>IF('Boletins Nuppa Site'!I260&lt;&gt;0,'Boletins Nuppa Site'!I260,"NULL")</f>
        <v>50</v>
      </c>
      <c r="G260" s="19">
        <f>IF('Boletins Nuppa Site'!J260&lt;&gt;0,'Boletins Nuppa Site'!J260,"NULL")</f>
        <v>46</v>
      </c>
      <c r="H260" s="19">
        <f>IF('Boletins Nuppa Site'!K260&lt;&gt;0,'Boletins Nuppa Site'!K260,"NULL")</f>
        <v>50</v>
      </c>
      <c r="J260" s="1" t="str">
        <f t="shared" si="4"/>
        <v>INSERT INTO COTACAO (blt_id, pap_id, cot_prc_comum, cot_prc_min, cot_prc_max, cot_prc_med, cot_prc_mediana) VALUES (7, 27, 50, 35, 50, 46, 50);</v>
      </c>
    </row>
    <row r="261" spans="1:10" x14ac:dyDescent="0.3">
      <c r="A261" s="1">
        <v>260</v>
      </c>
      <c r="B261" s="1">
        <v>7</v>
      </c>
      <c r="C261" s="1">
        <v>28</v>
      </c>
      <c r="D261" s="19">
        <f>IF('Boletins Nuppa Site'!G261&lt;&gt;0,'Boletins Nuppa Site'!G261,"NULL")</f>
        <v>70</v>
      </c>
      <c r="E261" s="19">
        <f>IF('Boletins Nuppa Site'!H261&lt;&gt;0,'Boletins Nuppa Site'!H261,"NULL")</f>
        <v>50</v>
      </c>
      <c r="F261" s="19">
        <f>IF('Boletins Nuppa Site'!I261&lt;&gt;0,'Boletins Nuppa Site'!I261,"NULL")</f>
        <v>70</v>
      </c>
      <c r="G261" s="1" t="str">
        <f>IF('Boletins Nuppa Site'!J261&lt;&gt;0,'Boletins Nuppa Site'!J261,"NULL")</f>
        <v>62.5</v>
      </c>
      <c r="H261" s="19">
        <f>IF('Boletins Nuppa Site'!K261&lt;&gt;0,'Boletins Nuppa Site'!K261,"NULL")</f>
        <v>65</v>
      </c>
      <c r="J261" s="1" t="str">
        <f t="shared" si="4"/>
        <v>INSERT INTO COTACAO (blt_id, pap_id, cot_prc_comum, cot_prc_min, cot_prc_max, cot_prc_med, cot_prc_mediana) VALUES (7, 28, 70, 50, 70, 62.5, 65);</v>
      </c>
    </row>
    <row r="262" spans="1:10" x14ac:dyDescent="0.3">
      <c r="A262" s="1">
        <v>261</v>
      </c>
      <c r="B262" s="1">
        <v>7</v>
      </c>
      <c r="C262" s="1">
        <v>29</v>
      </c>
      <c r="D262" s="1" t="str">
        <f>IF('Boletins Nuppa Site'!G262&lt;&gt;0,'Boletins Nuppa Site'!G262,"NULL")</f>
        <v>NULL</v>
      </c>
      <c r="E262" s="19">
        <f>IF('Boletins Nuppa Site'!H262&lt;&gt;0,'Boletins Nuppa Site'!H262,"NULL")</f>
        <v>50</v>
      </c>
      <c r="F262" s="19">
        <f>IF('Boletins Nuppa Site'!I262&lt;&gt;0,'Boletins Nuppa Site'!I262,"NULL")</f>
        <v>55</v>
      </c>
      <c r="G262" s="1" t="str">
        <f>IF('Boletins Nuppa Site'!J262&lt;&gt;0,'Boletins Nuppa Site'!J262,"NULL")</f>
        <v>52.5</v>
      </c>
      <c r="H262" s="1" t="str">
        <f>IF('Boletins Nuppa Site'!K262&lt;&gt;0,'Boletins Nuppa Site'!K262,"NULL")</f>
        <v>52.5</v>
      </c>
      <c r="J262" s="1" t="str">
        <f t="shared" si="4"/>
        <v>INSERT INTO COTACAO (blt_id, pap_id, cot_prc_comum, cot_prc_min, cot_prc_max, cot_prc_med, cot_prc_mediana) VALUES (7, 29, NULL, 50, 55, 52.5, 52.5);</v>
      </c>
    </row>
    <row r="263" spans="1:10" x14ac:dyDescent="0.3">
      <c r="A263" s="1">
        <v>262</v>
      </c>
      <c r="B263" s="1">
        <v>7</v>
      </c>
      <c r="C263" s="1">
        <v>30</v>
      </c>
      <c r="D263" s="1" t="str">
        <f>IF('Boletins Nuppa Site'!G263&lt;&gt;0,'Boletins Nuppa Site'!G263,"NULL")</f>
        <v>NULL</v>
      </c>
      <c r="E263" s="19">
        <f>IF('Boletins Nuppa Site'!H263&lt;&gt;0,'Boletins Nuppa Site'!H263,"NULL")</f>
        <v>45</v>
      </c>
      <c r="F263" s="19">
        <f>IF('Boletins Nuppa Site'!I263&lt;&gt;0,'Boletins Nuppa Site'!I263,"NULL")</f>
        <v>60</v>
      </c>
      <c r="G263" s="1" t="str">
        <f>IF('Boletins Nuppa Site'!J263&lt;&gt;0,'Boletins Nuppa Site'!J263,"NULL")</f>
        <v>51.67</v>
      </c>
      <c r="H263" s="19">
        <f>IF('Boletins Nuppa Site'!K263&lt;&gt;0,'Boletins Nuppa Site'!K263,"NULL")</f>
        <v>50</v>
      </c>
      <c r="J263" s="1" t="str">
        <f t="shared" si="4"/>
        <v>INSERT INTO COTACAO (blt_id, pap_id, cot_prc_comum, cot_prc_min, cot_prc_max, cot_prc_med, cot_prc_mediana) VALUES (7, 30, NULL, 45, 60, 51.67, 50);</v>
      </c>
    </row>
    <row r="264" spans="1:10" x14ac:dyDescent="0.3">
      <c r="A264" s="1">
        <v>263</v>
      </c>
      <c r="B264" s="1">
        <v>7</v>
      </c>
      <c r="C264" s="1">
        <v>31</v>
      </c>
      <c r="D264" s="1" t="str">
        <f>IF('Boletins Nuppa Site'!G264&lt;&gt;0,'Boletins Nuppa Site'!G264,"NULL")</f>
        <v>NULL</v>
      </c>
      <c r="E264" s="19">
        <f>IF('Boletins Nuppa Site'!H264&lt;&gt;0,'Boletins Nuppa Site'!H264,"NULL")</f>
        <v>60</v>
      </c>
      <c r="F264" s="19">
        <f>IF('Boletins Nuppa Site'!I264&lt;&gt;0,'Boletins Nuppa Site'!I264,"NULL")</f>
        <v>100</v>
      </c>
      <c r="G264" s="19">
        <f>IF('Boletins Nuppa Site'!J264&lt;&gt;0,'Boletins Nuppa Site'!J264,"NULL")</f>
        <v>81</v>
      </c>
      <c r="H264" s="19">
        <f>IF('Boletins Nuppa Site'!K264&lt;&gt;0,'Boletins Nuppa Site'!K264,"NULL")</f>
        <v>80</v>
      </c>
      <c r="J264" s="1" t="str">
        <f t="shared" si="4"/>
        <v>INSERT INTO COTACAO (blt_id, pap_id, cot_prc_comum, cot_prc_min, cot_prc_max, cot_prc_med, cot_prc_mediana) VALUES (7, 31, NULL, 60, 100, 81, 80);</v>
      </c>
    </row>
    <row r="265" spans="1:10" x14ac:dyDescent="0.3">
      <c r="A265" s="1">
        <v>264</v>
      </c>
      <c r="B265" s="1">
        <v>7</v>
      </c>
      <c r="C265" s="1">
        <v>32</v>
      </c>
      <c r="D265" s="19">
        <f>IF('Boletins Nuppa Site'!G265&lt;&gt;0,'Boletins Nuppa Site'!G265,"NULL")</f>
        <v>40</v>
      </c>
      <c r="E265" s="19">
        <f>IF('Boletins Nuppa Site'!H265&lt;&gt;0,'Boletins Nuppa Site'!H265,"NULL")</f>
        <v>35</v>
      </c>
      <c r="F265" s="19">
        <f>IF('Boletins Nuppa Site'!I265&lt;&gt;0,'Boletins Nuppa Site'!I265,"NULL")</f>
        <v>40</v>
      </c>
      <c r="G265" s="1" t="str">
        <f>IF('Boletins Nuppa Site'!J265&lt;&gt;0,'Boletins Nuppa Site'!J265,"NULL")</f>
        <v>38.75</v>
      </c>
      <c r="H265" s="19">
        <f>IF('Boletins Nuppa Site'!K265&lt;&gt;0,'Boletins Nuppa Site'!K265,"NULL")</f>
        <v>40</v>
      </c>
      <c r="J265" s="1" t="str">
        <f t="shared" si="4"/>
        <v>INSERT INTO COTACAO (blt_id, pap_id, cot_prc_comum, cot_prc_min, cot_prc_max, cot_prc_med, cot_prc_mediana) VALUES (7, 32, 40, 35, 40, 38.75, 40);</v>
      </c>
    </row>
    <row r="266" spans="1:10" x14ac:dyDescent="0.3">
      <c r="A266" s="1">
        <v>265</v>
      </c>
      <c r="B266" s="1">
        <v>7</v>
      </c>
      <c r="C266" s="1">
        <v>33</v>
      </c>
      <c r="D266" s="19">
        <f>IF('Boletins Nuppa Site'!G266&lt;&gt;0,'Boletins Nuppa Site'!G266,"NULL")</f>
        <v>70</v>
      </c>
      <c r="E266" s="19">
        <f>IF('Boletins Nuppa Site'!H266&lt;&gt;0,'Boletins Nuppa Site'!H266,"NULL")</f>
        <v>70</v>
      </c>
      <c r="F266" s="19">
        <f>IF('Boletins Nuppa Site'!I266&lt;&gt;0,'Boletins Nuppa Site'!I266,"NULL")</f>
        <v>100</v>
      </c>
      <c r="G266" s="19">
        <f>IF('Boletins Nuppa Site'!J266&lt;&gt;0,'Boletins Nuppa Site'!J266,"NULL")</f>
        <v>80</v>
      </c>
      <c r="H266" s="19">
        <f>IF('Boletins Nuppa Site'!K266&lt;&gt;0,'Boletins Nuppa Site'!K266,"NULL")</f>
        <v>75</v>
      </c>
      <c r="J266" s="1" t="str">
        <f t="shared" si="4"/>
        <v>INSERT INTO COTACAO (blt_id, pap_id, cot_prc_comum, cot_prc_min, cot_prc_max, cot_prc_med, cot_prc_mediana) VALUES (7, 33, 70, 70, 100, 80, 75);</v>
      </c>
    </row>
    <row r="267" spans="1:10" x14ac:dyDescent="0.3">
      <c r="A267" s="1">
        <v>266</v>
      </c>
      <c r="B267" s="1">
        <v>7</v>
      </c>
      <c r="C267" s="1">
        <v>34</v>
      </c>
      <c r="D267" s="19">
        <f>IF('Boletins Nuppa Site'!G267&lt;&gt;0,'Boletins Nuppa Site'!G267,"NULL")</f>
        <v>110</v>
      </c>
      <c r="E267" s="19">
        <f>IF('Boletins Nuppa Site'!H267&lt;&gt;0,'Boletins Nuppa Site'!H267,"NULL")</f>
        <v>100</v>
      </c>
      <c r="F267" s="19">
        <f>IF('Boletins Nuppa Site'!I267&lt;&gt;0,'Boletins Nuppa Site'!I267,"NULL")</f>
        <v>140</v>
      </c>
      <c r="G267" s="19">
        <f>IF('Boletins Nuppa Site'!J267&lt;&gt;0,'Boletins Nuppa Site'!J267,"NULL")</f>
        <v>115</v>
      </c>
      <c r="H267" s="19">
        <f>IF('Boletins Nuppa Site'!K267&lt;&gt;0,'Boletins Nuppa Site'!K267,"NULL")</f>
        <v>110</v>
      </c>
      <c r="J267" s="1" t="str">
        <f t="shared" si="4"/>
        <v>INSERT INTO COTACAO (blt_id, pap_id, cot_prc_comum, cot_prc_min, cot_prc_max, cot_prc_med, cot_prc_mediana) VALUES (7, 34, 110, 100, 140, 115, 110);</v>
      </c>
    </row>
    <row r="268" spans="1:10" x14ac:dyDescent="0.3">
      <c r="A268" s="1">
        <v>267</v>
      </c>
      <c r="B268" s="1">
        <v>7</v>
      </c>
      <c r="C268" s="1">
        <v>35</v>
      </c>
      <c r="D268" s="19">
        <f>IF('Boletins Nuppa Site'!G268&lt;&gt;0,'Boletins Nuppa Site'!G268,"NULL")</f>
        <v>120</v>
      </c>
      <c r="E268" s="19">
        <f>IF('Boletins Nuppa Site'!H268&lt;&gt;0,'Boletins Nuppa Site'!H268,"NULL")</f>
        <v>100</v>
      </c>
      <c r="F268" s="19">
        <f>IF('Boletins Nuppa Site'!I268&lt;&gt;0,'Boletins Nuppa Site'!I268,"NULL")</f>
        <v>130</v>
      </c>
      <c r="G268" s="1" t="str">
        <f>IF('Boletins Nuppa Site'!J268&lt;&gt;0,'Boletins Nuppa Site'!J268,"NULL")</f>
        <v>117.5</v>
      </c>
      <c r="H268" s="19">
        <f>IF('Boletins Nuppa Site'!K268&lt;&gt;0,'Boletins Nuppa Site'!K268,"NULL")</f>
        <v>120</v>
      </c>
      <c r="J268" s="1" t="str">
        <f t="shared" si="4"/>
        <v>INSERT INTO COTACAO (blt_id, pap_id, cot_prc_comum, cot_prc_min, cot_prc_max, cot_prc_med, cot_prc_mediana) VALUES (7, 35, 120, 100, 130, 117.5, 120);</v>
      </c>
    </row>
    <row r="269" spans="1:10" x14ac:dyDescent="0.3">
      <c r="A269" s="1">
        <v>268</v>
      </c>
      <c r="B269" s="1">
        <v>7</v>
      </c>
      <c r="C269" s="1">
        <v>36</v>
      </c>
      <c r="D269" s="1" t="str">
        <f>IF('Boletins Nuppa Site'!G269&lt;&gt;0,'Boletins Nuppa Site'!G269,"NULL")</f>
        <v>NULL</v>
      </c>
      <c r="E269" s="1" t="str">
        <f>IF('Boletins Nuppa Site'!H269&lt;&gt;0,'Boletins Nuppa Site'!H269,"NULL")</f>
        <v>NULL</v>
      </c>
      <c r="F269" s="1" t="str">
        <f>IF('Boletins Nuppa Site'!I269&lt;&gt;0,'Boletins Nuppa Site'!I269,"NULL")</f>
        <v>NULL</v>
      </c>
      <c r="G269" s="1" t="str">
        <f>IF('Boletins Nuppa Site'!J269&lt;&gt;0,'Boletins Nuppa Site'!J269,"NULL")</f>
        <v>NULL</v>
      </c>
      <c r="H269" s="1" t="str">
        <f>IF('Boletins Nuppa Site'!K269&lt;&gt;0,'Boletins Nuppa Site'!K269,"NULL")</f>
        <v>NULL</v>
      </c>
      <c r="J269" s="1" t="str">
        <f t="shared" si="4"/>
        <v>INSERT INTO COTACAO (blt_id, pap_id, cot_prc_comum, cot_prc_min, cot_prc_max, cot_prc_med, cot_prc_mediana) VALUES (7, 36, NULL, NULL, NULL, NULL, NULL);</v>
      </c>
    </row>
    <row r="270" spans="1:10" x14ac:dyDescent="0.3">
      <c r="A270" s="1">
        <v>269</v>
      </c>
      <c r="B270" s="1">
        <v>7</v>
      </c>
      <c r="C270" s="1">
        <v>37</v>
      </c>
      <c r="D270" s="1" t="str">
        <f>IF('Boletins Nuppa Site'!G270&lt;&gt;0,'Boletins Nuppa Site'!G270,"NULL")</f>
        <v>NULL</v>
      </c>
      <c r="E270" s="1" t="str">
        <f>IF('Boletins Nuppa Site'!H270&lt;&gt;0,'Boletins Nuppa Site'!H270,"NULL")</f>
        <v>NULL</v>
      </c>
      <c r="F270" s="1" t="str">
        <f>IF('Boletins Nuppa Site'!I270&lt;&gt;0,'Boletins Nuppa Site'!I270,"NULL")</f>
        <v>NULL</v>
      </c>
      <c r="G270" s="1" t="str">
        <f>IF('Boletins Nuppa Site'!J270&lt;&gt;0,'Boletins Nuppa Site'!J270,"NULL")</f>
        <v>NULL</v>
      </c>
      <c r="H270" s="1" t="str">
        <f>IF('Boletins Nuppa Site'!K270&lt;&gt;0,'Boletins Nuppa Site'!K270,"NULL")</f>
        <v>NULL</v>
      </c>
      <c r="J270" s="1" t="str">
        <f t="shared" si="4"/>
        <v>INSERT INTO COTACAO (blt_id, pap_id, cot_prc_comum, cot_prc_min, cot_prc_max, cot_prc_med, cot_prc_mediana) VALUES (7, 37, NULL, NULL, NULL, NULL, NULL);</v>
      </c>
    </row>
    <row r="271" spans="1:10" x14ac:dyDescent="0.3">
      <c r="A271" s="1">
        <v>270</v>
      </c>
      <c r="B271" s="1">
        <v>7</v>
      </c>
      <c r="C271" s="1">
        <v>38</v>
      </c>
      <c r="D271" s="1" t="str">
        <f>IF('Boletins Nuppa Site'!G271&lt;&gt;0,'Boletins Nuppa Site'!G271,"NULL")</f>
        <v>NULL</v>
      </c>
      <c r="E271" s="1" t="str">
        <f>IF('Boletins Nuppa Site'!H271&lt;&gt;0,'Boletins Nuppa Site'!H271,"NULL")</f>
        <v>NULL</v>
      </c>
      <c r="F271" s="1" t="str">
        <f>IF('Boletins Nuppa Site'!I271&lt;&gt;0,'Boletins Nuppa Site'!I271,"NULL")</f>
        <v>NULL</v>
      </c>
      <c r="G271" s="1" t="str">
        <f>IF('Boletins Nuppa Site'!J271&lt;&gt;0,'Boletins Nuppa Site'!J271,"NULL")</f>
        <v>NULL</v>
      </c>
      <c r="H271" s="1" t="str">
        <f>IF('Boletins Nuppa Site'!K271&lt;&gt;0,'Boletins Nuppa Site'!K271,"NULL")</f>
        <v>NULL</v>
      </c>
      <c r="J271" s="1" t="str">
        <f t="shared" si="4"/>
        <v>INSERT INTO COTACAO (blt_id, pap_id, cot_prc_comum, cot_prc_min, cot_prc_max, cot_prc_med, cot_prc_mediana) VALUES (7, 38, NULL, NULL, NULL, NULL, NULL);</v>
      </c>
    </row>
    <row r="272" spans="1:10" x14ac:dyDescent="0.3">
      <c r="A272" s="1">
        <v>271</v>
      </c>
      <c r="B272" s="1">
        <v>7</v>
      </c>
      <c r="C272" s="1">
        <v>39</v>
      </c>
      <c r="D272" s="1" t="str">
        <f>IF('Boletins Nuppa Site'!G272&lt;&gt;0,'Boletins Nuppa Site'!G272,"NULL")</f>
        <v>NULL</v>
      </c>
      <c r="E272" s="1" t="str">
        <f>IF('Boletins Nuppa Site'!H272&lt;&gt;0,'Boletins Nuppa Site'!H272,"NULL")</f>
        <v>NULL</v>
      </c>
      <c r="F272" s="1" t="str">
        <f>IF('Boletins Nuppa Site'!I272&lt;&gt;0,'Boletins Nuppa Site'!I272,"NULL")</f>
        <v>NULL</v>
      </c>
      <c r="G272" s="1" t="str">
        <f>IF('Boletins Nuppa Site'!J272&lt;&gt;0,'Boletins Nuppa Site'!J272,"NULL")</f>
        <v>NULL</v>
      </c>
      <c r="H272" s="1" t="str">
        <f>IF('Boletins Nuppa Site'!K272&lt;&gt;0,'Boletins Nuppa Site'!K272,"NULL")</f>
        <v>NULL</v>
      </c>
      <c r="J272" s="1" t="str">
        <f t="shared" si="4"/>
        <v>INSERT INTO COTACAO (blt_id, pap_id, cot_prc_comum, cot_prc_min, cot_prc_max, cot_prc_med, cot_prc_mediana) VALUES (7, 39, NULL, NULL, NULL, NULL, NULL);</v>
      </c>
    </row>
    <row r="273" spans="1:10" x14ac:dyDescent="0.3">
      <c r="A273" s="1">
        <v>272</v>
      </c>
      <c r="B273" s="1">
        <v>7</v>
      </c>
      <c r="C273" s="1">
        <v>40</v>
      </c>
      <c r="D273" s="1" t="str">
        <f>IF('Boletins Nuppa Site'!G273&lt;&gt;0,'Boletins Nuppa Site'!G273,"NULL")</f>
        <v>NULL</v>
      </c>
      <c r="E273" s="1" t="str">
        <f>IF('Boletins Nuppa Site'!H273&lt;&gt;0,'Boletins Nuppa Site'!H273,"NULL")</f>
        <v>NULL</v>
      </c>
      <c r="F273" s="1" t="str">
        <f>IF('Boletins Nuppa Site'!I273&lt;&gt;0,'Boletins Nuppa Site'!I273,"NULL")</f>
        <v>NULL</v>
      </c>
      <c r="G273" s="1" t="str">
        <f>IF('Boletins Nuppa Site'!J273&lt;&gt;0,'Boletins Nuppa Site'!J273,"NULL")</f>
        <v>NULL</v>
      </c>
      <c r="H273" s="1" t="str">
        <f>IF('Boletins Nuppa Site'!K273&lt;&gt;0,'Boletins Nuppa Site'!K273,"NULL")</f>
        <v>NULL</v>
      </c>
      <c r="J273" s="1" t="str">
        <f t="shared" si="4"/>
        <v>INSERT INTO COTACAO (blt_id, pap_id, cot_prc_comum, cot_prc_min, cot_prc_max, cot_prc_med, cot_prc_mediana) VALUES (7, 40, NULL, NULL, NULL, NULL, NULL);</v>
      </c>
    </row>
    <row r="274" spans="1:10" x14ac:dyDescent="0.3">
      <c r="A274" s="1">
        <v>273</v>
      </c>
      <c r="B274" s="1">
        <v>8</v>
      </c>
      <c r="C274" s="1">
        <v>1</v>
      </c>
      <c r="D274" s="19">
        <f>IF('Boletins Nuppa Site'!G274&lt;&gt;0,'Boletins Nuppa Site'!G274,"NULL")</f>
        <v>60</v>
      </c>
      <c r="E274" s="19">
        <f>IF('Boletins Nuppa Site'!H274&lt;&gt;0,'Boletins Nuppa Site'!H274,"NULL")</f>
        <v>48</v>
      </c>
      <c r="F274" s="19">
        <f>IF('Boletins Nuppa Site'!I274&lt;&gt;0,'Boletins Nuppa Site'!I274,"NULL")</f>
        <v>78</v>
      </c>
      <c r="G274" s="1" t="str">
        <f>IF('Boletins Nuppa Site'!J274&lt;&gt;0,'Boletins Nuppa Site'!J274,"NULL")</f>
        <v>61.5</v>
      </c>
      <c r="H274" s="19">
        <f>IF('Boletins Nuppa Site'!K274&lt;&gt;0,'Boletins Nuppa Site'!K274,"NULL")</f>
        <v>60</v>
      </c>
      <c r="J274" s="1" t="str">
        <f t="shared" si="4"/>
        <v>INSERT INTO COTACAO (blt_id, pap_id, cot_prc_comum, cot_prc_min, cot_prc_max, cot_prc_med, cot_prc_mediana) VALUES (8, 1, 60, 48, 78, 61.5, 60);</v>
      </c>
    </row>
    <row r="275" spans="1:10" x14ac:dyDescent="0.3">
      <c r="A275" s="1">
        <v>274</v>
      </c>
      <c r="B275" s="1">
        <v>8</v>
      </c>
      <c r="C275" s="1">
        <v>2</v>
      </c>
      <c r="D275" s="19">
        <f>IF('Boletins Nuppa Site'!G275&lt;&gt;0,'Boletins Nuppa Site'!G275,"NULL")</f>
        <v>84</v>
      </c>
      <c r="E275" s="19">
        <f>IF('Boletins Nuppa Site'!H275&lt;&gt;0,'Boletins Nuppa Site'!H275,"NULL")</f>
        <v>72</v>
      </c>
      <c r="F275" s="19">
        <f>IF('Boletins Nuppa Site'!I275&lt;&gt;0,'Boletins Nuppa Site'!I275,"NULL")</f>
        <v>84</v>
      </c>
      <c r="G275" s="19">
        <f>IF('Boletins Nuppa Site'!J275&lt;&gt;0,'Boletins Nuppa Site'!J275,"NULL")</f>
        <v>80</v>
      </c>
      <c r="H275" s="19">
        <f>IF('Boletins Nuppa Site'!K275&lt;&gt;0,'Boletins Nuppa Site'!K275,"NULL")</f>
        <v>84</v>
      </c>
      <c r="J275" s="1" t="str">
        <f t="shared" si="4"/>
        <v>INSERT INTO COTACAO (blt_id, pap_id, cot_prc_comum, cot_prc_min, cot_prc_max, cot_prc_med, cot_prc_mediana) VALUES (8, 2, 84, 72, 84, 80, 84);</v>
      </c>
    </row>
    <row r="276" spans="1:10" x14ac:dyDescent="0.3">
      <c r="A276" s="1">
        <v>275</v>
      </c>
      <c r="B276" s="1">
        <v>8</v>
      </c>
      <c r="C276" s="1">
        <v>3</v>
      </c>
      <c r="D276" s="1" t="str">
        <f>IF('Boletins Nuppa Site'!G276&lt;&gt;0,'Boletins Nuppa Site'!G276,"NULL")</f>
        <v>NULL</v>
      </c>
      <c r="E276" s="19">
        <f>IF('Boletins Nuppa Site'!H276&lt;&gt;0,'Boletins Nuppa Site'!H276,"NULL")</f>
        <v>45</v>
      </c>
      <c r="F276" s="19">
        <f>IF('Boletins Nuppa Site'!I276&lt;&gt;0,'Boletins Nuppa Site'!I276,"NULL")</f>
        <v>60</v>
      </c>
      <c r="G276" s="1" t="str">
        <f>IF('Boletins Nuppa Site'!J276&lt;&gt;0,'Boletins Nuppa Site'!J276,"NULL")</f>
        <v>51.75</v>
      </c>
      <c r="H276" s="19">
        <f>IF('Boletins Nuppa Site'!K276&lt;&gt;0,'Boletins Nuppa Site'!K276,"NULL")</f>
        <v>51</v>
      </c>
      <c r="J276" s="1" t="str">
        <f t="shared" si="4"/>
        <v>INSERT INTO COTACAO (blt_id, pap_id, cot_prc_comum, cot_prc_min, cot_prc_max, cot_prc_med, cot_prc_mediana) VALUES (8, 3, NULL, 45, 60, 51.75, 51);</v>
      </c>
    </row>
    <row r="277" spans="1:10" x14ac:dyDescent="0.3">
      <c r="A277" s="1">
        <v>276</v>
      </c>
      <c r="B277" s="1">
        <v>8</v>
      </c>
      <c r="C277" s="1">
        <v>4</v>
      </c>
      <c r="D277" s="1" t="str">
        <f>IF('Boletins Nuppa Site'!G277&lt;&gt;0,'Boletins Nuppa Site'!G277,"NULL")</f>
        <v>NULL</v>
      </c>
      <c r="E277" s="19">
        <f>IF('Boletins Nuppa Site'!H277&lt;&gt;0,'Boletins Nuppa Site'!H277,"NULL")</f>
        <v>30</v>
      </c>
      <c r="F277" s="19">
        <f>IF('Boletins Nuppa Site'!I277&lt;&gt;0,'Boletins Nuppa Site'!I277,"NULL")</f>
        <v>50</v>
      </c>
      <c r="G277" s="1" t="str">
        <f>IF('Boletins Nuppa Site'!J277&lt;&gt;0,'Boletins Nuppa Site'!J277,"NULL")</f>
        <v>38.6</v>
      </c>
      <c r="H277" s="19">
        <f>IF('Boletins Nuppa Site'!K277&lt;&gt;0,'Boletins Nuppa Site'!K277,"NULL")</f>
        <v>36</v>
      </c>
      <c r="J277" s="1" t="str">
        <f t="shared" si="4"/>
        <v>INSERT INTO COTACAO (blt_id, pap_id, cot_prc_comum, cot_prc_min, cot_prc_max, cot_prc_med, cot_prc_mediana) VALUES (8, 4, NULL, 30, 50, 38.6, 36);</v>
      </c>
    </row>
    <row r="278" spans="1:10" x14ac:dyDescent="0.3">
      <c r="A278" s="1">
        <v>277</v>
      </c>
      <c r="B278" s="1">
        <v>8</v>
      </c>
      <c r="C278" s="1">
        <v>5</v>
      </c>
      <c r="D278" s="1" t="str">
        <f>IF('Boletins Nuppa Site'!G278&lt;&gt;0,'Boletins Nuppa Site'!G278,"NULL")</f>
        <v>NULL</v>
      </c>
      <c r="E278" s="19">
        <f>IF('Boletins Nuppa Site'!H278&lt;&gt;0,'Boletins Nuppa Site'!H278,"NULL")</f>
        <v>30</v>
      </c>
      <c r="F278" s="19">
        <f>IF('Boletins Nuppa Site'!I278&lt;&gt;0,'Boletins Nuppa Site'!I278,"NULL")</f>
        <v>42</v>
      </c>
      <c r="G278" s="1" t="str">
        <f>IF('Boletins Nuppa Site'!J278&lt;&gt;0,'Boletins Nuppa Site'!J278,"NULL")</f>
        <v>35.75</v>
      </c>
      <c r="H278" s="1" t="str">
        <f>IF('Boletins Nuppa Site'!K278&lt;&gt;0,'Boletins Nuppa Site'!K278,"NULL")</f>
        <v>35.5</v>
      </c>
      <c r="J278" s="1" t="str">
        <f t="shared" si="4"/>
        <v>INSERT INTO COTACAO (blt_id, pap_id, cot_prc_comum, cot_prc_min, cot_prc_max, cot_prc_med, cot_prc_mediana) VALUES (8, 5, NULL, 30, 42, 35.75, 35.5);</v>
      </c>
    </row>
    <row r="279" spans="1:10" x14ac:dyDescent="0.3">
      <c r="A279" s="1">
        <v>278</v>
      </c>
      <c r="B279" s="1">
        <v>8</v>
      </c>
      <c r="C279" s="1">
        <v>6</v>
      </c>
      <c r="D279" s="19">
        <f>IF('Boletins Nuppa Site'!G279&lt;&gt;0,'Boletins Nuppa Site'!G279,"NULL")</f>
        <v>60</v>
      </c>
      <c r="E279" s="19">
        <f>IF('Boletins Nuppa Site'!H279&lt;&gt;0,'Boletins Nuppa Site'!H279,"NULL")</f>
        <v>48</v>
      </c>
      <c r="F279" s="19">
        <f>IF('Boletins Nuppa Site'!I279&lt;&gt;0,'Boletins Nuppa Site'!I279,"NULL")</f>
        <v>60</v>
      </c>
      <c r="G279" s="19">
        <f>IF('Boletins Nuppa Site'!J279&lt;&gt;0,'Boletins Nuppa Site'!J279,"NULL")</f>
        <v>56</v>
      </c>
      <c r="H279" s="19">
        <f>IF('Boletins Nuppa Site'!K279&lt;&gt;0,'Boletins Nuppa Site'!K279,"NULL")</f>
        <v>60</v>
      </c>
      <c r="J279" s="1" t="str">
        <f t="shared" si="4"/>
        <v>INSERT INTO COTACAO (blt_id, pap_id, cot_prc_comum, cot_prc_min, cot_prc_max, cot_prc_med, cot_prc_mediana) VALUES (8, 6, 60, 48, 60, 56, 60);</v>
      </c>
    </row>
    <row r="280" spans="1:10" x14ac:dyDescent="0.3">
      <c r="A280" s="1">
        <v>279</v>
      </c>
      <c r="B280" s="1">
        <v>8</v>
      </c>
      <c r="C280" s="1">
        <v>7</v>
      </c>
      <c r="D280" s="19">
        <f>IF('Boletins Nuppa Site'!G280&lt;&gt;0,'Boletins Nuppa Site'!G280,"NULL")</f>
        <v>72</v>
      </c>
      <c r="E280" s="19">
        <f>IF('Boletins Nuppa Site'!H280&lt;&gt;0,'Boletins Nuppa Site'!H280,"NULL")</f>
        <v>60</v>
      </c>
      <c r="F280" s="19">
        <f>IF('Boletins Nuppa Site'!I280&lt;&gt;0,'Boletins Nuppa Site'!I280,"NULL")</f>
        <v>84</v>
      </c>
      <c r="G280" s="19">
        <f>IF('Boletins Nuppa Site'!J280&lt;&gt;0,'Boletins Nuppa Site'!J280,"NULL")</f>
        <v>72</v>
      </c>
      <c r="H280" s="19">
        <f>IF('Boletins Nuppa Site'!K280&lt;&gt;0,'Boletins Nuppa Site'!K280,"NULL")</f>
        <v>72</v>
      </c>
      <c r="J280" s="1" t="str">
        <f t="shared" si="4"/>
        <v>INSERT INTO COTACAO (blt_id, pap_id, cot_prc_comum, cot_prc_min, cot_prc_max, cot_prc_med, cot_prc_mediana) VALUES (8, 7, 72, 60, 84, 72, 72);</v>
      </c>
    </row>
    <row r="281" spans="1:10" x14ac:dyDescent="0.3">
      <c r="A281" s="1">
        <v>280</v>
      </c>
      <c r="B281" s="1">
        <v>8</v>
      </c>
      <c r="C281" s="1">
        <v>8</v>
      </c>
      <c r="D281" s="19">
        <f>IF('Boletins Nuppa Site'!G281&lt;&gt;0,'Boletins Nuppa Site'!G281,"NULL")</f>
        <v>84</v>
      </c>
      <c r="E281" s="19">
        <f>IF('Boletins Nuppa Site'!H281&lt;&gt;0,'Boletins Nuppa Site'!H281,"NULL")</f>
        <v>72</v>
      </c>
      <c r="F281" s="19">
        <f>IF('Boletins Nuppa Site'!I281&lt;&gt;0,'Boletins Nuppa Site'!I281,"NULL")</f>
        <v>96</v>
      </c>
      <c r="G281" s="19">
        <f>IF('Boletins Nuppa Site'!J281&lt;&gt;0,'Boletins Nuppa Site'!J281,"NULL")</f>
        <v>84</v>
      </c>
      <c r="H281" s="19">
        <f>IF('Boletins Nuppa Site'!K281&lt;&gt;0,'Boletins Nuppa Site'!K281,"NULL")</f>
        <v>84</v>
      </c>
      <c r="J281" s="1" t="str">
        <f t="shared" si="4"/>
        <v>INSERT INTO COTACAO (blt_id, pap_id, cot_prc_comum, cot_prc_min, cot_prc_max, cot_prc_med, cot_prc_mediana) VALUES (8, 8, 84, 72, 96, 84, 84);</v>
      </c>
    </row>
    <row r="282" spans="1:10" x14ac:dyDescent="0.3">
      <c r="A282" s="1">
        <v>281</v>
      </c>
      <c r="B282" s="1">
        <v>8</v>
      </c>
      <c r="C282" s="1">
        <v>9</v>
      </c>
      <c r="D282" s="19">
        <f>IF('Boletins Nuppa Site'!G282&lt;&gt;0,'Boletins Nuppa Site'!G282,"NULL")</f>
        <v>25</v>
      </c>
      <c r="E282" s="19">
        <f>IF('Boletins Nuppa Site'!H282&lt;&gt;0,'Boletins Nuppa Site'!H282,"NULL")</f>
        <v>24</v>
      </c>
      <c r="F282" s="19">
        <f>IF('Boletins Nuppa Site'!I282&lt;&gt;0,'Boletins Nuppa Site'!I282,"NULL")</f>
        <v>30</v>
      </c>
      <c r="G282" s="19">
        <f>IF('Boletins Nuppa Site'!J282&lt;&gt;0,'Boletins Nuppa Site'!J282,"NULL")</f>
        <v>26</v>
      </c>
      <c r="H282" s="19">
        <f>IF('Boletins Nuppa Site'!K282&lt;&gt;0,'Boletins Nuppa Site'!K282,"NULL")</f>
        <v>25</v>
      </c>
      <c r="J282" s="1" t="str">
        <f t="shared" si="4"/>
        <v>INSERT INTO COTACAO (blt_id, pap_id, cot_prc_comum, cot_prc_min, cot_prc_max, cot_prc_med, cot_prc_mediana) VALUES (8, 9, 25, 24, 30, 26, 25);</v>
      </c>
    </row>
    <row r="283" spans="1:10" x14ac:dyDescent="0.3">
      <c r="A283" s="1">
        <v>282</v>
      </c>
      <c r="B283" s="1">
        <v>8</v>
      </c>
      <c r="C283" s="1">
        <v>10</v>
      </c>
      <c r="D283" s="19">
        <f>IF('Boletins Nuppa Site'!G283&lt;&gt;0,'Boletins Nuppa Site'!G283,"NULL")</f>
        <v>84</v>
      </c>
      <c r="E283" s="19">
        <f>IF('Boletins Nuppa Site'!H283&lt;&gt;0,'Boletins Nuppa Site'!H283,"NULL")</f>
        <v>84</v>
      </c>
      <c r="F283" s="19">
        <f>IF('Boletins Nuppa Site'!I283&lt;&gt;0,'Boletins Nuppa Site'!I283,"NULL")</f>
        <v>108</v>
      </c>
      <c r="G283" s="1" t="str">
        <f>IF('Boletins Nuppa Site'!J283&lt;&gt;0,'Boletins Nuppa Site'!J283,"NULL")</f>
        <v>93.6</v>
      </c>
      <c r="H283" s="19">
        <f>IF('Boletins Nuppa Site'!K283&lt;&gt;0,'Boletins Nuppa Site'!K283,"NULL")</f>
        <v>96</v>
      </c>
      <c r="J283" s="1" t="str">
        <f t="shared" si="4"/>
        <v>INSERT INTO COTACAO (blt_id, pap_id, cot_prc_comum, cot_prc_min, cot_prc_max, cot_prc_med, cot_prc_mediana) VALUES (8, 10, 84, 84, 108, 93.6, 96);</v>
      </c>
    </row>
    <row r="284" spans="1:10" x14ac:dyDescent="0.3">
      <c r="A284" s="1">
        <v>283</v>
      </c>
      <c r="B284" s="1">
        <v>8</v>
      </c>
      <c r="C284" s="1">
        <v>11</v>
      </c>
      <c r="D284" s="1" t="str">
        <f>IF('Boletins Nuppa Site'!G284&lt;&gt;0,'Boletins Nuppa Site'!G284,"NULL")</f>
        <v>NULL</v>
      </c>
      <c r="E284" s="19">
        <f>IF('Boletins Nuppa Site'!H284&lt;&gt;0,'Boletins Nuppa Site'!H284,"NULL")</f>
        <v>25</v>
      </c>
      <c r="F284" s="19">
        <f>IF('Boletins Nuppa Site'!I284&lt;&gt;0,'Boletins Nuppa Site'!I284,"NULL")</f>
        <v>42</v>
      </c>
      <c r="G284" s="1" t="str">
        <f>IF('Boletins Nuppa Site'!J284&lt;&gt;0,'Boletins Nuppa Site'!J284,"NULL")</f>
        <v>33.25</v>
      </c>
      <c r="H284" s="19">
        <f>IF('Boletins Nuppa Site'!K284&lt;&gt;0,'Boletins Nuppa Site'!K284,"NULL")</f>
        <v>33</v>
      </c>
      <c r="J284" s="1" t="str">
        <f t="shared" si="4"/>
        <v>INSERT INTO COTACAO (blt_id, pap_id, cot_prc_comum, cot_prc_min, cot_prc_max, cot_prc_med, cot_prc_mediana) VALUES (8, 11, NULL, 25, 42, 33.25, 33);</v>
      </c>
    </row>
    <row r="285" spans="1:10" x14ac:dyDescent="0.3">
      <c r="A285" s="1">
        <v>284</v>
      </c>
      <c r="B285" s="1">
        <v>8</v>
      </c>
      <c r="C285" s="1">
        <v>12</v>
      </c>
      <c r="D285" s="19">
        <f>IF('Boletins Nuppa Site'!G285&lt;&gt;0,'Boletins Nuppa Site'!G285,"NULL")</f>
        <v>60</v>
      </c>
      <c r="E285" s="19">
        <f>IF('Boletins Nuppa Site'!H285&lt;&gt;0,'Boletins Nuppa Site'!H285,"NULL")</f>
        <v>60</v>
      </c>
      <c r="F285" s="19">
        <f>IF('Boletins Nuppa Site'!I285&lt;&gt;0,'Boletins Nuppa Site'!I285,"NULL")</f>
        <v>72</v>
      </c>
      <c r="G285" s="19">
        <f>IF('Boletins Nuppa Site'!J285&lt;&gt;0,'Boletins Nuppa Site'!J285,"NULL")</f>
        <v>64</v>
      </c>
      <c r="H285" s="19">
        <f>IF('Boletins Nuppa Site'!K285&lt;&gt;0,'Boletins Nuppa Site'!K285,"NULL")</f>
        <v>60</v>
      </c>
      <c r="J285" s="1" t="str">
        <f t="shared" si="4"/>
        <v>INSERT INTO COTACAO (blt_id, pap_id, cot_prc_comum, cot_prc_min, cot_prc_max, cot_prc_med, cot_prc_mediana) VALUES (8, 12, 60, 60, 72, 64, 60);</v>
      </c>
    </row>
    <row r="286" spans="1:10" x14ac:dyDescent="0.3">
      <c r="A286" s="1">
        <v>285</v>
      </c>
      <c r="B286" s="1">
        <v>8</v>
      </c>
      <c r="C286" s="1">
        <v>13</v>
      </c>
      <c r="D286" s="19">
        <f>IF('Boletins Nuppa Site'!G286&lt;&gt;0,'Boletins Nuppa Site'!G286,"NULL")</f>
        <v>60</v>
      </c>
      <c r="E286" s="19">
        <f>IF('Boletins Nuppa Site'!H286&lt;&gt;0,'Boletins Nuppa Site'!H286,"NULL")</f>
        <v>48</v>
      </c>
      <c r="F286" s="19">
        <f>IF('Boletins Nuppa Site'!I286&lt;&gt;0,'Boletins Nuppa Site'!I286,"NULL")</f>
        <v>72</v>
      </c>
      <c r="G286" s="19">
        <f>IF('Boletins Nuppa Site'!J286&lt;&gt;0,'Boletins Nuppa Site'!J286,"NULL")</f>
        <v>60</v>
      </c>
      <c r="H286" s="19">
        <f>IF('Boletins Nuppa Site'!K286&lt;&gt;0,'Boletins Nuppa Site'!K286,"NULL")</f>
        <v>60</v>
      </c>
      <c r="J286" s="1" t="str">
        <f t="shared" si="4"/>
        <v>INSERT INTO COTACAO (blt_id, pap_id, cot_prc_comum, cot_prc_min, cot_prc_max, cot_prc_med, cot_prc_mediana) VALUES (8, 13, 60, 48, 72, 60, 60);</v>
      </c>
    </row>
    <row r="287" spans="1:10" x14ac:dyDescent="0.3">
      <c r="A287" s="1">
        <v>286</v>
      </c>
      <c r="B287" s="1">
        <v>8</v>
      </c>
      <c r="C287" s="1">
        <v>14</v>
      </c>
      <c r="D287" s="19">
        <f>IF('Boletins Nuppa Site'!G287&lt;&gt;0,'Boletins Nuppa Site'!G287,"NULL")</f>
        <v>84</v>
      </c>
      <c r="E287" s="19">
        <f>IF('Boletins Nuppa Site'!H287&lt;&gt;0,'Boletins Nuppa Site'!H287,"NULL")</f>
        <v>60</v>
      </c>
      <c r="F287" s="19">
        <f>IF('Boletins Nuppa Site'!I287&lt;&gt;0,'Boletins Nuppa Site'!I287,"NULL")</f>
        <v>84</v>
      </c>
      <c r="G287" s="19">
        <f>IF('Boletins Nuppa Site'!J287&lt;&gt;0,'Boletins Nuppa Site'!J287,"NULL")</f>
        <v>75</v>
      </c>
      <c r="H287" s="19">
        <f>IF('Boletins Nuppa Site'!K287&lt;&gt;0,'Boletins Nuppa Site'!K287,"NULL")</f>
        <v>78</v>
      </c>
      <c r="J287" s="1" t="str">
        <f t="shared" si="4"/>
        <v>INSERT INTO COTACAO (blt_id, pap_id, cot_prc_comum, cot_prc_min, cot_prc_max, cot_prc_med, cot_prc_mediana) VALUES (8, 14, 84, 60, 84, 75, 78);</v>
      </c>
    </row>
    <row r="288" spans="1:10" x14ac:dyDescent="0.3">
      <c r="A288" s="1">
        <v>287</v>
      </c>
      <c r="B288" s="1">
        <v>8</v>
      </c>
      <c r="C288" s="1">
        <v>15</v>
      </c>
      <c r="D288" s="19">
        <f>IF('Boletins Nuppa Site'!G288&lt;&gt;0,'Boletins Nuppa Site'!G288,"NULL")</f>
        <v>60</v>
      </c>
      <c r="E288" s="19">
        <f>IF('Boletins Nuppa Site'!H288&lt;&gt;0,'Boletins Nuppa Site'!H288,"NULL")</f>
        <v>48</v>
      </c>
      <c r="F288" s="19">
        <f>IF('Boletins Nuppa Site'!I288&lt;&gt;0,'Boletins Nuppa Site'!I288,"NULL")</f>
        <v>78</v>
      </c>
      <c r="G288" s="1" t="str">
        <f>IF('Boletins Nuppa Site'!J288&lt;&gt;0,'Boletins Nuppa Site'!J288,"NULL")</f>
        <v>61.2</v>
      </c>
      <c r="H288" s="19">
        <f>IF('Boletins Nuppa Site'!K288&lt;&gt;0,'Boletins Nuppa Site'!K288,"NULL")</f>
        <v>60</v>
      </c>
      <c r="J288" s="1" t="str">
        <f t="shared" si="4"/>
        <v>INSERT INTO COTACAO (blt_id, pap_id, cot_prc_comum, cot_prc_min, cot_prc_max, cot_prc_med, cot_prc_mediana) VALUES (8, 15, 60, 48, 78, 61.2, 60);</v>
      </c>
    </row>
    <row r="289" spans="1:10" x14ac:dyDescent="0.3">
      <c r="A289" s="1">
        <v>288</v>
      </c>
      <c r="B289" s="1">
        <v>8</v>
      </c>
      <c r="C289" s="1">
        <v>16</v>
      </c>
      <c r="D289" s="1" t="str">
        <f>IF('Boletins Nuppa Site'!G289&lt;&gt;0,'Boletins Nuppa Site'!G289,"NULL")</f>
        <v>NULL</v>
      </c>
      <c r="E289" s="19">
        <f>IF('Boletins Nuppa Site'!H289&lt;&gt;0,'Boletins Nuppa Site'!H289,"NULL")</f>
        <v>42</v>
      </c>
      <c r="F289" s="19">
        <f>IF('Boletins Nuppa Site'!I289&lt;&gt;0,'Boletins Nuppa Site'!I289,"NULL")</f>
        <v>54</v>
      </c>
      <c r="G289" s="19">
        <f>IF('Boletins Nuppa Site'!J289&lt;&gt;0,'Boletins Nuppa Site'!J289,"NULL")</f>
        <v>48</v>
      </c>
      <c r="H289" s="19">
        <f>IF('Boletins Nuppa Site'!K289&lt;&gt;0,'Boletins Nuppa Site'!K289,"NULL")</f>
        <v>48</v>
      </c>
      <c r="J289" s="1" t="str">
        <f t="shared" si="4"/>
        <v>INSERT INTO COTACAO (blt_id, pap_id, cot_prc_comum, cot_prc_min, cot_prc_max, cot_prc_med, cot_prc_mediana) VALUES (8, 16, NULL, 42, 54, 48, 48);</v>
      </c>
    </row>
    <row r="290" spans="1:10" x14ac:dyDescent="0.3">
      <c r="A290" s="1">
        <v>289</v>
      </c>
      <c r="B290" s="1">
        <v>8</v>
      </c>
      <c r="C290" s="1">
        <v>17</v>
      </c>
      <c r="D290" s="19">
        <f>IF('Boletins Nuppa Site'!G290&lt;&gt;0,'Boletins Nuppa Site'!G290,"NULL")</f>
        <v>5</v>
      </c>
      <c r="E290" s="19">
        <f>IF('Boletins Nuppa Site'!H290&lt;&gt;0,'Boletins Nuppa Site'!H290,"NULL")</f>
        <v>4</v>
      </c>
      <c r="F290" s="19">
        <f>IF('Boletins Nuppa Site'!I290&lt;&gt;0,'Boletins Nuppa Site'!I290,"NULL")</f>
        <v>5</v>
      </c>
      <c r="G290" s="1" t="str">
        <f>IF('Boletins Nuppa Site'!J290&lt;&gt;0,'Boletins Nuppa Site'!J290,"NULL")</f>
        <v>4.63</v>
      </c>
      <c r="H290" s="1" t="str">
        <f>IF('Boletins Nuppa Site'!K290&lt;&gt;0,'Boletins Nuppa Site'!K290,"NULL")</f>
        <v>4.75</v>
      </c>
      <c r="J290" s="1" t="str">
        <f t="shared" si="4"/>
        <v>INSERT INTO COTACAO (blt_id, pap_id, cot_prc_comum, cot_prc_min, cot_prc_max, cot_prc_med, cot_prc_mediana) VALUES (8, 17, 5, 4, 5, 4.63, 4.75);</v>
      </c>
    </row>
    <row r="291" spans="1:10" x14ac:dyDescent="0.3">
      <c r="A291" s="1">
        <v>290</v>
      </c>
      <c r="B291" s="1">
        <v>8</v>
      </c>
      <c r="C291" s="1">
        <v>18</v>
      </c>
      <c r="D291" s="19">
        <f>IF('Boletins Nuppa Site'!G291&lt;&gt;0,'Boletins Nuppa Site'!G291,"NULL")</f>
        <v>20</v>
      </c>
      <c r="E291" s="19">
        <f>IF('Boletins Nuppa Site'!H291&lt;&gt;0,'Boletins Nuppa Site'!H291,"NULL")</f>
        <v>20</v>
      </c>
      <c r="F291" s="19">
        <f>IF('Boletins Nuppa Site'!I291&lt;&gt;0,'Boletins Nuppa Site'!I291,"NULL")</f>
        <v>40</v>
      </c>
      <c r="G291" s="1" t="str">
        <f>IF('Boletins Nuppa Site'!J291&lt;&gt;0,'Boletins Nuppa Site'!J291,"NULL")</f>
        <v>26.25</v>
      </c>
      <c r="H291" s="1" t="str">
        <f>IF('Boletins Nuppa Site'!K291&lt;&gt;0,'Boletins Nuppa Site'!K291,"NULL")</f>
        <v>22.5</v>
      </c>
      <c r="J291" s="1" t="str">
        <f t="shared" si="4"/>
        <v>INSERT INTO COTACAO (blt_id, pap_id, cot_prc_comum, cot_prc_min, cot_prc_max, cot_prc_med, cot_prc_mediana) VALUES (8, 18, 20, 20, 40, 26.25, 22.5);</v>
      </c>
    </row>
    <row r="292" spans="1:10" x14ac:dyDescent="0.3">
      <c r="A292" s="1">
        <v>291</v>
      </c>
      <c r="B292" s="1">
        <v>8</v>
      </c>
      <c r="C292" s="1">
        <v>19</v>
      </c>
      <c r="D292" s="19">
        <f>IF('Boletins Nuppa Site'!G292&lt;&gt;0,'Boletins Nuppa Site'!G292,"NULL")</f>
        <v>25</v>
      </c>
      <c r="E292" s="19">
        <f>IF('Boletins Nuppa Site'!H292&lt;&gt;0,'Boletins Nuppa Site'!H292,"NULL")</f>
        <v>25</v>
      </c>
      <c r="F292" s="19">
        <f>IF('Boletins Nuppa Site'!I292&lt;&gt;0,'Boletins Nuppa Site'!I292,"NULL")</f>
        <v>30</v>
      </c>
      <c r="G292" s="1" t="str">
        <f>IF('Boletins Nuppa Site'!J292&lt;&gt;0,'Boletins Nuppa Site'!J292,"NULL")</f>
        <v>27.6</v>
      </c>
      <c r="H292" s="19">
        <f>IF('Boletins Nuppa Site'!K292&lt;&gt;0,'Boletins Nuppa Site'!K292,"NULL")</f>
        <v>28</v>
      </c>
      <c r="J292" s="1" t="str">
        <f t="shared" si="4"/>
        <v>INSERT INTO COTACAO (blt_id, pap_id, cot_prc_comum, cot_prc_min, cot_prc_max, cot_prc_med, cot_prc_mediana) VALUES (8, 19, 25, 25, 30, 27.6, 28);</v>
      </c>
    </row>
    <row r="293" spans="1:10" x14ac:dyDescent="0.3">
      <c r="A293" s="1">
        <v>292</v>
      </c>
      <c r="B293" s="1">
        <v>8</v>
      </c>
      <c r="C293" s="1">
        <v>20</v>
      </c>
      <c r="D293" s="1" t="str">
        <f>IF('Boletins Nuppa Site'!G293&lt;&gt;0,'Boletins Nuppa Site'!G293,"NULL")</f>
        <v>NULL</v>
      </c>
      <c r="E293" s="19">
        <f>IF('Boletins Nuppa Site'!H293&lt;&gt;0,'Boletins Nuppa Site'!H293,"NULL")</f>
        <v>10</v>
      </c>
      <c r="F293" s="19">
        <f>IF('Boletins Nuppa Site'!I293&lt;&gt;0,'Boletins Nuppa Site'!I293,"NULL")</f>
        <v>110</v>
      </c>
      <c r="G293" s="1" t="str">
        <f>IF('Boletins Nuppa Site'!J293&lt;&gt;0,'Boletins Nuppa Site'!J293,"NULL")</f>
        <v>78.75</v>
      </c>
      <c r="H293" s="1" t="str">
        <f>IF('Boletins Nuppa Site'!K293&lt;&gt;0,'Boletins Nuppa Site'!K293,"NULL")</f>
        <v>97.5</v>
      </c>
      <c r="J293" s="1" t="str">
        <f t="shared" si="4"/>
        <v>INSERT INTO COTACAO (blt_id, pap_id, cot_prc_comum, cot_prc_min, cot_prc_max, cot_prc_med, cot_prc_mediana) VALUES (8, 20, NULL, 10, 110, 78.75, 97.5);</v>
      </c>
    </row>
    <row r="294" spans="1:10" x14ac:dyDescent="0.3">
      <c r="A294" s="1">
        <v>293</v>
      </c>
      <c r="B294" s="1">
        <v>8</v>
      </c>
      <c r="C294" s="1">
        <v>21</v>
      </c>
      <c r="D294" s="19">
        <f>IF('Boletins Nuppa Site'!G294&lt;&gt;0,'Boletins Nuppa Site'!G294,"NULL")</f>
        <v>100</v>
      </c>
      <c r="E294" s="19">
        <f>IF('Boletins Nuppa Site'!H294&lt;&gt;0,'Boletins Nuppa Site'!H294,"NULL")</f>
        <v>78</v>
      </c>
      <c r="F294" s="19">
        <f>IF('Boletins Nuppa Site'!I294&lt;&gt;0,'Boletins Nuppa Site'!I294,"NULL")</f>
        <v>100</v>
      </c>
      <c r="G294" s="1" t="str">
        <f>IF('Boletins Nuppa Site'!J294&lt;&gt;0,'Boletins Nuppa Site'!J294,"NULL")</f>
        <v>89.67</v>
      </c>
      <c r="H294" s="19">
        <f>IF('Boletins Nuppa Site'!K294&lt;&gt;0,'Boletins Nuppa Site'!K294,"NULL")</f>
        <v>90</v>
      </c>
      <c r="J294" s="1" t="str">
        <f t="shared" si="4"/>
        <v>INSERT INTO COTACAO (blt_id, pap_id, cot_prc_comum, cot_prc_min, cot_prc_max, cot_prc_med, cot_prc_mediana) VALUES (8, 21, 100, 78, 100, 89.67, 90);</v>
      </c>
    </row>
    <row r="295" spans="1:10" x14ac:dyDescent="0.3">
      <c r="A295" s="1">
        <v>294</v>
      </c>
      <c r="B295" s="1">
        <v>8</v>
      </c>
      <c r="C295" s="1">
        <v>22</v>
      </c>
      <c r="D295" s="1" t="str">
        <f>IF('Boletins Nuppa Site'!G295&lt;&gt;0,'Boletins Nuppa Site'!G295,"NULL")</f>
        <v>NULL</v>
      </c>
      <c r="E295" s="19">
        <f>IF('Boletins Nuppa Site'!H295&lt;&gt;0,'Boletins Nuppa Site'!H295,"NULL")</f>
        <v>50</v>
      </c>
      <c r="F295" s="19">
        <f>IF('Boletins Nuppa Site'!I295&lt;&gt;0,'Boletins Nuppa Site'!I295,"NULL")</f>
        <v>80</v>
      </c>
      <c r="G295" s="19">
        <f>IF('Boletins Nuppa Site'!J295&lt;&gt;0,'Boletins Nuppa Site'!J295,"NULL")</f>
        <v>66</v>
      </c>
      <c r="H295" s="19">
        <f>IF('Boletins Nuppa Site'!K295&lt;&gt;0,'Boletins Nuppa Site'!K295,"NULL")</f>
        <v>70</v>
      </c>
      <c r="J295" s="1" t="str">
        <f t="shared" si="4"/>
        <v>INSERT INTO COTACAO (blt_id, pap_id, cot_prc_comum, cot_prc_min, cot_prc_max, cot_prc_med, cot_prc_mediana) VALUES (8, 22, NULL, 50, 80, 66, 70);</v>
      </c>
    </row>
    <row r="296" spans="1:10" x14ac:dyDescent="0.3">
      <c r="A296" s="1">
        <v>295</v>
      </c>
      <c r="B296" s="1">
        <v>8</v>
      </c>
      <c r="C296" s="1">
        <v>23</v>
      </c>
      <c r="D296" s="19">
        <f>IF('Boletins Nuppa Site'!G296&lt;&gt;0,'Boletins Nuppa Site'!G296,"NULL")</f>
        <v>40</v>
      </c>
      <c r="E296" s="19">
        <f>IF('Boletins Nuppa Site'!H296&lt;&gt;0,'Boletins Nuppa Site'!H296,"NULL")</f>
        <v>30</v>
      </c>
      <c r="F296" s="19">
        <f>IF('Boletins Nuppa Site'!I296&lt;&gt;0,'Boletins Nuppa Site'!I296,"NULL")</f>
        <v>50</v>
      </c>
      <c r="G296" s="19">
        <f>IF('Boletins Nuppa Site'!J296&lt;&gt;0,'Boletins Nuppa Site'!J296,"NULL")</f>
        <v>40</v>
      </c>
      <c r="H296" s="19">
        <f>IF('Boletins Nuppa Site'!K296&lt;&gt;0,'Boletins Nuppa Site'!K296,"NULL")</f>
        <v>40</v>
      </c>
      <c r="J296" s="1" t="str">
        <f t="shared" si="4"/>
        <v>INSERT INTO COTACAO (blt_id, pap_id, cot_prc_comum, cot_prc_min, cot_prc_max, cot_prc_med, cot_prc_mediana) VALUES (8, 23, 40, 30, 50, 40, 40);</v>
      </c>
    </row>
    <row r="297" spans="1:10" x14ac:dyDescent="0.3">
      <c r="A297" s="1">
        <v>296</v>
      </c>
      <c r="B297" s="1">
        <v>8</v>
      </c>
      <c r="C297" s="1">
        <v>24</v>
      </c>
      <c r="D297" s="1" t="str">
        <f>IF('Boletins Nuppa Site'!G297&lt;&gt;0,'Boletins Nuppa Site'!G297,"NULL")</f>
        <v>NULL</v>
      </c>
      <c r="E297" s="19">
        <f>IF('Boletins Nuppa Site'!H297&lt;&gt;0,'Boletins Nuppa Site'!H297,"NULL")</f>
        <v>95</v>
      </c>
      <c r="F297" s="19">
        <f>IF('Boletins Nuppa Site'!I297&lt;&gt;0,'Boletins Nuppa Site'!I297,"NULL")</f>
        <v>100</v>
      </c>
      <c r="G297" s="1" t="str">
        <f>IF('Boletins Nuppa Site'!J297&lt;&gt;0,'Boletins Nuppa Site'!J297,"NULL")</f>
        <v>97.5</v>
      </c>
      <c r="H297" s="1" t="str">
        <f>IF('Boletins Nuppa Site'!K297&lt;&gt;0,'Boletins Nuppa Site'!K297,"NULL")</f>
        <v>97.5</v>
      </c>
      <c r="J297" s="1" t="str">
        <f t="shared" si="4"/>
        <v>INSERT INTO COTACAO (blt_id, pap_id, cot_prc_comum, cot_prc_min, cot_prc_max, cot_prc_med, cot_prc_mediana) VALUES (8, 24, NULL, 95, 100, 97.5, 97.5);</v>
      </c>
    </row>
    <row r="298" spans="1:10" x14ac:dyDescent="0.3">
      <c r="A298" s="1">
        <v>297</v>
      </c>
      <c r="B298" s="1">
        <v>8</v>
      </c>
      <c r="C298" s="1">
        <v>25</v>
      </c>
      <c r="D298" s="19">
        <f>IF('Boletins Nuppa Site'!G298&lt;&gt;0,'Boletins Nuppa Site'!G298,"NULL")</f>
        <v>95</v>
      </c>
      <c r="E298" s="19">
        <f>IF('Boletins Nuppa Site'!H298&lt;&gt;0,'Boletins Nuppa Site'!H298,"NULL")</f>
        <v>70</v>
      </c>
      <c r="F298" s="19">
        <f>IF('Boletins Nuppa Site'!I298&lt;&gt;0,'Boletins Nuppa Site'!I298,"NULL")</f>
        <v>120</v>
      </c>
      <c r="G298" s="19">
        <f>IF('Boletins Nuppa Site'!J298&lt;&gt;0,'Boletins Nuppa Site'!J298,"NULL")</f>
        <v>92</v>
      </c>
      <c r="H298" s="19">
        <f>IF('Boletins Nuppa Site'!K298&lt;&gt;0,'Boletins Nuppa Site'!K298,"NULL")</f>
        <v>95</v>
      </c>
      <c r="J298" s="1" t="str">
        <f t="shared" si="4"/>
        <v>INSERT INTO COTACAO (blt_id, pap_id, cot_prc_comum, cot_prc_min, cot_prc_max, cot_prc_med, cot_prc_mediana) VALUES (8, 25, 95, 70, 120, 92, 95);</v>
      </c>
    </row>
    <row r="299" spans="1:10" x14ac:dyDescent="0.3">
      <c r="A299" s="1">
        <v>298</v>
      </c>
      <c r="B299" s="1">
        <v>8</v>
      </c>
      <c r="C299" s="1">
        <v>26</v>
      </c>
      <c r="D299" s="19">
        <f>IF('Boletins Nuppa Site'!G299&lt;&gt;0,'Boletins Nuppa Site'!G299,"NULL")</f>
        <v>130</v>
      </c>
      <c r="E299" s="19">
        <f>IF('Boletins Nuppa Site'!H299&lt;&gt;0,'Boletins Nuppa Site'!H299,"NULL")</f>
        <v>80</v>
      </c>
      <c r="F299" s="19">
        <f>IF('Boletins Nuppa Site'!I299&lt;&gt;0,'Boletins Nuppa Site'!I299,"NULL")</f>
        <v>130</v>
      </c>
      <c r="G299" s="19">
        <f>IF('Boletins Nuppa Site'!J299&lt;&gt;0,'Boletins Nuppa Site'!J299,"NULL")</f>
        <v>110</v>
      </c>
      <c r="H299" s="19">
        <f>IF('Boletins Nuppa Site'!K299&lt;&gt;0,'Boletins Nuppa Site'!K299,"NULL")</f>
        <v>130</v>
      </c>
      <c r="J299" s="1" t="str">
        <f t="shared" si="4"/>
        <v>INSERT INTO COTACAO (blt_id, pap_id, cot_prc_comum, cot_prc_min, cot_prc_max, cot_prc_med, cot_prc_mediana) VALUES (8, 26, 130, 80, 130, 110, 130);</v>
      </c>
    </row>
    <row r="300" spans="1:10" x14ac:dyDescent="0.3">
      <c r="A300" s="1">
        <v>299</v>
      </c>
      <c r="B300" s="1">
        <v>8</v>
      </c>
      <c r="C300" s="1">
        <v>27</v>
      </c>
      <c r="D300" s="19">
        <f>IF('Boletins Nuppa Site'!G300&lt;&gt;0,'Boletins Nuppa Site'!G300,"NULL")</f>
        <v>60</v>
      </c>
      <c r="E300" s="19">
        <f>IF('Boletins Nuppa Site'!H300&lt;&gt;0,'Boletins Nuppa Site'!H300,"NULL")</f>
        <v>50</v>
      </c>
      <c r="F300" s="19">
        <f>IF('Boletins Nuppa Site'!I300&lt;&gt;0,'Boletins Nuppa Site'!I300,"NULL")</f>
        <v>80</v>
      </c>
      <c r="G300" s="19">
        <f>IF('Boletins Nuppa Site'!J300&lt;&gt;0,'Boletins Nuppa Site'!J300,"NULL")</f>
        <v>64</v>
      </c>
      <c r="H300" s="19">
        <f>IF('Boletins Nuppa Site'!K300&lt;&gt;0,'Boletins Nuppa Site'!K300,"NULL")</f>
        <v>60</v>
      </c>
      <c r="J300" s="1" t="str">
        <f t="shared" si="4"/>
        <v>INSERT INTO COTACAO (blt_id, pap_id, cot_prc_comum, cot_prc_min, cot_prc_max, cot_prc_med, cot_prc_mediana) VALUES (8, 27, 60, 50, 80, 64, 60);</v>
      </c>
    </row>
    <row r="301" spans="1:10" x14ac:dyDescent="0.3">
      <c r="A301" s="1">
        <v>300</v>
      </c>
      <c r="B301" s="1">
        <v>8</v>
      </c>
      <c r="C301" s="1">
        <v>28</v>
      </c>
      <c r="D301" s="19">
        <f>IF('Boletins Nuppa Site'!G301&lt;&gt;0,'Boletins Nuppa Site'!G301,"NULL")</f>
        <v>80</v>
      </c>
      <c r="E301" s="19">
        <f>IF('Boletins Nuppa Site'!H301&lt;&gt;0,'Boletins Nuppa Site'!H301,"NULL")</f>
        <v>40</v>
      </c>
      <c r="F301" s="19">
        <f>IF('Boletins Nuppa Site'!I301&lt;&gt;0,'Boletins Nuppa Site'!I301,"NULL")</f>
        <v>100</v>
      </c>
      <c r="G301" s="1" t="str">
        <f>IF('Boletins Nuppa Site'!J301&lt;&gt;0,'Boletins Nuppa Site'!J301,"NULL")</f>
        <v>70.83</v>
      </c>
      <c r="H301" s="1" t="str">
        <f>IF('Boletins Nuppa Site'!K301&lt;&gt;0,'Boletins Nuppa Site'!K301,"NULL")</f>
        <v>77.5</v>
      </c>
      <c r="J301" s="1" t="str">
        <f t="shared" si="4"/>
        <v>INSERT INTO COTACAO (blt_id, pap_id, cot_prc_comum, cot_prc_min, cot_prc_max, cot_prc_med, cot_prc_mediana) VALUES (8, 28, 80, 40, 100, 70.83, 77.5);</v>
      </c>
    </row>
    <row r="302" spans="1:10" x14ac:dyDescent="0.3">
      <c r="A302" s="1">
        <v>301</v>
      </c>
      <c r="B302" s="1">
        <v>8</v>
      </c>
      <c r="C302" s="1">
        <v>29</v>
      </c>
      <c r="D302" s="1" t="str">
        <f>IF('Boletins Nuppa Site'!G302&lt;&gt;0,'Boletins Nuppa Site'!G302,"NULL")</f>
        <v>NULL</v>
      </c>
      <c r="E302" s="19">
        <f>IF('Boletins Nuppa Site'!H302&lt;&gt;0,'Boletins Nuppa Site'!H302,"NULL")</f>
        <v>80</v>
      </c>
      <c r="F302" s="19">
        <f>IF('Boletins Nuppa Site'!I302&lt;&gt;0,'Boletins Nuppa Site'!I302,"NULL")</f>
        <v>80</v>
      </c>
      <c r="G302" s="19">
        <f>IF('Boletins Nuppa Site'!J302&lt;&gt;0,'Boletins Nuppa Site'!J302,"NULL")</f>
        <v>80</v>
      </c>
      <c r="H302" s="19">
        <f>IF('Boletins Nuppa Site'!K302&lt;&gt;0,'Boletins Nuppa Site'!K302,"NULL")</f>
        <v>80</v>
      </c>
      <c r="J302" s="1" t="str">
        <f t="shared" si="4"/>
        <v>INSERT INTO COTACAO (blt_id, pap_id, cot_prc_comum, cot_prc_min, cot_prc_max, cot_prc_med, cot_prc_mediana) VALUES (8, 29, NULL, 80, 80, 80, 80);</v>
      </c>
    </row>
    <row r="303" spans="1:10" x14ac:dyDescent="0.3">
      <c r="A303" s="1">
        <v>302</v>
      </c>
      <c r="B303" s="1">
        <v>8</v>
      </c>
      <c r="C303" s="1">
        <v>30</v>
      </c>
      <c r="D303" s="19">
        <f>IF('Boletins Nuppa Site'!G303&lt;&gt;0,'Boletins Nuppa Site'!G303,"NULL")</f>
        <v>80</v>
      </c>
      <c r="E303" s="19">
        <f>IF('Boletins Nuppa Site'!H303&lt;&gt;0,'Boletins Nuppa Site'!H303,"NULL")</f>
        <v>70</v>
      </c>
      <c r="F303" s="19">
        <f>IF('Boletins Nuppa Site'!I303&lt;&gt;0,'Boletins Nuppa Site'!I303,"NULL")</f>
        <v>80</v>
      </c>
      <c r="G303" s="1" t="str">
        <f>IF('Boletins Nuppa Site'!J303&lt;&gt;0,'Boletins Nuppa Site'!J303,"NULL")</f>
        <v>76.67</v>
      </c>
      <c r="H303" s="19">
        <f>IF('Boletins Nuppa Site'!K303&lt;&gt;0,'Boletins Nuppa Site'!K303,"NULL")</f>
        <v>80</v>
      </c>
      <c r="J303" s="1" t="str">
        <f t="shared" si="4"/>
        <v>INSERT INTO COTACAO (blt_id, pap_id, cot_prc_comum, cot_prc_min, cot_prc_max, cot_prc_med, cot_prc_mediana) VALUES (8, 30, 80, 70, 80, 76.67, 80);</v>
      </c>
    </row>
    <row r="304" spans="1:10" x14ac:dyDescent="0.3">
      <c r="A304" s="1">
        <v>303</v>
      </c>
      <c r="B304" s="1">
        <v>8</v>
      </c>
      <c r="C304" s="1">
        <v>31</v>
      </c>
      <c r="D304" s="19">
        <f>IF('Boletins Nuppa Site'!G304&lt;&gt;0,'Boletins Nuppa Site'!G304,"NULL")</f>
        <v>100</v>
      </c>
      <c r="E304" s="19">
        <f>IF('Boletins Nuppa Site'!H304&lt;&gt;0,'Boletins Nuppa Site'!H304,"NULL")</f>
        <v>70</v>
      </c>
      <c r="F304" s="19">
        <f>IF('Boletins Nuppa Site'!I304&lt;&gt;0,'Boletins Nuppa Site'!I304,"NULL")</f>
        <v>120</v>
      </c>
      <c r="G304" s="1" t="str">
        <f>IF('Boletins Nuppa Site'!J304&lt;&gt;0,'Boletins Nuppa Site'!J304,"NULL")</f>
        <v>97.5</v>
      </c>
      <c r="H304" s="19">
        <f>IF('Boletins Nuppa Site'!K304&lt;&gt;0,'Boletins Nuppa Site'!K304,"NULL")</f>
        <v>100</v>
      </c>
      <c r="J304" s="1" t="str">
        <f t="shared" si="4"/>
        <v>INSERT INTO COTACAO (blt_id, pap_id, cot_prc_comum, cot_prc_min, cot_prc_max, cot_prc_med, cot_prc_mediana) VALUES (8, 31, 100, 70, 120, 97.5, 100);</v>
      </c>
    </row>
    <row r="305" spans="1:10" x14ac:dyDescent="0.3">
      <c r="A305" s="1">
        <v>304</v>
      </c>
      <c r="B305" s="1">
        <v>8</v>
      </c>
      <c r="C305" s="1">
        <v>32</v>
      </c>
      <c r="D305" s="19">
        <f>IF('Boletins Nuppa Site'!G305&lt;&gt;0,'Boletins Nuppa Site'!G305,"NULL")</f>
        <v>50</v>
      </c>
      <c r="E305" s="19">
        <f>IF('Boletins Nuppa Site'!H305&lt;&gt;0,'Boletins Nuppa Site'!H305,"NULL")</f>
        <v>40</v>
      </c>
      <c r="F305" s="19">
        <f>IF('Boletins Nuppa Site'!I305&lt;&gt;0,'Boletins Nuppa Site'!I305,"NULL")</f>
        <v>60</v>
      </c>
      <c r="G305" s="1" t="str">
        <f>IF('Boletins Nuppa Site'!J305&lt;&gt;0,'Boletins Nuppa Site'!J305,"NULL")</f>
        <v>48.33</v>
      </c>
      <c r="H305" s="19">
        <f>IF('Boletins Nuppa Site'!K305&lt;&gt;0,'Boletins Nuppa Site'!K305,"NULL")</f>
        <v>50</v>
      </c>
      <c r="J305" s="1" t="str">
        <f t="shared" si="4"/>
        <v>INSERT INTO COTACAO (blt_id, pap_id, cot_prc_comum, cot_prc_min, cot_prc_max, cot_prc_med, cot_prc_mediana) VALUES (8, 32, 50, 40, 60, 48.33, 50);</v>
      </c>
    </row>
    <row r="306" spans="1:10" x14ac:dyDescent="0.3">
      <c r="A306" s="1">
        <v>305</v>
      </c>
      <c r="B306" s="1">
        <v>8</v>
      </c>
      <c r="C306" s="1">
        <v>33</v>
      </c>
      <c r="D306" s="19">
        <f>IF('Boletins Nuppa Site'!G306&lt;&gt;0,'Boletins Nuppa Site'!G306,"NULL")</f>
        <v>70</v>
      </c>
      <c r="E306" s="19">
        <f>IF('Boletins Nuppa Site'!H306&lt;&gt;0,'Boletins Nuppa Site'!H306,"NULL")</f>
        <v>60</v>
      </c>
      <c r="F306" s="19">
        <f>IF('Boletins Nuppa Site'!I306&lt;&gt;0,'Boletins Nuppa Site'!I306,"NULL")</f>
        <v>90</v>
      </c>
      <c r="G306" s="1" t="str">
        <f>IF('Boletins Nuppa Site'!J306&lt;&gt;0,'Boletins Nuppa Site'!J306,"NULL")</f>
        <v>73.33</v>
      </c>
      <c r="H306" s="19">
        <f>IF('Boletins Nuppa Site'!K306&lt;&gt;0,'Boletins Nuppa Site'!K306,"NULL")</f>
        <v>70</v>
      </c>
      <c r="J306" s="1" t="str">
        <f t="shared" si="4"/>
        <v>INSERT INTO COTACAO (blt_id, pap_id, cot_prc_comum, cot_prc_min, cot_prc_max, cot_prc_med, cot_prc_mediana) VALUES (8, 33, 70, 60, 90, 73.33, 70);</v>
      </c>
    </row>
    <row r="307" spans="1:10" x14ac:dyDescent="0.3">
      <c r="A307" s="1">
        <v>306</v>
      </c>
      <c r="B307" s="1">
        <v>8</v>
      </c>
      <c r="C307" s="1">
        <v>34</v>
      </c>
      <c r="D307" s="19">
        <f>IF('Boletins Nuppa Site'!G307&lt;&gt;0,'Boletins Nuppa Site'!G307,"NULL")</f>
        <v>130</v>
      </c>
      <c r="E307" s="19">
        <f>IF('Boletins Nuppa Site'!H307&lt;&gt;0,'Boletins Nuppa Site'!H307,"NULL")</f>
        <v>100</v>
      </c>
      <c r="F307" s="19">
        <f>IF('Boletins Nuppa Site'!I307&lt;&gt;0,'Boletins Nuppa Site'!I307,"NULL")</f>
        <v>130</v>
      </c>
      <c r="G307" s="1" t="str">
        <f>IF('Boletins Nuppa Site'!J307&lt;&gt;0,'Boletins Nuppa Site'!J307,"NULL")</f>
        <v>117.14</v>
      </c>
      <c r="H307" s="19">
        <f>IF('Boletins Nuppa Site'!K307&lt;&gt;0,'Boletins Nuppa Site'!K307,"NULL")</f>
        <v>120</v>
      </c>
      <c r="J307" s="1" t="str">
        <f t="shared" si="4"/>
        <v>INSERT INTO COTACAO (blt_id, pap_id, cot_prc_comum, cot_prc_min, cot_prc_max, cot_prc_med, cot_prc_mediana) VALUES (8, 34, 130, 100, 130, 117.14, 120);</v>
      </c>
    </row>
    <row r="308" spans="1:10" x14ac:dyDescent="0.3">
      <c r="A308" s="1">
        <v>307</v>
      </c>
      <c r="B308" s="1">
        <v>8</v>
      </c>
      <c r="C308" s="1">
        <v>35</v>
      </c>
      <c r="D308" s="19">
        <f>IF('Boletins Nuppa Site'!G308&lt;&gt;0,'Boletins Nuppa Site'!G308,"NULL")</f>
        <v>120</v>
      </c>
      <c r="E308" s="19">
        <f>IF('Boletins Nuppa Site'!H308&lt;&gt;0,'Boletins Nuppa Site'!H308,"NULL")</f>
        <v>110</v>
      </c>
      <c r="F308" s="19">
        <f>IF('Boletins Nuppa Site'!I308&lt;&gt;0,'Boletins Nuppa Site'!I308,"NULL")</f>
        <v>150</v>
      </c>
      <c r="G308" s="19">
        <f>IF('Boletins Nuppa Site'!J308&lt;&gt;0,'Boletins Nuppa Site'!J308,"NULL")</f>
        <v>128</v>
      </c>
      <c r="H308" s="19">
        <f>IF('Boletins Nuppa Site'!K308&lt;&gt;0,'Boletins Nuppa Site'!K308,"NULL")</f>
        <v>120</v>
      </c>
      <c r="J308" s="1" t="str">
        <f t="shared" si="4"/>
        <v>INSERT INTO COTACAO (blt_id, pap_id, cot_prc_comum, cot_prc_min, cot_prc_max, cot_prc_med, cot_prc_mediana) VALUES (8, 35, 120, 110, 150, 128, 120);</v>
      </c>
    </row>
    <row r="309" spans="1:10" x14ac:dyDescent="0.3">
      <c r="A309" s="1">
        <v>308</v>
      </c>
      <c r="B309" s="1">
        <v>8</v>
      </c>
      <c r="C309" s="1">
        <v>36</v>
      </c>
      <c r="D309" s="1" t="str">
        <f>IF('Boletins Nuppa Site'!G309&lt;&gt;0,'Boletins Nuppa Site'!G309,"NULL")</f>
        <v>NULL</v>
      </c>
      <c r="E309" s="19">
        <f>IF('Boletins Nuppa Site'!H309&lt;&gt;0,'Boletins Nuppa Site'!H309,"NULL")</f>
        <v>80</v>
      </c>
      <c r="F309" s="19">
        <f>IF('Boletins Nuppa Site'!I309&lt;&gt;0,'Boletins Nuppa Site'!I309,"NULL")</f>
        <v>80</v>
      </c>
      <c r="G309" s="19">
        <f>IF('Boletins Nuppa Site'!J309&lt;&gt;0,'Boletins Nuppa Site'!J309,"NULL")</f>
        <v>80</v>
      </c>
      <c r="H309" s="19">
        <f>IF('Boletins Nuppa Site'!K309&lt;&gt;0,'Boletins Nuppa Site'!K309,"NULL")</f>
        <v>80</v>
      </c>
      <c r="J309" s="1" t="str">
        <f t="shared" si="4"/>
        <v>INSERT INTO COTACAO (blt_id, pap_id, cot_prc_comum, cot_prc_min, cot_prc_max, cot_prc_med, cot_prc_mediana) VALUES (8, 36, NULL, 80, 80, 80, 80);</v>
      </c>
    </row>
    <row r="310" spans="1:10" x14ac:dyDescent="0.3">
      <c r="A310" s="1">
        <v>309</v>
      </c>
      <c r="B310" s="1">
        <v>8</v>
      </c>
      <c r="C310" s="1">
        <v>37</v>
      </c>
      <c r="D310" s="1" t="str">
        <f>IF('Boletins Nuppa Site'!G310&lt;&gt;0,'Boletins Nuppa Site'!G310,"NULL")</f>
        <v>NULL</v>
      </c>
      <c r="E310" s="19">
        <f>IF('Boletins Nuppa Site'!H310&lt;&gt;0,'Boletins Nuppa Site'!H310,"NULL")</f>
        <v>60</v>
      </c>
      <c r="F310" s="19">
        <f>IF('Boletins Nuppa Site'!I310&lt;&gt;0,'Boletins Nuppa Site'!I310,"NULL")</f>
        <v>60</v>
      </c>
      <c r="G310" s="19">
        <f>IF('Boletins Nuppa Site'!J310&lt;&gt;0,'Boletins Nuppa Site'!J310,"NULL")</f>
        <v>60</v>
      </c>
      <c r="H310" s="19">
        <f>IF('Boletins Nuppa Site'!K310&lt;&gt;0,'Boletins Nuppa Site'!K310,"NULL")</f>
        <v>60</v>
      </c>
      <c r="J310" s="1" t="str">
        <f t="shared" si="4"/>
        <v>INSERT INTO COTACAO (blt_id, pap_id, cot_prc_comum, cot_prc_min, cot_prc_max, cot_prc_med, cot_prc_mediana) VALUES (8, 37, NULL, 60, 60, 60, 60);</v>
      </c>
    </row>
    <row r="311" spans="1:10" x14ac:dyDescent="0.3">
      <c r="A311" s="1">
        <v>310</v>
      </c>
      <c r="B311" s="1">
        <v>8</v>
      </c>
      <c r="C311" s="1">
        <v>38</v>
      </c>
      <c r="D311" s="1" t="str">
        <f>IF('Boletins Nuppa Site'!G311&lt;&gt;0,'Boletins Nuppa Site'!G311,"NULL")</f>
        <v>NULL</v>
      </c>
      <c r="E311" s="19">
        <f>IF('Boletins Nuppa Site'!H311&lt;&gt;0,'Boletins Nuppa Site'!H311,"NULL")</f>
        <v>40</v>
      </c>
      <c r="F311" s="19">
        <f>IF('Boletins Nuppa Site'!I311&lt;&gt;0,'Boletins Nuppa Site'!I311,"NULL")</f>
        <v>40</v>
      </c>
      <c r="G311" s="19">
        <f>IF('Boletins Nuppa Site'!J311&lt;&gt;0,'Boletins Nuppa Site'!J311,"NULL")</f>
        <v>40</v>
      </c>
      <c r="H311" s="19">
        <f>IF('Boletins Nuppa Site'!K311&lt;&gt;0,'Boletins Nuppa Site'!K311,"NULL")</f>
        <v>40</v>
      </c>
      <c r="J311" s="1" t="str">
        <f t="shared" si="4"/>
        <v>INSERT INTO COTACAO (blt_id, pap_id, cot_prc_comum, cot_prc_min, cot_prc_max, cot_prc_med, cot_prc_mediana) VALUES (8, 38, NULL, 40, 40, 40, 40);</v>
      </c>
    </row>
    <row r="312" spans="1:10" x14ac:dyDescent="0.3">
      <c r="A312" s="1">
        <v>311</v>
      </c>
      <c r="B312" s="1">
        <v>8</v>
      </c>
      <c r="C312" s="1">
        <v>39</v>
      </c>
      <c r="D312" s="1" t="str">
        <f>IF('Boletins Nuppa Site'!G312&lt;&gt;0,'Boletins Nuppa Site'!G312,"NULL")</f>
        <v>NULL</v>
      </c>
      <c r="E312" s="1" t="str">
        <f>IF('Boletins Nuppa Site'!H312&lt;&gt;0,'Boletins Nuppa Site'!H312,"NULL")</f>
        <v>NULL</v>
      </c>
      <c r="F312" s="1" t="str">
        <f>IF('Boletins Nuppa Site'!I312&lt;&gt;0,'Boletins Nuppa Site'!I312,"NULL")</f>
        <v>NULL</v>
      </c>
      <c r="G312" s="1" t="str">
        <f>IF('Boletins Nuppa Site'!J312&lt;&gt;0,'Boletins Nuppa Site'!J312,"NULL")</f>
        <v>NULL</v>
      </c>
      <c r="H312" s="1" t="str">
        <f>IF('Boletins Nuppa Site'!K312&lt;&gt;0,'Boletins Nuppa Site'!K312,"NULL")</f>
        <v>NULL</v>
      </c>
      <c r="J312" s="1" t="str">
        <f t="shared" si="4"/>
        <v>INSERT INTO COTACAO (blt_id, pap_id, cot_prc_comum, cot_prc_min, cot_prc_max, cot_prc_med, cot_prc_mediana) VALUES (8, 39, NULL, NULL, NULL, NULL, NULL);</v>
      </c>
    </row>
    <row r="313" spans="1:10" x14ac:dyDescent="0.3">
      <c r="A313" s="1">
        <v>312</v>
      </c>
      <c r="B313" s="1">
        <v>8</v>
      </c>
      <c r="C313" s="1">
        <v>40</v>
      </c>
      <c r="D313" s="1" t="str">
        <f>IF('Boletins Nuppa Site'!G313&lt;&gt;0,'Boletins Nuppa Site'!G313,"NULL")</f>
        <v>NULL</v>
      </c>
      <c r="E313" s="1" t="str">
        <f>IF('Boletins Nuppa Site'!H313&lt;&gt;0,'Boletins Nuppa Site'!H313,"NULL")</f>
        <v>NULL</v>
      </c>
      <c r="F313" s="1" t="str">
        <f>IF('Boletins Nuppa Site'!I313&lt;&gt;0,'Boletins Nuppa Site'!I313,"NULL")</f>
        <v>NULL</v>
      </c>
      <c r="G313" s="1" t="str">
        <f>IF('Boletins Nuppa Site'!J313&lt;&gt;0,'Boletins Nuppa Site'!J313,"NULL")</f>
        <v>NULL</v>
      </c>
      <c r="H313" s="1" t="str">
        <f>IF('Boletins Nuppa Site'!K313&lt;&gt;0,'Boletins Nuppa Site'!K313,"NULL")</f>
        <v>NULL</v>
      </c>
      <c r="J313" s="1" t="str">
        <f t="shared" si="4"/>
        <v>INSERT INTO COTACAO (blt_id, pap_id, cot_prc_comum, cot_prc_min, cot_prc_max, cot_prc_med, cot_prc_mediana) VALUES (8, 40, NULL, NULL, NULL, NULL, NULL);</v>
      </c>
    </row>
    <row r="314" spans="1:10" x14ac:dyDescent="0.3">
      <c r="A314" s="1">
        <v>313</v>
      </c>
      <c r="B314" s="1">
        <v>9</v>
      </c>
      <c r="C314" s="1">
        <v>1</v>
      </c>
      <c r="D314" s="1" t="str">
        <f>IF('Boletins Nuppa Site'!G314&lt;&gt;0,'Boletins Nuppa Site'!G314,"NULL")</f>
        <v>NULL</v>
      </c>
      <c r="E314" s="19">
        <f>IF('Boletins Nuppa Site'!H314&lt;&gt;0,'Boletins Nuppa Site'!H314,"NULL")</f>
        <v>60</v>
      </c>
      <c r="F314" s="19">
        <f>IF('Boletins Nuppa Site'!I314&lt;&gt;0,'Boletins Nuppa Site'!I314,"NULL")</f>
        <v>78</v>
      </c>
      <c r="G314" s="19">
        <f>IF('Boletins Nuppa Site'!J314&lt;&gt;0,'Boletins Nuppa Site'!J314,"NULL")</f>
        <v>69</v>
      </c>
      <c r="H314" s="19">
        <f>IF('Boletins Nuppa Site'!K314&lt;&gt;0,'Boletins Nuppa Site'!K314,"NULL")</f>
        <v>69</v>
      </c>
      <c r="J314" s="1" t="str">
        <f t="shared" si="4"/>
        <v>INSERT INTO COTACAO (blt_id, pap_id, cot_prc_comum, cot_prc_min, cot_prc_max, cot_prc_med, cot_prc_mediana) VALUES (9, 1, NULL, 60, 78, 69, 69);</v>
      </c>
    </row>
    <row r="315" spans="1:10" x14ac:dyDescent="0.3">
      <c r="A315" s="1">
        <v>314</v>
      </c>
      <c r="B315" s="1">
        <v>9</v>
      </c>
      <c r="C315" s="1">
        <v>2</v>
      </c>
      <c r="D315" s="19">
        <f>IF('Boletins Nuppa Site'!G315&lt;&gt;0,'Boletins Nuppa Site'!G315,"NULL")</f>
        <v>84</v>
      </c>
      <c r="E315" s="19">
        <f>IF('Boletins Nuppa Site'!H315&lt;&gt;0,'Boletins Nuppa Site'!H315,"NULL")</f>
        <v>84</v>
      </c>
      <c r="F315" s="19">
        <f>IF('Boletins Nuppa Site'!I315&lt;&gt;0,'Boletins Nuppa Site'!I315,"NULL")</f>
        <v>84</v>
      </c>
      <c r="G315" s="19">
        <f>IF('Boletins Nuppa Site'!J315&lt;&gt;0,'Boletins Nuppa Site'!J315,"NULL")</f>
        <v>84</v>
      </c>
      <c r="H315" s="19">
        <f>IF('Boletins Nuppa Site'!K315&lt;&gt;0,'Boletins Nuppa Site'!K315,"NULL")</f>
        <v>84</v>
      </c>
      <c r="J315" s="1" t="str">
        <f t="shared" si="4"/>
        <v>INSERT INTO COTACAO (blt_id, pap_id, cot_prc_comum, cot_prc_min, cot_prc_max, cot_prc_med, cot_prc_mediana) VALUES (9, 2, 84, 84, 84, 84, 84);</v>
      </c>
    </row>
    <row r="316" spans="1:10" x14ac:dyDescent="0.3">
      <c r="A316" s="1">
        <v>315</v>
      </c>
      <c r="B316" s="1">
        <v>9</v>
      </c>
      <c r="C316" s="1">
        <v>3</v>
      </c>
      <c r="D316" s="1" t="str">
        <f>IF('Boletins Nuppa Site'!G316&lt;&gt;0,'Boletins Nuppa Site'!G316,"NULL")</f>
        <v>NULL</v>
      </c>
      <c r="E316" s="19">
        <f>IF('Boletins Nuppa Site'!H316&lt;&gt;0,'Boletins Nuppa Site'!H316,"NULL")</f>
        <v>50</v>
      </c>
      <c r="F316" s="19">
        <f>IF('Boletins Nuppa Site'!I316&lt;&gt;0,'Boletins Nuppa Site'!I316,"NULL")</f>
        <v>60</v>
      </c>
      <c r="G316" s="1" t="str">
        <f>IF('Boletins Nuppa Site'!J316&lt;&gt;0,'Boletins Nuppa Site'!J316,"NULL")</f>
        <v>54.67</v>
      </c>
      <c r="H316" s="19">
        <f>IF('Boletins Nuppa Site'!K316&lt;&gt;0,'Boletins Nuppa Site'!K316,"NULL")</f>
        <v>54</v>
      </c>
      <c r="J316" s="1" t="str">
        <f t="shared" si="4"/>
        <v>INSERT INTO COTACAO (blt_id, pap_id, cot_prc_comum, cot_prc_min, cot_prc_max, cot_prc_med, cot_prc_mediana) VALUES (9, 3, NULL, 50, 60, 54.67, 54);</v>
      </c>
    </row>
    <row r="317" spans="1:10" x14ac:dyDescent="0.3">
      <c r="A317" s="1">
        <v>316</v>
      </c>
      <c r="B317" s="1">
        <v>9</v>
      </c>
      <c r="C317" s="1">
        <v>4</v>
      </c>
      <c r="D317" s="1" t="str">
        <f>IF('Boletins Nuppa Site'!G317&lt;&gt;0,'Boletins Nuppa Site'!G317,"NULL")</f>
        <v>NULL</v>
      </c>
      <c r="E317" s="19">
        <f>IF('Boletins Nuppa Site'!H317&lt;&gt;0,'Boletins Nuppa Site'!H317,"NULL")</f>
        <v>30</v>
      </c>
      <c r="F317" s="19">
        <f>IF('Boletins Nuppa Site'!I317&lt;&gt;0,'Boletins Nuppa Site'!I317,"NULL")</f>
        <v>42</v>
      </c>
      <c r="G317" s="19">
        <f>IF('Boletins Nuppa Site'!J317&lt;&gt;0,'Boletins Nuppa Site'!J317,"NULL")</f>
        <v>36</v>
      </c>
      <c r="H317" s="19">
        <f>IF('Boletins Nuppa Site'!K317&lt;&gt;0,'Boletins Nuppa Site'!K317,"NULL")</f>
        <v>36</v>
      </c>
      <c r="J317" s="1" t="str">
        <f t="shared" si="4"/>
        <v>INSERT INTO COTACAO (blt_id, pap_id, cot_prc_comum, cot_prc_min, cot_prc_max, cot_prc_med, cot_prc_mediana) VALUES (9, 4, NULL, 30, 42, 36, 36);</v>
      </c>
    </row>
    <row r="318" spans="1:10" x14ac:dyDescent="0.3">
      <c r="A318" s="1">
        <v>317</v>
      </c>
      <c r="B318" s="1">
        <v>9</v>
      </c>
      <c r="C318" s="1">
        <v>5</v>
      </c>
      <c r="D318" s="1" t="str">
        <f>IF('Boletins Nuppa Site'!G318&lt;&gt;0,'Boletins Nuppa Site'!G318,"NULL")</f>
        <v>NULL</v>
      </c>
      <c r="E318" s="19">
        <f>IF('Boletins Nuppa Site'!H318&lt;&gt;0,'Boletins Nuppa Site'!H318,"NULL")</f>
        <v>36</v>
      </c>
      <c r="F318" s="19">
        <f>IF('Boletins Nuppa Site'!I318&lt;&gt;0,'Boletins Nuppa Site'!I318,"NULL")</f>
        <v>42</v>
      </c>
      <c r="G318" s="19">
        <f>IF('Boletins Nuppa Site'!J318&lt;&gt;0,'Boletins Nuppa Site'!J318,"NULL")</f>
        <v>39</v>
      </c>
      <c r="H318" s="19">
        <f>IF('Boletins Nuppa Site'!K318&lt;&gt;0,'Boletins Nuppa Site'!K318,"NULL")</f>
        <v>39</v>
      </c>
      <c r="J318" s="1" t="str">
        <f t="shared" si="4"/>
        <v>INSERT INTO COTACAO (blt_id, pap_id, cot_prc_comum, cot_prc_min, cot_prc_max, cot_prc_med, cot_prc_mediana) VALUES (9, 5, NULL, 36, 42, 39, 39);</v>
      </c>
    </row>
    <row r="319" spans="1:10" x14ac:dyDescent="0.3">
      <c r="A319" s="1">
        <v>318</v>
      </c>
      <c r="B319" s="1">
        <v>9</v>
      </c>
      <c r="C319" s="1">
        <v>6</v>
      </c>
      <c r="D319" s="19">
        <f>IF('Boletins Nuppa Site'!G319&lt;&gt;0,'Boletins Nuppa Site'!G319,"NULL")</f>
        <v>60</v>
      </c>
      <c r="E319" s="19">
        <f>IF('Boletins Nuppa Site'!H319&lt;&gt;0,'Boletins Nuppa Site'!H319,"NULL")</f>
        <v>60</v>
      </c>
      <c r="F319" s="19">
        <f>IF('Boletins Nuppa Site'!I319&lt;&gt;0,'Boletins Nuppa Site'!I319,"NULL")</f>
        <v>60</v>
      </c>
      <c r="G319" s="19">
        <f>IF('Boletins Nuppa Site'!J319&lt;&gt;0,'Boletins Nuppa Site'!J319,"NULL")</f>
        <v>60</v>
      </c>
      <c r="H319" s="19">
        <f>IF('Boletins Nuppa Site'!K319&lt;&gt;0,'Boletins Nuppa Site'!K319,"NULL")</f>
        <v>60</v>
      </c>
      <c r="J319" s="1" t="str">
        <f t="shared" si="4"/>
        <v>INSERT INTO COTACAO (blt_id, pap_id, cot_prc_comum, cot_prc_min, cot_prc_max, cot_prc_med, cot_prc_mediana) VALUES (9, 6, 60, 60, 60, 60, 60);</v>
      </c>
    </row>
    <row r="320" spans="1:10" x14ac:dyDescent="0.3">
      <c r="A320" s="1">
        <v>319</v>
      </c>
      <c r="B320" s="1">
        <v>9</v>
      </c>
      <c r="C320" s="1">
        <v>7</v>
      </c>
      <c r="D320" s="1" t="str">
        <f>IF('Boletins Nuppa Site'!G320&lt;&gt;0,'Boletins Nuppa Site'!G320,"NULL")</f>
        <v>NULL</v>
      </c>
      <c r="E320" s="19">
        <f>IF('Boletins Nuppa Site'!H320&lt;&gt;0,'Boletins Nuppa Site'!H320,"NULL")</f>
        <v>78</v>
      </c>
      <c r="F320" s="19">
        <f>IF('Boletins Nuppa Site'!I320&lt;&gt;0,'Boletins Nuppa Site'!I320,"NULL")</f>
        <v>84</v>
      </c>
      <c r="G320" s="19">
        <f>IF('Boletins Nuppa Site'!J320&lt;&gt;0,'Boletins Nuppa Site'!J320,"NULL")</f>
        <v>81</v>
      </c>
      <c r="H320" s="19">
        <f>IF('Boletins Nuppa Site'!K320&lt;&gt;0,'Boletins Nuppa Site'!K320,"NULL")</f>
        <v>81</v>
      </c>
      <c r="J320" s="1" t="str">
        <f t="shared" si="4"/>
        <v>INSERT INTO COTACAO (blt_id, pap_id, cot_prc_comum, cot_prc_min, cot_prc_max, cot_prc_med, cot_prc_mediana) VALUES (9, 7, NULL, 78, 84, 81, 81);</v>
      </c>
    </row>
    <row r="321" spans="1:10" x14ac:dyDescent="0.3">
      <c r="A321" s="1">
        <v>320</v>
      </c>
      <c r="B321" s="1">
        <v>9</v>
      </c>
      <c r="C321" s="1">
        <v>8</v>
      </c>
      <c r="D321" s="1" t="str">
        <f>IF('Boletins Nuppa Site'!G321&lt;&gt;0,'Boletins Nuppa Site'!G321,"NULL")</f>
        <v>NULL</v>
      </c>
      <c r="E321" s="19">
        <f>IF('Boletins Nuppa Site'!H321&lt;&gt;0,'Boletins Nuppa Site'!H321,"NULL")</f>
        <v>96</v>
      </c>
      <c r="F321" s="19">
        <f>IF('Boletins Nuppa Site'!I321&lt;&gt;0,'Boletins Nuppa Site'!I321,"NULL")</f>
        <v>96</v>
      </c>
      <c r="G321" s="19">
        <f>IF('Boletins Nuppa Site'!J321&lt;&gt;0,'Boletins Nuppa Site'!J321,"NULL")</f>
        <v>96</v>
      </c>
      <c r="H321" s="19">
        <f>IF('Boletins Nuppa Site'!K321&lt;&gt;0,'Boletins Nuppa Site'!K321,"NULL")</f>
        <v>96</v>
      </c>
      <c r="J321" s="1" t="str">
        <f t="shared" si="4"/>
        <v>INSERT INTO COTACAO (blt_id, pap_id, cot_prc_comum, cot_prc_min, cot_prc_max, cot_prc_med, cot_prc_mediana) VALUES (9, 8, NULL, 96, 96, 96, 96);</v>
      </c>
    </row>
    <row r="322" spans="1:10" x14ac:dyDescent="0.3">
      <c r="A322" s="1">
        <v>321</v>
      </c>
      <c r="B322" s="1">
        <v>9</v>
      </c>
      <c r="C322" s="1">
        <v>9</v>
      </c>
      <c r="D322" s="1" t="str">
        <f>IF('Boletins Nuppa Site'!G322&lt;&gt;0,'Boletins Nuppa Site'!G322,"NULL")</f>
        <v>NULL</v>
      </c>
      <c r="E322" s="19">
        <f>IF('Boletins Nuppa Site'!H322&lt;&gt;0,'Boletins Nuppa Site'!H322,"NULL")</f>
        <v>25</v>
      </c>
      <c r="F322" s="19">
        <f>IF('Boletins Nuppa Site'!I322&lt;&gt;0,'Boletins Nuppa Site'!I322,"NULL")</f>
        <v>36</v>
      </c>
      <c r="G322" s="1" t="str">
        <f>IF('Boletins Nuppa Site'!J322&lt;&gt;0,'Boletins Nuppa Site'!J322,"NULL")</f>
        <v>30.5</v>
      </c>
      <c r="H322" s="1" t="str">
        <f>IF('Boletins Nuppa Site'!K322&lt;&gt;0,'Boletins Nuppa Site'!K322,"NULL")</f>
        <v>30.5</v>
      </c>
      <c r="J322" s="1" t="str">
        <f t="shared" ref="J322:J385" si="5">"INSERT INTO COTACAO (blt_id, pap_id, cot_prc_comum, cot_prc_min, cot_prc_max, cot_prc_med, cot_prc_mediana) VALUES ("&amp;B322&amp;", "&amp;C322&amp;", "&amp;D322&amp;", "&amp;E322&amp;", "&amp;F322&amp;", "&amp;G322&amp;", "&amp;H322&amp;");"</f>
        <v>INSERT INTO COTACAO (blt_id, pap_id, cot_prc_comum, cot_prc_min, cot_prc_max, cot_prc_med, cot_prc_mediana) VALUES (9, 9, NULL, 25, 36, 30.5, 30.5);</v>
      </c>
    </row>
    <row r="323" spans="1:10" x14ac:dyDescent="0.3">
      <c r="A323" s="1">
        <v>322</v>
      </c>
      <c r="B323" s="1">
        <v>9</v>
      </c>
      <c r="C323" s="1">
        <v>10</v>
      </c>
      <c r="D323" s="1" t="str">
        <f>IF('Boletins Nuppa Site'!G323&lt;&gt;0,'Boletins Nuppa Site'!G323,"NULL")</f>
        <v>NULL</v>
      </c>
      <c r="E323" s="19">
        <f>IF('Boletins Nuppa Site'!H323&lt;&gt;0,'Boletins Nuppa Site'!H323,"NULL")</f>
        <v>84</v>
      </c>
      <c r="F323" s="19">
        <f>IF('Boletins Nuppa Site'!I323&lt;&gt;0,'Boletins Nuppa Site'!I323,"NULL")</f>
        <v>120</v>
      </c>
      <c r="G323" s="19">
        <f>IF('Boletins Nuppa Site'!J323&lt;&gt;0,'Boletins Nuppa Site'!J323,"NULL")</f>
        <v>102</v>
      </c>
      <c r="H323" s="19">
        <f>IF('Boletins Nuppa Site'!K323&lt;&gt;0,'Boletins Nuppa Site'!K323,"NULL")</f>
        <v>102</v>
      </c>
      <c r="J323" s="1" t="str">
        <f t="shared" si="5"/>
        <v>INSERT INTO COTACAO (blt_id, pap_id, cot_prc_comum, cot_prc_min, cot_prc_max, cot_prc_med, cot_prc_mediana) VALUES (9, 10, NULL, 84, 120, 102, 102);</v>
      </c>
    </row>
    <row r="324" spans="1:10" x14ac:dyDescent="0.3">
      <c r="A324" s="1">
        <v>323</v>
      </c>
      <c r="B324" s="1">
        <v>9</v>
      </c>
      <c r="C324" s="1">
        <v>11</v>
      </c>
      <c r="D324" s="1" t="str">
        <f>IF('Boletins Nuppa Site'!G324&lt;&gt;0,'Boletins Nuppa Site'!G324,"NULL")</f>
        <v>NULL</v>
      </c>
      <c r="E324" s="19">
        <f>IF('Boletins Nuppa Site'!H324&lt;&gt;0,'Boletins Nuppa Site'!H324,"NULL")</f>
        <v>36</v>
      </c>
      <c r="F324" s="19">
        <f>IF('Boletins Nuppa Site'!I324&lt;&gt;0,'Boletins Nuppa Site'!I324,"NULL")</f>
        <v>42</v>
      </c>
      <c r="G324" s="19">
        <f>IF('Boletins Nuppa Site'!J324&lt;&gt;0,'Boletins Nuppa Site'!J324,"NULL")</f>
        <v>39</v>
      </c>
      <c r="H324" s="19">
        <f>IF('Boletins Nuppa Site'!K324&lt;&gt;0,'Boletins Nuppa Site'!K324,"NULL")</f>
        <v>39</v>
      </c>
      <c r="J324" s="1" t="str">
        <f t="shared" si="5"/>
        <v>INSERT INTO COTACAO (blt_id, pap_id, cot_prc_comum, cot_prc_min, cot_prc_max, cot_prc_med, cot_prc_mediana) VALUES (9, 11, NULL, 36, 42, 39, 39);</v>
      </c>
    </row>
    <row r="325" spans="1:10" x14ac:dyDescent="0.3">
      <c r="A325" s="1">
        <v>324</v>
      </c>
      <c r="B325" s="1">
        <v>9</v>
      </c>
      <c r="C325" s="1">
        <v>12</v>
      </c>
      <c r="D325" s="1" t="str">
        <f>IF('Boletins Nuppa Site'!G325&lt;&gt;0,'Boletins Nuppa Site'!G325,"NULL")</f>
        <v>NULL</v>
      </c>
      <c r="E325" s="19">
        <f>IF('Boletins Nuppa Site'!H325&lt;&gt;0,'Boletins Nuppa Site'!H325,"NULL")</f>
        <v>54</v>
      </c>
      <c r="F325" s="19">
        <f>IF('Boletins Nuppa Site'!I325&lt;&gt;0,'Boletins Nuppa Site'!I325,"NULL")</f>
        <v>60</v>
      </c>
      <c r="G325" s="19">
        <f>IF('Boletins Nuppa Site'!J325&lt;&gt;0,'Boletins Nuppa Site'!J325,"NULL")</f>
        <v>57</v>
      </c>
      <c r="H325" s="19">
        <f>IF('Boletins Nuppa Site'!K325&lt;&gt;0,'Boletins Nuppa Site'!K325,"NULL")</f>
        <v>57</v>
      </c>
      <c r="J325" s="1" t="str">
        <f t="shared" si="5"/>
        <v>INSERT INTO COTACAO (blt_id, pap_id, cot_prc_comum, cot_prc_min, cot_prc_max, cot_prc_med, cot_prc_mediana) VALUES (9, 12, NULL, 54, 60, 57, 57);</v>
      </c>
    </row>
    <row r="326" spans="1:10" x14ac:dyDescent="0.3">
      <c r="A326" s="1">
        <v>325</v>
      </c>
      <c r="B326" s="1">
        <v>9</v>
      </c>
      <c r="C326" s="1">
        <v>13</v>
      </c>
      <c r="D326" s="1" t="str">
        <f>IF('Boletins Nuppa Site'!G326&lt;&gt;0,'Boletins Nuppa Site'!G326,"NULL")</f>
        <v>NULL</v>
      </c>
      <c r="E326" s="19">
        <f>IF('Boletins Nuppa Site'!H326&lt;&gt;0,'Boletins Nuppa Site'!H326,"NULL")</f>
        <v>60</v>
      </c>
      <c r="F326" s="19">
        <f>IF('Boletins Nuppa Site'!I326&lt;&gt;0,'Boletins Nuppa Site'!I326,"NULL")</f>
        <v>78</v>
      </c>
      <c r="G326" s="19">
        <f>IF('Boletins Nuppa Site'!J326&lt;&gt;0,'Boletins Nuppa Site'!J326,"NULL")</f>
        <v>69</v>
      </c>
      <c r="H326" s="19">
        <f>IF('Boletins Nuppa Site'!K326&lt;&gt;0,'Boletins Nuppa Site'!K326,"NULL")</f>
        <v>69</v>
      </c>
      <c r="J326" s="1" t="str">
        <f t="shared" si="5"/>
        <v>INSERT INTO COTACAO (blt_id, pap_id, cot_prc_comum, cot_prc_min, cot_prc_max, cot_prc_med, cot_prc_mediana) VALUES (9, 13, NULL, 60, 78, 69, 69);</v>
      </c>
    </row>
    <row r="327" spans="1:10" x14ac:dyDescent="0.3">
      <c r="A327" s="1">
        <v>326</v>
      </c>
      <c r="B327" s="1">
        <v>9</v>
      </c>
      <c r="C327" s="1">
        <v>14</v>
      </c>
      <c r="D327" s="1" t="str">
        <f>IF('Boletins Nuppa Site'!G327&lt;&gt;0,'Boletins Nuppa Site'!G327,"NULL")</f>
        <v>NULL</v>
      </c>
      <c r="E327" s="19">
        <f>IF('Boletins Nuppa Site'!H327&lt;&gt;0,'Boletins Nuppa Site'!H327,"NULL")</f>
        <v>72</v>
      </c>
      <c r="F327" s="19">
        <f>IF('Boletins Nuppa Site'!I327&lt;&gt;0,'Boletins Nuppa Site'!I327,"NULL")</f>
        <v>102</v>
      </c>
      <c r="G327" s="19">
        <f>IF('Boletins Nuppa Site'!J327&lt;&gt;0,'Boletins Nuppa Site'!J327,"NULL")</f>
        <v>87</v>
      </c>
      <c r="H327" s="19">
        <f>IF('Boletins Nuppa Site'!K327&lt;&gt;0,'Boletins Nuppa Site'!K327,"NULL")</f>
        <v>87</v>
      </c>
      <c r="J327" s="1" t="str">
        <f t="shared" si="5"/>
        <v>INSERT INTO COTACAO (blt_id, pap_id, cot_prc_comum, cot_prc_min, cot_prc_max, cot_prc_med, cot_prc_mediana) VALUES (9, 14, NULL, 72, 102, 87, 87);</v>
      </c>
    </row>
    <row r="328" spans="1:10" x14ac:dyDescent="0.3">
      <c r="A328" s="1">
        <v>327</v>
      </c>
      <c r="B328" s="1">
        <v>9</v>
      </c>
      <c r="C328" s="1">
        <v>15</v>
      </c>
      <c r="D328" s="1" t="str">
        <f>IF('Boletins Nuppa Site'!G328&lt;&gt;0,'Boletins Nuppa Site'!G328,"NULL")</f>
        <v>NULL</v>
      </c>
      <c r="E328" s="19">
        <f>IF('Boletins Nuppa Site'!H328&lt;&gt;0,'Boletins Nuppa Site'!H328,"NULL")</f>
        <v>55</v>
      </c>
      <c r="F328" s="19">
        <f>IF('Boletins Nuppa Site'!I328&lt;&gt;0,'Boletins Nuppa Site'!I328,"NULL")</f>
        <v>84</v>
      </c>
      <c r="G328" s="1" t="str">
        <f>IF('Boletins Nuppa Site'!J328&lt;&gt;0,'Boletins Nuppa Site'!J328,"NULL")</f>
        <v>66.33</v>
      </c>
      <c r="H328" s="19">
        <f>IF('Boletins Nuppa Site'!K328&lt;&gt;0,'Boletins Nuppa Site'!K328,"NULL")</f>
        <v>60</v>
      </c>
      <c r="J328" s="1" t="str">
        <f t="shared" si="5"/>
        <v>INSERT INTO COTACAO (blt_id, pap_id, cot_prc_comum, cot_prc_min, cot_prc_max, cot_prc_med, cot_prc_mediana) VALUES (9, 15, NULL, 55, 84, 66.33, 60);</v>
      </c>
    </row>
    <row r="329" spans="1:10" x14ac:dyDescent="0.3">
      <c r="A329" s="1">
        <v>328</v>
      </c>
      <c r="B329" s="1">
        <v>9</v>
      </c>
      <c r="C329" s="1">
        <v>16</v>
      </c>
      <c r="D329" s="19">
        <f>IF('Boletins Nuppa Site'!G329&lt;&gt;0,'Boletins Nuppa Site'!G329,"NULL")</f>
        <v>54</v>
      </c>
      <c r="E329" s="19">
        <f>IF('Boletins Nuppa Site'!H329&lt;&gt;0,'Boletins Nuppa Site'!H329,"NULL")</f>
        <v>54</v>
      </c>
      <c r="F329" s="19">
        <f>IF('Boletins Nuppa Site'!I329&lt;&gt;0,'Boletins Nuppa Site'!I329,"NULL")</f>
        <v>54</v>
      </c>
      <c r="G329" s="19">
        <f>IF('Boletins Nuppa Site'!J329&lt;&gt;0,'Boletins Nuppa Site'!J329,"NULL")</f>
        <v>54</v>
      </c>
      <c r="H329" s="19">
        <f>IF('Boletins Nuppa Site'!K329&lt;&gt;0,'Boletins Nuppa Site'!K329,"NULL")</f>
        <v>54</v>
      </c>
      <c r="J329" s="1" t="str">
        <f t="shared" si="5"/>
        <v>INSERT INTO COTACAO (blt_id, pap_id, cot_prc_comum, cot_prc_min, cot_prc_max, cot_prc_med, cot_prc_mediana) VALUES (9, 16, 54, 54, 54, 54, 54);</v>
      </c>
    </row>
    <row r="330" spans="1:10" x14ac:dyDescent="0.3">
      <c r="A330" s="1">
        <v>329</v>
      </c>
      <c r="B330" s="1">
        <v>9</v>
      </c>
      <c r="C330" s="1">
        <v>17</v>
      </c>
      <c r="D330" s="19">
        <f>IF('Boletins Nuppa Site'!G330&lt;&gt;0,'Boletins Nuppa Site'!G330,"NULL")</f>
        <v>5</v>
      </c>
      <c r="E330" s="1" t="str">
        <f>IF('Boletins Nuppa Site'!H330&lt;&gt;0,'Boletins Nuppa Site'!H330,"NULL")</f>
        <v>4.5</v>
      </c>
      <c r="F330" s="19">
        <f>IF('Boletins Nuppa Site'!I330&lt;&gt;0,'Boletins Nuppa Site'!I330,"NULL")</f>
        <v>5</v>
      </c>
      <c r="G330" s="1" t="str">
        <f>IF('Boletins Nuppa Site'!J330&lt;&gt;0,'Boletins Nuppa Site'!J330,"NULL")</f>
        <v>4.83</v>
      </c>
      <c r="H330" s="19">
        <f>IF('Boletins Nuppa Site'!K330&lt;&gt;0,'Boletins Nuppa Site'!K330,"NULL")</f>
        <v>5</v>
      </c>
      <c r="J330" s="1" t="str">
        <f t="shared" si="5"/>
        <v>INSERT INTO COTACAO (blt_id, pap_id, cot_prc_comum, cot_prc_min, cot_prc_max, cot_prc_med, cot_prc_mediana) VALUES (9, 17, 5, 4.5, 5, 4.83, 5);</v>
      </c>
    </row>
    <row r="331" spans="1:10" x14ac:dyDescent="0.3">
      <c r="A331" s="1">
        <v>330</v>
      </c>
      <c r="B331" s="1">
        <v>9</v>
      </c>
      <c r="C331" s="1">
        <v>18</v>
      </c>
      <c r="D331" s="1" t="str">
        <f>IF('Boletins Nuppa Site'!G331&lt;&gt;0,'Boletins Nuppa Site'!G331,"NULL")</f>
        <v>NULL</v>
      </c>
      <c r="E331" s="19">
        <f>IF('Boletins Nuppa Site'!H331&lt;&gt;0,'Boletins Nuppa Site'!H331,"NULL")</f>
        <v>20</v>
      </c>
      <c r="F331" s="19">
        <f>IF('Boletins Nuppa Site'!I331&lt;&gt;0,'Boletins Nuppa Site'!I331,"NULL")</f>
        <v>35</v>
      </c>
      <c r="G331" s="1" t="str">
        <f>IF('Boletins Nuppa Site'!J331&lt;&gt;0,'Boletins Nuppa Site'!J331,"NULL")</f>
        <v>26.67</v>
      </c>
      <c r="H331" s="19">
        <f>IF('Boletins Nuppa Site'!K331&lt;&gt;0,'Boletins Nuppa Site'!K331,"NULL")</f>
        <v>25</v>
      </c>
      <c r="J331" s="1" t="str">
        <f t="shared" si="5"/>
        <v>INSERT INTO COTACAO (blt_id, pap_id, cot_prc_comum, cot_prc_min, cot_prc_max, cot_prc_med, cot_prc_mediana) VALUES (9, 18, NULL, 20, 35, 26.67, 25);</v>
      </c>
    </row>
    <row r="332" spans="1:10" x14ac:dyDescent="0.3">
      <c r="A332" s="1">
        <v>331</v>
      </c>
      <c r="B332" s="1">
        <v>9</v>
      </c>
      <c r="C332" s="1">
        <v>19</v>
      </c>
      <c r="D332" s="1" t="str">
        <f>IF('Boletins Nuppa Site'!G332&lt;&gt;0,'Boletins Nuppa Site'!G332,"NULL")</f>
        <v>NULL</v>
      </c>
      <c r="E332" s="19">
        <f>IF('Boletins Nuppa Site'!H332&lt;&gt;0,'Boletins Nuppa Site'!H332,"NULL")</f>
        <v>30</v>
      </c>
      <c r="F332" s="19">
        <f>IF('Boletins Nuppa Site'!I332&lt;&gt;0,'Boletins Nuppa Site'!I332,"NULL")</f>
        <v>40</v>
      </c>
      <c r="G332" s="19">
        <f>IF('Boletins Nuppa Site'!J332&lt;&gt;0,'Boletins Nuppa Site'!J332,"NULL")</f>
        <v>35</v>
      </c>
      <c r="H332" s="19">
        <f>IF('Boletins Nuppa Site'!K332&lt;&gt;0,'Boletins Nuppa Site'!K332,"NULL")</f>
        <v>35</v>
      </c>
      <c r="J332" s="1" t="str">
        <f t="shared" si="5"/>
        <v>INSERT INTO COTACAO (blt_id, pap_id, cot_prc_comum, cot_prc_min, cot_prc_max, cot_prc_med, cot_prc_mediana) VALUES (9, 19, NULL, 30, 40, 35, 35);</v>
      </c>
    </row>
    <row r="333" spans="1:10" x14ac:dyDescent="0.3">
      <c r="A333" s="1">
        <v>332</v>
      </c>
      <c r="B333" s="1">
        <v>9</v>
      </c>
      <c r="C333" s="1">
        <v>20</v>
      </c>
      <c r="D333" s="1" t="str">
        <f>IF('Boletins Nuppa Site'!G333&lt;&gt;0,'Boletins Nuppa Site'!G333,"NULL")</f>
        <v>NULL</v>
      </c>
      <c r="E333" s="1" t="str">
        <f>IF('Boletins Nuppa Site'!H333&lt;&gt;0,'Boletins Nuppa Site'!H333,"NULL")</f>
        <v>NULL</v>
      </c>
      <c r="F333" s="1" t="str">
        <f>IF('Boletins Nuppa Site'!I333&lt;&gt;0,'Boletins Nuppa Site'!I333,"NULL")</f>
        <v>NULL</v>
      </c>
      <c r="G333" s="1" t="str">
        <f>IF('Boletins Nuppa Site'!J333&lt;&gt;0,'Boletins Nuppa Site'!J333,"NULL")</f>
        <v>NULL</v>
      </c>
      <c r="H333" s="1" t="str">
        <f>IF('Boletins Nuppa Site'!K333&lt;&gt;0,'Boletins Nuppa Site'!K333,"NULL")</f>
        <v>NULL</v>
      </c>
      <c r="J333" s="1" t="str">
        <f t="shared" si="5"/>
        <v>INSERT INTO COTACAO (blt_id, pap_id, cot_prc_comum, cot_prc_min, cot_prc_max, cot_prc_med, cot_prc_mediana) VALUES (9, 20, NULL, NULL, NULL, NULL, NULL);</v>
      </c>
    </row>
    <row r="334" spans="1:10" x14ac:dyDescent="0.3">
      <c r="A334" s="1">
        <v>333</v>
      </c>
      <c r="B334" s="1">
        <v>9</v>
      </c>
      <c r="C334" s="1">
        <v>21</v>
      </c>
      <c r="D334" s="19">
        <f>IF('Boletins Nuppa Site'!G334&lt;&gt;0,'Boletins Nuppa Site'!G334,"NULL")</f>
        <v>80</v>
      </c>
      <c r="E334" s="19">
        <f>IF('Boletins Nuppa Site'!H334&lt;&gt;0,'Boletins Nuppa Site'!H334,"NULL")</f>
        <v>70</v>
      </c>
      <c r="F334" s="19">
        <f>IF('Boletins Nuppa Site'!I334&lt;&gt;0,'Boletins Nuppa Site'!I334,"NULL")</f>
        <v>85</v>
      </c>
      <c r="G334" s="1" t="str">
        <f>IF('Boletins Nuppa Site'!J334&lt;&gt;0,'Boletins Nuppa Site'!J334,"NULL")</f>
        <v>78.75</v>
      </c>
      <c r="H334" s="19">
        <f>IF('Boletins Nuppa Site'!K334&lt;&gt;0,'Boletins Nuppa Site'!K334,"NULL")</f>
        <v>80</v>
      </c>
      <c r="J334" s="1" t="str">
        <f t="shared" si="5"/>
        <v>INSERT INTO COTACAO (blt_id, pap_id, cot_prc_comum, cot_prc_min, cot_prc_max, cot_prc_med, cot_prc_mediana) VALUES (9, 21, 80, 70, 85, 78.75, 80);</v>
      </c>
    </row>
    <row r="335" spans="1:10" x14ac:dyDescent="0.3">
      <c r="A335" s="1">
        <v>334</v>
      </c>
      <c r="B335" s="1">
        <v>9</v>
      </c>
      <c r="C335" s="1">
        <v>22</v>
      </c>
      <c r="D335" s="19">
        <f>IF('Boletins Nuppa Site'!G335&lt;&gt;0,'Boletins Nuppa Site'!G335,"NULL")</f>
        <v>75</v>
      </c>
      <c r="E335" s="19">
        <f>IF('Boletins Nuppa Site'!H335&lt;&gt;0,'Boletins Nuppa Site'!H335,"NULL")</f>
        <v>55</v>
      </c>
      <c r="F335" s="19">
        <f>IF('Boletins Nuppa Site'!I335&lt;&gt;0,'Boletins Nuppa Site'!I335,"NULL")</f>
        <v>75</v>
      </c>
      <c r="G335" s="19">
        <f>IF('Boletins Nuppa Site'!J335&lt;&gt;0,'Boletins Nuppa Site'!J335,"NULL")</f>
        <v>70</v>
      </c>
      <c r="H335" s="19">
        <f>IF('Boletins Nuppa Site'!K335&lt;&gt;0,'Boletins Nuppa Site'!K335,"NULL")</f>
        <v>75</v>
      </c>
      <c r="J335" s="1" t="str">
        <f t="shared" si="5"/>
        <v>INSERT INTO COTACAO (blt_id, pap_id, cot_prc_comum, cot_prc_min, cot_prc_max, cot_prc_med, cot_prc_mediana) VALUES (9, 22, 75, 55, 75, 70, 75);</v>
      </c>
    </row>
    <row r="336" spans="1:10" x14ac:dyDescent="0.3">
      <c r="A336" s="1">
        <v>335</v>
      </c>
      <c r="B336" s="1">
        <v>9</v>
      </c>
      <c r="C336" s="1">
        <v>23</v>
      </c>
      <c r="D336" s="19">
        <f>IF('Boletins Nuppa Site'!G336&lt;&gt;0,'Boletins Nuppa Site'!G336,"NULL")</f>
        <v>50</v>
      </c>
      <c r="E336" s="19">
        <f>IF('Boletins Nuppa Site'!H336&lt;&gt;0,'Boletins Nuppa Site'!H336,"NULL")</f>
        <v>30</v>
      </c>
      <c r="F336" s="19">
        <f>IF('Boletins Nuppa Site'!I336&lt;&gt;0,'Boletins Nuppa Site'!I336,"NULL")</f>
        <v>50</v>
      </c>
      <c r="G336" s="19">
        <f>IF('Boletins Nuppa Site'!J336&lt;&gt;0,'Boletins Nuppa Site'!J336,"NULL")</f>
        <v>44</v>
      </c>
      <c r="H336" s="19">
        <f>IF('Boletins Nuppa Site'!K336&lt;&gt;0,'Boletins Nuppa Site'!K336,"NULL")</f>
        <v>50</v>
      </c>
      <c r="J336" s="1" t="str">
        <f t="shared" si="5"/>
        <v>INSERT INTO COTACAO (blt_id, pap_id, cot_prc_comum, cot_prc_min, cot_prc_max, cot_prc_med, cot_prc_mediana) VALUES (9, 23, 50, 30, 50, 44, 50);</v>
      </c>
    </row>
    <row r="337" spans="1:10" x14ac:dyDescent="0.3">
      <c r="A337" s="1">
        <v>336</v>
      </c>
      <c r="B337" s="1">
        <v>9</v>
      </c>
      <c r="C337" s="1">
        <v>24</v>
      </c>
      <c r="D337" s="1" t="str">
        <f>IF('Boletins Nuppa Site'!G337&lt;&gt;0,'Boletins Nuppa Site'!G337,"NULL")</f>
        <v>NULL</v>
      </c>
      <c r="E337" s="19">
        <f>IF('Boletins Nuppa Site'!H337&lt;&gt;0,'Boletins Nuppa Site'!H337,"NULL")</f>
        <v>80</v>
      </c>
      <c r="F337" s="19">
        <f>IF('Boletins Nuppa Site'!I337&lt;&gt;0,'Boletins Nuppa Site'!I337,"NULL")</f>
        <v>80</v>
      </c>
      <c r="G337" s="19">
        <f>IF('Boletins Nuppa Site'!J337&lt;&gt;0,'Boletins Nuppa Site'!J337,"NULL")</f>
        <v>80</v>
      </c>
      <c r="H337" s="19">
        <f>IF('Boletins Nuppa Site'!K337&lt;&gt;0,'Boletins Nuppa Site'!K337,"NULL")</f>
        <v>80</v>
      </c>
      <c r="J337" s="1" t="str">
        <f t="shared" si="5"/>
        <v>INSERT INTO COTACAO (blt_id, pap_id, cot_prc_comum, cot_prc_min, cot_prc_max, cot_prc_med, cot_prc_mediana) VALUES (9, 24, NULL, 80, 80, 80, 80);</v>
      </c>
    </row>
    <row r="338" spans="1:10" x14ac:dyDescent="0.3">
      <c r="A338" s="1">
        <v>337</v>
      </c>
      <c r="B338" s="1">
        <v>9</v>
      </c>
      <c r="C338" s="1">
        <v>25</v>
      </c>
      <c r="D338" s="19">
        <f>IF('Boletins Nuppa Site'!G338&lt;&gt;0,'Boletins Nuppa Site'!G338,"NULL")</f>
        <v>100</v>
      </c>
      <c r="E338" s="19">
        <f>IF('Boletins Nuppa Site'!H338&lt;&gt;0,'Boletins Nuppa Site'!H338,"NULL")</f>
        <v>100</v>
      </c>
      <c r="F338" s="19">
        <f>IF('Boletins Nuppa Site'!I338&lt;&gt;0,'Boletins Nuppa Site'!I338,"NULL")</f>
        <v>130</v>
      </c>
      <c r="G338" s="1" t="str">
        <f>IF('Boletins Nuppa Site'!J338&lt;&gt;0,'Boletins Nuppa Site'!J338,"NULL")</f>
        <v>113.75</v>
      </c>
      <c r="H338" s="1" t="str">
        <f>IF('Boletins Nuppa Site'!K338&lt;&gt;0,'Boletins Nuppa Site'!K338,"NULL")</f>
        <v>112.5</v>
      </c>
      <c r="J338" s="1" t="str">
        <f t="shared" si="5"/>
        <v>INSERT INTO COTACAO (blt_id, pap_id, cot_prc_comum, cot_prc_min, cot_prc_max, cot_prc_med, cot_prc_mediana) VALUES (9, 25, 100, 100, 130, 113.75, 112.5);</v>
      </c>
    </row>
    <row r="339" spans="1:10" x14ac:dyDescent="0.3">
      <c r="A339" s="1">
        <v>338</v>
      </c>
      <c r="B339" s="1">
        <v>9</v>
      </c>
      <c r="C339" s="1">
        <v>26</v>
      </c>
      <c r="D339" s="19">
        <f>IF('Boletins Nuppa Site'!G339&lt;&gt;0,'Boletins Nuppa Site'!G339,"NULL")</f>
        <v>130</v>
      </c>
      <c r="E339" s="19">
        <f>IF('Boletins Nuppa Site'!H339&lt;&gt;0,'Boletins Nuppa Site'!H339,"NULL")</f>
        <v>90</v>
      </c>
      <c r="F339" s="19">
        <f>IF('Boletins Nuppa Site'!I339&lt;&gt;0,'Boletins Nuppa Site'!I339,"NULL")</f>
        <v>140</v>
      </c>
      <c r="G339" s="1" t="str">
        <f>IF('Boletins Nuppa Site'!J339&lt;&gt;0,'Boletins Nuppa Site'!J339,"NULL")</f>
        <v>122.5</v>
      </c>
      <c r="H339" s="19">
        <f>IF('Boletins Nuppa Site'!K339&lt;&gt;0,'Boletins Nuppa Site'!K339,"NULL")</f>
        <v>130</v>
      </c>
      <c r="J339" s="1" t="str">
        <f t="shared" si="5"/>
        <v>INSERT INTO COTACAO (blt_id, pap_id, cot_prc_comum, cot_prc_min, cot_prc_max, cot_prc_med, cot_prc_mediana) VALUES (9, 26, 130, 90, 140, 122.5, 130);</v>
      </c>
    </row>
    <row r="340" spans="1:10" x14ac:dyDescent="0.3">
      <c r="A340" s="1">
        <v>339</v>
      </c>
      <c r="B340" s="1">
        <v>9</v>
      </c>
      <c r="C340" s="1">
        <v>27</v>
      </c>
      <c r="D340" s="19">
        <f>IF('Boletins Nuppa Site'!G340&lt;&gt;0,'Boletins Nuppa Site'!G340,"NULL")</f>
        <v>70</v>
      </c>
      <c r="E340" s="19">
        <f>IF('Boletins Nuppa Site'!H340&lt;&gt;0,'Boletins Nuppa Site'!H340,"NULL")</f>
        <v>70</v>
      </c>
      <c r="F340" s="19">
        <f>IF('Boletins Nuppa Site'!I340&lt;&gt;0,'Boletins Nuppa Site'!I340,"NULL")</f>
        <v>90</v>
      </c>
      <c r="G340" s="19">
        <f>IF('Boletins Nuppa Site'!J340&lt;&gt;0,'Boletins Nuppa Site'!J340,"NULL")</f>
        <v>75</v>
      </c>
      <c r="H340" s="19">
        <f>IF('Boletins Nuppa Site'!K340&lt;&gt;0,'Boletins Nuppa Site'!K340,"NULL")</f>
        <v>70</v>
      </c>
      <c r="J340" s="1" t="str">
        <f t="shared" si="5"/>
        <v>INSERT INTO COTACAO (blt_id, pap_id, cot_prc_comum, cot_prc_min, cot_prc_max, cot_prc_med, cot_prc_mediana) VALUES (9, 27, 70, 70, 90, 75, 70);</v>
      </c>
    </row>
    <row r="341" spans="1:10" x14ac:dyDescent="0.3">
      <c r="A341" s="1">
        <v>340</v>
      </c>
      <c r="B341" s="1">
        <v>9</v>
      </c>
      <c r="C341" s="1">
        <v>28</v>
      </c>
      <c r="D341" s="1" t="str">
        <f>IF('Boletins Nuppa Site'!G341&lt;&gt;0,'Boletins Nuppa Site'!G341,"NULL")</f>
        <v>NULL</v>
      </c>
      <c r="E341" s="19">
        <f>IF('Boletins Nuppa Site'!H341&lt;&gt;0,'Boletins Nuppa Site'!H341,"NULL")</f>
        <v>80</v>
      </c>
      <c r="F341" s="19">
        <f>IF('Boletins Nuppa Site'!I341&lt;&gt;0,'Boletins Nuppa Site'!I341,"NULL")</f>
        <v>85</v>
      </c>
      <c r="G341" s="1" t="str">
        <f>IF('Boletins Nuppa Site'!J341&lt;&gt;0,'Boletins Nuppa Site'!J341,"NULL")</f>
        <v>82.5</v>
      </c>
      <c r="H341" s="1" t="str">
        <f>IF('Boletins Nuppa Site'!K341&lt;&gt;0,'Boletins Nuppa Site'!K341,"NULL")</f>
        <v>82.5</v>
      </c>
      <c r="J341" s="1" t="str">
        <f t="shared" si="5"/>
        <v>INSERT INTO COTACAO (blt_id, pap_id, cot_prc_comum, cot_prc_min, cot_prc_max, cot_prc_med, cot_prc_mediana) VALUES (9, 28, NULL, 80, 85, 82.5, 82.5);</v>
      </c>
    </row>
    <row r="342" spans="1:10" x14ac:dyDescent="0.3">
      <c r="A342" s="1">
        <v>341</v>
      </c>
      <c r="B342" s="1">
        <v>9</v>
      </c>
      <c r="C342" s="1">
        <v>29</v>
      </c>
      <c r="D342" s="19">
        <f>IF('Boletins Nuppa Site'!G342&lt;&gt;0,'Boletins Nuppa Site'!G342,"NULL")</f>
        <v>60</v>
      </c>
      <c r="E342" s="19">
        <f>IF('Boletins Nuppa Site'!H342&lt;&gt;0,'Boletins Nuppa Site'!H342,"NULL")</f>
        <v>60</v>
      </c>
      <c r="F342" s="19">
        <f>IF('Boletins Nuppa Site'!I342&lt;&gt;0,'Boletins Nuppa Site'!I342,"NULL")</f>
        <v>60</v>
      </c>
      <c r="G342" s="19">
        <f>IF('Boletins Nuppa Site'!J342&lt;&gt;0,'Boletins Nuppa Site'!J342,"NULL")</f>
        <v>60</v>
      </c>
      <c r="H342" s="19">
        <f>IF('Boletins Nuppa Site'!K342&lt;&gt;0,'Boletins Nuppa Site'!K342,"NULL")</f>
        <v>60</v>
      </c>
      <c r="J342" s="1" t="str">
        <f t="shared" si="5"/>
        <v>INSERT INTO COTACAO (blt_id, pap_id, cot_prc_comum, cot_prc_min, cot_prc_max, cot_prc_med, cot_prc_mediana) VALUES (9, 29, 60, 60, 60, 60, 60);</v>
      </c>
    </row>
    <row r="343" spans="1:10" x14ac:dyDescent="0.3">
      <c r="A343" s="1">
        <v>342</v>
      </c>
      <c r="B343" s="1">
        <v>9</v>
      </c>
      <c r="C343" s="1">
        <v>30</v>
      </c>
      <c r="D343" s="19">
        <f>IF('Boletins Nuppa Site'!G343&lt;&gt;0,'Boletins Nuppa Site'!G343,"NULL")</f>
        <v>70</v>
      </c>
      <c r="E343" s="19">
        <f>IF('Boletins Nuppa Site'!H343&lt;&gt;0,'Boletins Nuppa Site'!H343,"NULL")</f>
        <v>70</v>
      </c>
      <c r="F343" s="19">
        <f>IF('Boletins Nuppa Site'!I343&lt;&gt;0,'Boletins Nuppa Site'!I343,"NULL")</f>
        <v>70</v>
      </c>
      <c r="G343" s="19">
        <f>IF('Boletins Nuppa Site'!J343&lt;&gt;0,'Boletins Nuppa Site'!J343,"NULL")</f>
        <v>70</v>
      </c>
      <c r="H343" s="19">
        <f>IF('Boletins Nuppa Site'!K343&lt;&gt;0,'Boletins Nuppa Site'!K343,"NULL")</f>
        <v>70</v>
      </c>
      <c r="J343" s="1" t="str">
        <f t="shared" si="5"/>
        <v>INSERT INTO COTACAO (blt_id, pap_id, cot_prc_comum, cot_prc_min, cot_prc_max, cot_prc_med, cot_prc_mediana) VALUES (9, 30, 70, 70, 70, 70, 70);</v>
      </c>
    </row>
    <row r="344" spans="1:10" x14ac:dyDescent="0.3">
      <c r="A344" s="1">
        <v>343</v>
      </c>
      <c r="B344" s="1">
        <v>9</v>
      </c>
      <c r="C344" s="1">
        <v>31</v>
      </c>
      <c r="D344" s="1" t="str">
        <f>IF('Boletins Nuppa Site'!G344&lt;&gt;0,'Boletins Nuppa Site'!G344,"NULL")</f>
        <v>NULL</v>
      </c>
      <c r="E344" s="19">
        <f>IF('Boletins Nuppa Site'!H344&lt;&gt;0,'Boletins Nuppa Site'!H344,"NULL")</f>
        <v>80</v>
      </c>
      <c r="F344" s="19">
        <f>IF('Boletins Nuppa Site'!I344&lt;&gt;0,'Boletins Nuppa Site'!I344,"NULL")</f>
        <v>135</v>
      </c>
      <c r="G344" s="1" t="str">
        <f>IF('Boletins Nuppa Site'!J344&lt;&gt;0,'Boletins Nuppa Site'!J344,"NULL")</f>
        <v>106.25</v>
      </c>
      <c r="H344" s="19">
        <f>IF('Boletins Nuppa Site'!K344&lt;&gt;0,'Boletins Nuppa Site'!K344,"NULL")</f>
        <v>105</v>
      </c>
      <c r="J344" s="1" t="str">
        <f t="shared" si="5"/>
        <v>INSERT INTO COTACAO (blt_id, pap_id, cot_prc_comum, cot_prc_min, cot_prc_max, cot_prc_med, cot_prc_mediana) VALUES (9, 31, NULL, 80, 135, 106.25, 105);</v>
      </c>
    </row>
    <row r="345" spans="1:10" x14ac:dyDescent="0.3">
      <c r="A345" s="1">
        <v>344</v>
      </c>
      <c r="B345" s="1">
        <v>9</v>
      </c>
      <c r="C345" s="1">
        <v>32</v>
      </c>
      <c r="D345" s="19">
        <f>IF('Boletins Nuppa Site'!G345&lt;&gt;0,'Boletins Nuppa Site'!G345,"NULL")</f>
        <v>60</v>
      </c>
      <c r="E345" s="19">
        <f>IF('Boletins Nuppa Site'!H345&lt;&gt;0,'Boletins Nuppa Site'!H345,"NULL")</f>
        <v>45</v>
      </c>
      <c r="F345" s="19">
        <f>IF('Boletins Nuppa Site'!I345&lt;&gt;0,'Boletins Nuppa Site'!I345,"NULL")</f>
        <v>70</v>
      </c>
      <c r="G345" s="1" t="str">
        <f>IF('Boletins Nuppa Site'!J345&lt;&gt;0,'Boletins Nuppa Site'!J345,"NULL")</f>
        <v>58.75</v>
      </c>
      <c r="H345" s="19">
        <f>IF('Boletins Nuppa Site'!K345&lt;&gt;0,'Boletins Nuppa Site'!K345,"NULL")</f>
        <v>60</v>
      </c>
      <c r="J345" s="1" t="str">
        <f t="shared" si="5"/>
        <v>INSERT INTO COTACAO (blt_id, pap_id, cot_prc_comum, cot_prc_min, cot_prc_max, cot_prc_med, cot_prc_mediana) VALUES (9, 32, 60, 45, 70, 58.75, 60);</v>
      </c>
    </row>
    <row r="346" spans="1:10" x14ac:dyDescent="0.3">
      <c r="A346" s="1">
        <v>345</v>
      </c>
      <c r="B346" s="1">
        <v>9</v>
      </c>
      <c r="C346" s="1">
        <v>33</v>
      </c>
      <c r="D346" s="1" t="str">
        <f>IF('Boletins Nuppa Site'!G346&lt;&gt;0,'Boletins Nuppa Site'!G346,"NULL")</f>
        <v>NULL</v>
      </c>
      <c r="E346" s="19">
        <f>IF('Boletins Nuppa Site'!H346&lt;&gt;0,'Boletins Nuppa Site'!H346,"NULL")</f>
        <v>50</v>
      </c>
      <c r="F346" s="19">
        <f>IF('Boletins Nuppa Site'!I346&lt;&gt;0,'Boletins Nuppa Site'!I346,"NULL")</f>
        <v>70</v>
      </c>
      <c r="G346" s="19">
        <f>IF('Boletins Nuppa Site'!J346&lt;&gt;0,'Boletins Nuppa Site'!J346,"NULL")</f>
        <v>60</v>
      </c>
      <c r="H346" s="19">
        <f>IF('Boletins Nuppa Site'!K346&lt;&gt;0,'Boletins Nuppa Site'!K346,"NULL")</f>
        <v>60</v>
      </c>
      <c r="J346" s="1" t="str">
        <f t="shared" si="5"/>
        <v>INSERT INTO COTACAO (blt_id, pap_id, cot_prc_comum, cot_prc_min, cot_prc_max, cot_prc_med, cot_prc_mediana) VALUES (9, 33, NULL, 50, 70, 60, 60);</v>
      </c>
    </row>
    <row r="347" spans="1:10" x14ac:dyDescent="0.3">
      <c r="A347" s="1">
        <v>346</v>
      </c>
      <c r="B347" s="1">
        <v>9</v>
      </c>
      <c r="C347" s="1">
        <v>34</v>
      </c>
      <c r="D347" s="19">
        <f>IF('Boletins Nuppa Site'!G347&lt;&gt;0,'Boletins Nuppa Site'!G347,"NULL")</f>
        <v>150</v>
      </c>
      <c r="E347" s="19">
        <f>IF('Boletins Nuppa Site'!H347&lt;&gt;0,'Boletins Nuppa Site'!H347,"NULL")</f>
        <v>110</v>
      </c>
      <c r="F347" s="19">
        <f>IF('Boletins Nuppa Site'!I347&lt;&gt;0,'Boletins Nuppa Site'!I347,"NULL")</f>
        <v>150</v>
      </c>
      <c r="G347" s="1" t="str">
        <f>IF('Boletins Nuppa Site'!J347&lt;&gt;0,'Boletins Nuppa Site'!J347,"NULL")</f>
        <v>137.5</v>
      </c>
      <c r="H347" s="19">
        <f>IF('Boletins Nuppa Site'!K347&lt;&gt;0,'Boletins Nuppa Site'!K347,"NULL")</f>
        <v>145</v>
      </c>
      <c r="J347" s="1" t="str">
        <f t="shared" si="5"/>
        <v>INSERT INTO COTACAO (blt_id, pap_id, cot_prc_comum, cot_prc_min, cot_prc_max, cot_prc_med, cot_prc_mediana) VALUES (9, 34, 150, 110, 150, 137.5, 145);</v>
      </c>
    </row>
    <row r="348" spans="1:10" x14ac:dyDescent="0.3">
      <c r="A348" s="1">
        <v>347</v>
      </c>
      <c r="B348" s="1">
        <v>9</v>
      </c>
      <c r="C348" s="1">
        <v>35</v>
      </c>
      <c r="D348" s="1" t="str">
        <f>IF('Boletins Nuppa Site'!G348&lt;&gt;0,'Boletins Nuppa Site'!G348,"NULL")</f>
        <v>NULL</v>
      </c>
      <c r="E348" s="19">
        <f>IF('Boletins Nuppa Site'!H348&lt;&gt;0,'Boletins Nuppa Site'!H348,"NULL")</f>
        <v>120</v>
      </c>
      <c r="F348" s="19">
        <f>IF('Boletins Nuppa Site'!I348&lt;&gt;0,'Boletins Nuppa Site'!I348,"NULL")</f>
        <v>150</v>
      </c>
      <c r="G348" s="1" t="str">
        <f>IF('Boletins Nuppa Site'!J348&lt;&gt;0,'Boletins Nuppa Site'!J348,"NULL")</f>
        <v>136.67</v>
      </c>
      <c r="H348" s="19">
        <f>IF('Boletins Nuppa Site'!K348&lt;&gt;0,'Boletins Nuppa Site'!K348,"NULL")</f>
        <v>140</v>
      </c>
      <c r="J348" s="1" t="str">
        <f t="shared" si="5"/>
        <v>INSERT INTO COTACAO (blt_id, pap_id, cot_prc_comum, cot_prc_min, cot_prc_max, cot_prc_med, cot_prc_mediana) VALUES (9, 35, NULL, 120, 150, 136.67, 140);</v>
      </c>
    </row>
    <row r="349" spans="1:10" x14ac:dyDescent="0.3">
      <c r="A349" s="1">
        <v>348</v>
      </c>
      <c r="B349" s="1">
        <v>9</v>
      </c>
      <c r="C349" s="1">
        <v>36</v>
      </c>
      <c r="D349" s="1" t="str">
        <f>IF('Boletins Nuppa Site'!G349&lt;&gt;0,'Boletins Nuppa Site'!G349,"NULL")</f>
        <v>NULL</v>
      </c>
      <c r="E349" s="19">
        <f>IF('Boletins Nuppa Site'!H349&lt;&gt;0,'Boletins Nuppa Site'!H349,"NULL")</f>
        <v>110</v>
      </c>
      <c r="F349" s="19">
        <f>IF('Boletins Nuppa Site'!I349&lt;&gt;0,'Boletins Nuppa Site'!I349,"NULL")</f>
        <v>110</v>
      </c>
      <c r="G349" s="19">
        <f>IF('Boletins Nuppa Site'!J349&lt;&gt;0,'Boletins Nuppa Site'!J349,"NULL")</f>
        <v>110</v>
      </c>
      <c r="H349" s="19">
        <f>IF('Boletins Nuppa Site'!K349&lt;&gt;0,'Boletins Nuppa Site'!K349,"NULL")</f>
        <v>110</v>
      </c>
      <c r="J349" s="1" t="str">
        <f t="shared" si="5"/>
        <v>INSERT INTO COTACAO (blt_id, pap_id, cot_prc_comum, cot_prc_min, cot_prc_max, cot_prc_med, cot_prc_mediana) VALUES (9, 36, NULL, 110, 110, 110, 110);</v>
      </c>
    </row>
    <row r="350" spans="1:10" x14ac:dyDescent="0.3">
      <c r="A350" s="1">
        <v>349</v>
      </c>
      <c r="B350" s="1">
        <v>9</v>
      </c>
      <c r="C350" s="1">
        <v>37</v>
      </c>
      <c r="D350" s="1" t="str">
        <f>IF('Boletins Nuppa Site'!G350&lt;&gt;0,'Boletins Nuppa Site'!G350,"NULL")</f>
        <v>NULL</v>
      </c>
      <c r="E350" s="19">
        <f>IF('Boletins Nuppa Site'!H350&lt;&gt;0,'Boletins Nuppa Site'!H350,"NULL")</f>
        <v>70</v>
      </c>
      <c r="F350" s="19">
        <f>IF('Boletins Nuppa Site'!I350&lt;&gt;0,'Boletins Nuppa Site'!I350,"NULL")</f>
        <v>70</v>
      </c>
      <c r="G350" s="19">
        <f>IF('Boletins Nuppa Site'!J350&lt;&gt;0,'Boletins Nuppa Site'!J350,"NULL")</f>
        <v>70</v>
      </c>
      <c r="H350" s="19">
        <f>IF('Boletins Nuppa Site'!K350&lt;&gt;0,'Boletins Nuppa Site'!K350,"NULL")</f>
        <v>70</v>
      </c>
      <c r="J350" s="1" t="str">
        <f t="shared" si="5"/>
        <v>INSERT INTO COTACAO (blt_id, pap_id, cot_prc_comum, cot_prc_min, cot_prc_max, cot_prc_med, cot_prc_mediana) VALUES (9, 37, NULL, 70, 70, 70, 70);</v>
      </c>
    </row>
    <row r="351" spans="1:10" x14ac:dyDescent="0.3">
      <c r="A351" s="1">
        <v>350</v>
      </c>
      <c r="B351" s="1">
        <v>9</v>
      </c>
      <c r="C351" s="1">
        <v>38</v>
      </c>
      <c r="D351" s="1" t="str">
        <f>IF('Boletins Nuppa Site'!G351&lt;&gt;0,'Boletins Nuppa Site'!G351,"NULL")</f>
        <v>NULL</v>
      </c>
      <c r="E351" s="19">
        <f>IF('Boletins Nuppa Site'!H351&lt;&gt;0,'Boletins Nuppa Site'!H351,"NULL")</f>
        <v>40</v>
      </c>
      <c r="F351" s="19">
        <f>IF('Boletins Nuppa Site'!I351&lt;&gt;0,'Boletins Nuppa Site'!I351,"NULL")</f>
        <v>40</v>
      </c>
      <c r="G351" s="19">
        <f>IF('Boletins Nuppa Site'!J351&lt;&gt;0,'Boletins Nuppa Site'!J351,"NULL")</f>
        <v>40</v>
      </c>
      <c r="H351" s="19">
        <f>IF('Boletins Nuppa Site'!K351&lt;&gt;0,'Boletins Nuppa Site'!K351,"NULL")</f>
        <v>40</v>
      </c>
      <c r="J351" s="1" t="str">
        <f t="shared" si="5"/>
        <v>INSERT INTO COTACAO (blt_id, pap_id, cot_prc_comum, cot_prc_min, cot_prc_max, cot_prc_med, cot_prc_mediana) VALUES (9, 38, NULL, 40, 40, 40, 40);</v>
      </c>
    </row>
    <row r="352" spans="1:10" x14ac:dyDescent="0.3">
      <c r="A352" s="1">
        <v>351</v>
      </c>
      <c r="B352" s="1">
        <v>9</v>
      </c>
      <c r="C352" s="1">
        <v>39</v>
      </c>
      <c r="D352" s="1" t="str">
        <f>IF('Boletins Nuppa Site'!G352&lt;&gt;0,'Boletins Nuppa Site'!G352,"NULL")</f>
        <v>NULL</v>
      </c>
      <c r="E352" s="19">
        <f>IF('Boletins Nuppa Site'!H352&lt;&gt;0,'Boletins Nuppa Site'!H352,"NULL")</f>
        <v>50</v>
      </c>
      <c r="F352" s="19">
        <f>IF('Boletins Nuppa Site'!I352&lt;&gt;0,'Boletins Nuppa Site'!I352,"NULL")</f>
        <v>50</v>
      </c>
      <c r="G352" s="19">
        <f>IF('Boletins Nuppa Site'!J352&lt;&gt;0,'Boletins Nuppa Site'!J352,"NULL")</f>
        <v>50</v>
      </c>
      <c r="H352" s="19">
        <f>IF('Boletins Nuppa Site'!K352&lt;&gt;0,'Boletins Nuppa Site'!K352,"NULL")</f>
        <v>50</v>
      </c>
      <c r="J352" s="1" t="str">
        <f t="shared" si="5"/>
        <v>INSERT INTO COTACAO (blt_id, pap_id, cot_prc_comum, cot_prc_min, cot_prc_max, cot_prc_med, cot_prc_mediana) VALUES (9, 39, NULL, 50, 50, 50, 50);</v>
      </c>
    </row>
    <row r="353" spans="1:10" x14ac:dyDescent="0.3">
      <c r="A353" s="1">
        <v>352</v>
      </c>
      <c r="B353" s="1">
        <v>9</v>
      </c>
      <c r="C353" s="1">
        <v>40</v>
      </c>
      <c r="D353" s="1" t="str">
        <f>IF('Boletins Nuppa Site'!G353&lt;&gt;0,'Boletins Nuppa Site'!G353,"NULL")</f>
        <v>NULL</v>
      </c>
      <c r="E353" s="1" t="str">
        <f>IF('Boletins Nuppa Site'!H353&lt;&gt;0,'Boletins Nuppa Site'!H353,"NULL")</f>
        <v>NULL</v>
      </c>
      <c r="F353" s="1" t="str">
        <f>IF('Boletins Nuppa Site'!I353&lt;&gt;0,'Boletins Nuppa Site'!I353,"NULL")</f>
        <v>NULL</v>
      </c>
      <c r="G353" s="1" t="str">
        <f>IF('Boletins Nuppa Site'!J353&lt;&gt;0,'Boletins Nuppa Site'!J353,"NULL")</f>
        <v>NULL</v>
      </c>
      <c r="H353" s="1" t="str">
        <f>IF('Boletins Nuppa Site'!K353&lt;&gt;0,'Boletins Nuppa Site'!K353,"NULL")</f>
        <v>NULL</v>
      </c>
      <c r="J353" s="1" t="str">
        <f t="shared" si="5"/>
        <v>INSERT INTO COTACAO (blt_id, pap_id, cot_prc_comum, cot_prc_min, cot_prc_max, cot_prc_med, cot_prc_mediana) VALUES (9, 40, NULL, NULL, NULL, NULL, NULL);</v>
      </c>
    </row>
    <row r="354" spans="1:10" x14ac:dyDescent="0.3">
      <c r="A354" s="1">
        <v>353</v>
      </c>
      <c r="B354" s="1">
        <v>10</v>
      </c>
      <c r="C354" s="1">
        <v>1</v>
      </c>
      <c r="D354" s="19">
        <f>IF('Boletins Nuppa Site'!G354&lt;&gt;0,'Boletins Nuppa Site'!G354,"NULL")</f>
        <v>60</v>
      </c>
      <c r="E354" s="19">
        <f>IF('Boletins Nuppa Site'!H354&lt;&gt;0,'Boletins Nuppa Site'!H354,"NULL")</f>
        <v>60</v>
      </c>
      <c r="F354" s="19">
        <f>IF('Boletins Nuppa Site'!I354&lt;&gt;0,'Boletins Nuppa Site'!I354,"NULL")</f>
        <v>84</v>
      </c>
      <c r="G354" s="19">
        <f>IF('Boletins Nuppa Site'!J354&lt;&gt;0,'Boletins Nuppa Site'!J354,"NULL")</f>
        <v>68</v>
      </c>
      <c r="H354" s="19">
        <f>IF('Boletins Nuppa Site'!K354&lt;&gt;0,'Boletins Nuppa Site'!K354,"NULL")</f>
        <v>60</v>
      </c>
      <c r="J354" s="1" t="str">
        <f t="shared" si="5"/>
        <v>INSERT INTO COTACAO (blt_id, pap_id, cot_prc_comum, cot_prc_min, cot_prc_max, cot_prc_med, cot_prc_mediana) VALUES (10, 1, 60, 60, 84, 68, 60);</v>
      </c>
    </row>
    <row r="355" spans="1:10" x14ac:dyDescent="0.3">
      <c r="A355" s="1">
        <v>354</v>
      </c>
      <c r="B355" s="1">
        <v>10</v>
      </c>
      <c r="C355" s="1">
        <v>2</v>
      </c>
      <c r="D355" s="1" t="str">
        <f>IF('Boletins Nuppa Site'!G355&lt;&gt;0,'Boletins Nuppa Site'!G355,"NULL")</f>
        <v>NULL</v>
      </c>
      <c r="E355" s="19">
        <f>IF('Boletins Nuppa Site'!H355&lt;&gt;0,'Boletins Nuppa Site'!H355,"NULL")</f>
        <v>32</v>
      </c>
      <c r="F355" s="19">
        <f>IF('Boletins Nuppa Site'!I355&lt;&gt;0,'Boletins Nuppa Site'!I355,"NULL")</f>
        <v>84</v>
      </c>
      <c r="G355" s="1" t="str">
        <f>IF('Boletins Nuppa Site'!J355&lt;&gt;0,'Boletins Nuppa Site'!J355,"NULL")</f>
        <v>62.67</v>
      </c>
      <c r="H355" s="19">
        <f>IF('Boletins Nuppa Site'!K355&lt;&gt;0,'Boletins Nuppa Site'!K355,"NULL")</f>
        <v>72</v>
      </c>
      <c r="J355" s="1" t="str">
        <f t="shared" si="5"/>
        <v>INSERT INTO COTACAO (blt_id, pap_id, cot_prc_comum, cot_prc_min, cot_prc_max, cot_prc_med, cot_prc_mediana) VALUES (10, 2, NULL, 32, 84, 62.67, 72);</v>
      </c>
    </row>
    <row r="356" spans="1:10" x14ac:dyDescent="0.3">
      <c r="A356" s="1">
        <v>355</v>
      </c>
      <c r="B356" s="1">
        <v>10</v>
      </c>
      <c r="C356" s="1">
        <v>3</v>
      </c>
      <c r="D356" s="19">
        <f>IF('Boletins Nuppa Site'!G356&lt;&gt;0,'Boletins Nuppa Site'!G356,"NULL")</f>
        <v>45</v>
      </c>
      <c r="E356" s="19">
        <f>IF('Boletins Nuppa Site'!H356&lt;&gt;0,'Boletins Nuppa Site'!H356,"NULL")</f>
        <v>45</v>
      </c>
      <c r="F356" s="19">
        <f>IF('Boletins Nuppa Site'!I356&lt;&gt;0,'Boletins Nuppa Site'!I356,"NULL")</f>
        <v>60</v>
      </c>
      <c r="G356" s="1" t="str">
        <f>IF('Boletins Nuppa Site'!J356&lt;&gt;0,'Boletins Nuppa Site'!J356,"NULL")</f>
        <v>49.5</v>
      </c>
      <c r="H356" s="1" t="str">
        <f>IF('Boletins Nuppa Site'!K356&lt;&gt;0,'Boletins Nuppa Site'!K356,"NULL")</f>
        <v>46.5</v>
      </c>
      <c r="J356" s="1" t="str">
        <f t="shared" si="5"/>
        <v>INSERT INTO COTACAO (blt_id, pap_id, cot_prc_comum, cot_prc_min, cot_prc_max, cot_prc_med, cot_prc_mediana) VALUES (10, 3, 45, 45, 60, 49.5, 46.5);</v>
      </c>
    </row>
    <row r="357" spans="1:10" x14ac:dyDescent="0.3">
      <c r="A357" s="1">
        <v>356</v>
      </c>
      <c r="B357" s="1">
        <v>10</v>
      </c>
      <c r="C357" s="1">
        <v>4</v>
      </c>
      <c r="D357" s="1" t="str">
        <f>IF('Boletins Nuppa Site'!G357&lt;&gt;0,'Boletins Nuppa Site'!G357,"NULL")</f>
        <v>NULL</v>
      </c>
      <c r="E357" s="19">
        <f>IF('Boletins Nuppa Site'!H357&lt;&gt;0,'Boletins Nuppa Site'!H357,"NULL")</f>
        <v>30</v>
      </c>
      <c r="F357" s="19">
        <f>IF('Boletins Nuppa Site'!I357&lt;&gt;0,'Boletins Nuppa Site'!I357,"NULL")</f>
        <v>60</v>
      </c>
      <c r="G357" s="1" t="str">
        <f>IF('Boletins Nuppa Site'!J357&lt;&gt;0,'Boletins Nuppa Site'!J357,"NULL")</f>
        <v>41.75</v>
      </c>
      <c r="H357" s="1" t="str">
        <f>IF('Boletins Nuppa Site'!K357&lt;&gt;0,'Boletins Nuppa Site'!K357,"NULL")</f>
        <v>38.5</v>
      </c>
      <c r="J357" s="1" t="str">
        <f t="shared" si="5"/>
        <v>INSERT INTO COTACAO (blt_id, pap_id, cot_prc_comum, cot_prc_min, cot_prc_max, cot_prc_med, cot_prc_mediana) VALUES (10, 4, NULL, 30, 60, 41.75, 38.5);</v>
      </c>
    </row>
    <row r="358" spans="1:10" x14ac:dyDescent="0.3">
      <c r="A358" s="1">
        <v>357</v>
      </c>
      <c r="B358" s="1">
        <v>10</v>
      </c>
      <c r="C358" s="1">
        <v>5</v>
      </c>
      <c r="D358" s="1" t="str">
        <f>IF('Boletins Nuppa Site'!G358&lt;&gt;0,'Boletins Nuppa Site'!G358,"NULL")</f>
        <v>NULL</v>
      </c>
      <c r="E358" s="19">
        <f>IF('Boletins Nuppa Site'!H358&lt;&gt;0,'Boletins Nuppa Site'!H358,"NULL")</f>
        <v>35</v>
      </c>
      <c r="F358" s="19">
        <f>IF('Boletins Nuppa Site'!I358&lt;&gt;0,'Boletins Nuppa Site'!I358,"NULL")</f>
        <v>60</v>
      </c>
      <c r="G358" s="1" t="str">
        <f>IF('Boletins Nuppa Site'!J358&lt;&gt;0,'Boletins Nuppa Site'!J358,"NULL")</f>
        <v>45.67</v>
      </c>
      <c r="H358" s="19">
        <f>IF('Boletins Nuppa Site'!K358&lt;&gt;0,'Boletins Nuppa Site'!K358,"NULL")</f>
        <v>42</v>
      </c>
      <c r="J358" s="1" t="str">
        <f t="shared" si="5"/>
        <v>INSERT INTO COTACAO (blt_id, pap_id, cot_prc_comum, cot_prc_min, cot_prc_max, cot_prc_med, cot_prc_mediana) VALUES (10, 5, NULL, 35, 60, 45.67, 42);</v>
      </c>
    </row>
    <row r="359" spans="1:10" x14ac:dyDescent="0.3">
      <c r="A359" s="1">
        <v>358</v>
      </c>
      <c r="B359" s="1">
        <v>10</v>
      </c>
      <c r="C359" s="1">
        <v>6</v>
      </c>
      <c r="D359" s="19">
        <f>IF('Boletins Nuppa Site'!G359&lt;&gt;0,'Boletins Nuppa Site'!G359,"NULL")</f>
        <v>60</v>
      </c>
      <c r="E359" s="19">
        <f>IF('Boletins Nuppa Site'!H359&lt;&gt;0,'Boletins Nuppa Site'!H359,"NULL")</f>
        <v>54</v>
      </c>
      <c r="F359" s="19">
        <f>IF('Boletins Nuppa Site'!I359&lt;&gt;0,'Boletins Nuppa Site'!I359,"NULL")</f>
        <v>60</v>
      </c>
      <c r="G359" s="19">
        <f>IF('Boletins Nuppa Site'!J359&lt;&gt;0,'Boletins Nuppa Site'!J359,"NULL")</f>
        <v>58</v>
      </c>
      <c r="H359" s="19">
        <f>IF('Boletins Nuppa Site'!K359&lt;&gt;0,'Boletins Nuppa Site'!K359,"NULL")</f>
        <v>60</v>
      </c>
      <c r="J359" s="1" t="str">
        <f t="shared" si="5"/>
        <v>INSERT INTO COTACAO (blt_id, pap_id, cot_prc_comum, cot_prc_min, cot_prc_max, cot_prc_med, cot_prc_mediana) VALUES (10, 6, 60, 54, 60, 58, 60);</v>
      </c>
    </row>
    <row r="360" spans="1:10" x14ac:dyDescent="0.3">
      <c r="A360" s="1">
        <v>359</v>
      </c>
      <c r="B360" s="1">
        <v>10</v>
      </c>
      <c r="C360" s="1">
        <v>7</v>
      </c>
      <c r="D360" s="19">
        <f>IF('Boletins Nuppa Site'!G360&lt;&gt;0,'Boletins Nuppa Site'!G360,"NULL")</f>
        <v>60</v>
      </c>
      <c r="E360" s="19">
        <f>IF('Boletins Nuppa Site'!H360&lt;&gt;0,'Boletins Nuppa Site'!H360,"NULL")</f>
        <v>60</v>
      </c>
      <c r="F360" s="19">
        <f>IF('Boletins Nuppa Site'!I360&lt;&gt;0,'Boletins Nuppa Site'!I360,"NULL")</f>
        <v>78</v>
      </c>
      <c r="G360" s="1" t="str">
        <f>IF('Boletins Nuppa Site'!J360&lt;&gt;0,'Boletins Nuppa Site'!J360,"NULL")</f>
        <v>64.5</v>
      </c>
      <c r="H360" s="19">
        <f>IF('Boletins Nuppa Site'!K360&lt;&gt;0,'Boletins Nuppa Site'!K360,"NULL")</f>
        <v>60</v>
      </c>
      <c r="J360" s="1" t="str">
        <f t="shared" si="5"/>
        <v>INSERT INTO COTACAO (blt_id, pap_id, cot_prc_comum, cot_prc_min, cot_prc_max, cot_prc_med, cot_prc_mediana) VALUES (10, 7, 60, 60, 78, 64.5, 60);</v>
      </c>
    </row>
    <row r="361" spans="1:10" x14ac:dyDescent="0.3">
      <c r="A361" s="1">
        <v>360</v>
      </c>
      <c r="B361" s="1">
        <v>10</v>
      </c>
      <c r="C361" s="1">
        <v>8</v>
      </c>
      <c r="D361" s="19">
        <f>IF('Boletins Nuppa Site'!G361&lt;&gt;0,'Boletins Nuppa Site'!G361,"NULL")</f>
        <v>84</v>
      </c>
      <c r="E361" s="19">
        <f>IF('Boletins Nuppa Site'!H361&lt;&gt;0,'Boletins Nuppa Site'!H361,"NULL")</f>
        <v>72</v>
      </c>
      <c r="F361" s="19">
        <f>IF('Boletins Nuppa Site'!I361&lt;&gt;0,'Boletins Nuppa Site'!I361,"NULL")</f>
        <v>96</v>
      </c>
      <c r="G361" s="19">
        <f>IF('Boletins Nuppa Site'!J361&lt;&gt;0,'Boletins Nuppa Site'!J361,"NULL")</f>
        <v>84</v>
      </c>
      <c r="H361" s="19">
        <f>IF('Boletins Nuppa Site'!K361&lt;&gt;0,'Boletins Nuppa Site'!K361,"NULL")</f>
        <v>84</v>
      </c>
      <c r="J361" s="1" t="str">
        <f t="shared" si="5"/>
        <v>INSERT INTO COTACAO (blt_id, pap_id, cot_prc_comum, cot_prc_min, cot_prc_max, cot_prc_med, cot_prc_mediana) VALUES (10, 8, 84, 72, 96, 84, 84);</v>
      </c>
    </row>
    <row r="362" spans="1:10" x14ac:dyDescent="0.3">
      <c r="A362" s="1">
        <v>361</v>
      </c>
      <c r="B362" s="1">
        <v>10</v>
      </c>
      <c r="C362" s="1">
        <v>9</v>
      </c>
      <c r="D362" s="19">
        <f>IF('Boletins Nuppa Site'!G362&lt;&gt;0,'Boletins Nuppa Site'!G362,"NULL")</f>
        <v>30</v>
      </c>
      <c r="E362" s="19">
        <f>IF('Boletins Nuppa Site'!H362&lt;&gt;0,'Boletins Nuppa Site'!H362,"NULL")</f>
        <v>24</v>
      </c>
      <c r="F362" s="19">
        <f>IF('Boletins Nuppa Site'!I362&lt;&gt;0,'Boletins Nuppa Site'!I362,"NULL")</f>
        <v>30</v>
      </c>
      <c r="G362" s="1" t="str">
        <f>IF('Boletins Nuppa Site'!J362&lt;&gt;0,'Boletins Nuppa Site'!J362,"NULL")</f>
        <v>28.5</v>
      </c>
      <c r="H362" s="19">
        <f>IF('Boletins Nuppa Site'!K362&lt;&gt;0,'Boletins Nuppa Site'!K362,"NULL")</f>
        <v>30</v>
      </c>
      <c r="J362" s="1" t="str">
        <f t="shared" si="5"/>
        <v>INSERT INTO COTACAO (blt_id, pap_id, cot_prc_comum, cot_prc_min, cot_prc_max, cot_prc_med, cot_prc_mediana) VALUES (10, 9, 30, 24, 30, 28.5, 30);</v>
      </c>
    </row>
    <row r="363" spans="1:10" x14ac:dyDescent="0.3">
      <c r="A363" s="1">
        <v>362</v>
      </c>
      <c r="B363" s="1">
        <v>10</v>
      </c>
      <c r="C363" s="1">
        <v>10</v>
      </c>
      <c r="D363" s="1" t="str">
        <f>IF('Boletins Nuppa Site'!G363&lt;&gt;0,'Boletins Nuppa Site'!G363,"NULL")</f>
        <v>NULL</v>
      </c>
      <c r="E363" s="19">
        <f>IF('Boletins Nuppa Site'!H363&lt;&gt;0,'Boletins Nuppa Site'!H363,"NULL")</f>
        <v>84</v>
      </c>
      <c r="F363" s="19">
        <f>IF('Boletins Nuppa Site'!I363&lt;&gt;0,'Boletins Nuppa Site'!I363,"NULL")</f>
        <v>120</v>
      </c>
      <c r="G363" s="19">
        <f>IF('Boletins Nuppa Site'!J363&lt;&gt;0,'Boletins Nuppa Site'!J363,"NULL")</f>
        <v>100</v>
      </c>
      <c r="H363" s="19">
        <f>IF('Boletins Nuppa Site'!K363&lt;&gt;0,'Boletins Nuppa Site'!K363,"NULL")</f>
        <v>96</v>
      </c>
      <c r="J363" s="1" t="str">
        <f t="shared" si="5"/>
        <v>INSERT INTO COTACAO (blt_id, pap_id, cot_prc_comum, cot_prc_min, cot_prc_max, cot_prc_med, cot_prc_mediana) VALUES (10, 10, NULL, 84, 120, 100, 96);</v>
      </c>
    </row>
    <row r="364" spans="1:10" x14ac:dyDescent="0.3">
      <c r="A364" s="1">
        <v>363</v>
      </c>
      <c r="B364" s="1">
        <v>10</v>
      </c>
      <c r="C364" s="1">
        <v>11</v>
      </c>
      <c r="D364" s="1" t="str">
        <f>IF('Boletins Nuppa Site'!G364&lt;&gt;0,'Boletins Nuppa Site'!G364,"NULL")</f>
        <v>NULL</v>
      </c>
      <c r="E364" s="19">
        <f>IF('Boletins Nuppa Site'!H364&lt;&gt;0,'Boletins Nuppa Site'!H364,"NULL")</f>
        <v>30</v>
      </c>
      <c r="F364" s="19">
        <f>IF('Boletins Nuppa Site'!I364&lt;&gt;0,'Boletins Nuppa Site'!I364,"NULL")</f>
        <v>42</v>
      </c>
      <c r="G364" s="1" t="str">
        <f>IF('Boletins Nuppa Site'!J364&lt;&gt;0,'Boletins Nuppa Site'!J364,"NULL")</f>
        <v>35.67</v>
      </c>
      <c r="H364" s="19">
        <f>IF('Boletins Nuppa Site'!K364&lt;&gt;0,'Boletins Nuppa Site'!K364,"NULL")</f>
        <v>35</v>
      </c>
      <c r="J364" s="1" t="str">
        <f t="shared" si="5"/>
        <v>INSERT INTO COTACAO (blt_id, pap_id, cot_prc_comum, cot_prc_min, cot_prc_max, cot_prc_med, cot_prc_mediana) VALUES (10, 11, NULL, 30, 42, 35.67, 35);</v>
      </c>
    </row>
    <row r="365" spans="1:10" x14ac:dyDescent="0.3">
      <c r="A365" s="1">
        <v>364</v>
      </c>
      <c r="B365" s="1">
        <v>10</v>
      </c>
      <c r="C365" s="1">
        <v>12</v>
      </c>
      <c r="D365" s="19">
        <f>IF('Boletins Nuppa Site'!G365&lt;&gt;0,'Boletins Nuppa Site'!G365,"NULL")</f>
        <v>84</v>
      </c>
      <c r="E365" s="19">
        <f>IF('Boletins Nuppa Site'!H365&lt;&gt;0,'Boletins Nuppa Site'!H365,"NULL")</f>
        <v>72</v>
      </c>
      <c r="F365" s="19">
        <f>IF('Boletins Nuppa Site'!I365&lt;&gt;0,'Boletins Nuppa Site'!I365,"NULL")</f>
        <v>84</v>
      </c>
      <c r="G365" s="19">
        <f>IF('Boletins Nuppa Site'!J365&lt;&gt;0,'Boletins Nuppa Site'!J365,"NULL")</f>
        <v>80</v>
      </c>
      <c r="H365" s="19">
        <f>IF('Boletins Nuppa Site'!K365&lt;&gt;0,'Boletins Nuppa Site'!K365,"NULL")</f>
        <v>84</v>
      </c>
      <c r="J365" s="1" t="str">
        <f t="shared" si="5"/>
        <v>INSERT INTO COTACAO (blt_id, pap_id, cot_prc_comum, cot_prc_min, cot_prc_max, cot_prc_med, cot_prc_mediana) VALUES (10, 12, 84, 72, 84, 80, 84);</v>
      </c>
    </row>
    <row r="366" spans="1:10" x14ac:dyDescent="0.3">
      <c r="A366" s="1">
        <v>365</v>
      </c>
      <c r="B366" s="1">
        <v>10</v>
      </c>
      <c r="C366" s="1">
        <v>13</v>
      </c>
      <c r="D366" s="1" t="str">
        <f>IF('Boletins Nuppa Site'!G366&lt;&gt;0,'Boletins Nuppa Site'!G366,"NULL")</f>
        <v>NULL</v>
      </c>
      <c r="E366" s="19">
        <f>IF('Boletins Nuppa Site'!H366&lt;&gt;0,'Boletins Nuppa Site'!H366,"NULL")</f>
        <v>48</v>
      </c>
      <c r="F366" s="19">
        <f>IF('Boletins Nuppa Site'!I366&lt;&gt;0,'Boletins Nuppa Site'!I366,"NULL")</f>
        <v>78</v>
      </c>
      <c r="G366" s="1" t="str">
        <f>IF('Boletins Nuppa Site'!J366&lt;&gt;0,'Boletins Nuppa Site'!J366,"NULL")</f>
        <v>64.5</v>
      </c>
      <c r="H366" s="19">
        <f>IF('Boletins Nuppa Site'!K366&lt;&gt;0,'Boletins Nuppa Site'!K366,"NULL")</f>
        <v>66</v>
      </c>
      <c r="J366" s="1" t="str">
        <f t="shared" si="5"/>
        <v>INSERT INTO COTACAO (blt_id, pap_id, cot_prc_comum, cot_prc_min, cot_prc_max, cot_prc_med, cot_prc_mediana) VALUES (10, 13, NULL, 48, 78, 64.5, 66);</v>
      </c>
    </row>
    <row r="367" spans="1:10" x14ac:dyDescent="0.3">
      <c r="A367" s="1">
        <v>366</v>
      </c>
      <c r="B367" s="1">
        <v>10</v>
      </c>
      <c r="C367" s="1">
        <v>14</v>
      </c>
      <c r="D367" s="1" t="str">
        <f>IF('Boletins Nuppa Site'!G367&lt;&gt;0,'Boletins Nuppa Site'!G367,"NULL")</f>
        <v>NULL</v>
      </c>
      <c r="E367" s="19">
        <f>IF('Boletins Nuppa Site'!H367&lt;&gt;0,'Boletins Nuppa Site'!H367,"NULL")</f>
        <v>50</v>
      </c>
      <c r="F367" s="19">
        <f>IF('Boletins Nuppa Site'!I367&lt;&gt;0,'Boletins Nuppa Site'!I367,"NULL")</f>
        <v>80</v>
      </c>
      <c r="G367" s="1" t="str">
        <f>IF('Boletins Nuppa Site'!J367&lt;&gt;0,'Boletins Nuppa Site'!J367,"NULL")</f>
        <v>67.33</v>
      </c>
      <c r="H367" s="19">
        <f>IF('Boletins Nuppa Site'!K367&lt;&gt;0,'Boletins Nuppa Site'!K367,"NULL")</f>
        <v>72</v>
      </c>
      <c r="J367" s="1" t="str">
        <f t="shared" si="5"/>
        <v>INSERT INTO COTACAO (blt_id, pap_id, cot_prc_comum, cot_prc_min, cot_prc_max, cot_prc_med, cot_prc_mediana) VALUES (10, 14, NULL, 50, 80, 67.33, 72);</v>
      </c>
    </row>
    <row r="368" spans="1:10" x14ac:dyDescent="0.3">
      <c r="A368" s="1">
        <v>367</v>
      </c>
      <c r="B368" s="1">
        <v>10</v>
      </c>
      <c r="C368" s="1">
        <v>15</v>
      </c>
      <c r="D368" s="19">
        <f>IF('Boletins Nuppa Site'!G368&lt;&gt;0,'Boletins Nuppa Site'!G368,"NULL")</f>
        <v>50</v>
      </c>
      <c r="E368" s="19">
        <f>IF('Boletins Nuppa Site'!H368&lt;&gt;0,'Boletins Nuppa Site'!H368,"NULL")</f>
        <v>50</v>
      </c>
      <c r="F368" s="19">
        <f>IF('Boletins Nuppa Site'!I368&lt;&gt;0,'Boletins Nuppa Site'!I368,"NULL")</f>
        <v>60</v>
      </c>
      <c r="G368" s="19">
        <f>IF('Boletins Nuppa Site'!J368&lt;&gt;0,'Boletins Nuppa Site'!J368,"NULL")</f>
        <v>55</v>
      </c>
      <c r="H368" s="19">
        <f>IF('Boletins Nuppa Site'!K368&lt;&gt;0,'Boletins Nuppa Site'!K368,"NULL")</f>
        <v>55</v>
      </c>
      <c r="J368" s="1" t="str">
        <f t="shared" si="5"/>
        <v>INSERT INTO COTACAO (blt_id, pap_id, cot_prc_comum, cot_prc_min, cot_prc_max, cot_prc_med, cot_prc_mediana) VALUES (10, 15, 50, 50, 60, 55, 55);</v>
      </c>
    </row>
    <row r="369" spans="1:10" x14ac:dyDescent="0.3">
      <c r="A369" s="1">
        <v>368</v>
      </c>
      <c r="B369" s="1">
        <v>10</v>
      </c>
      <c r="C369" s="1">
        <v>16</v>
      </c>
      <c r="D369" s="1" t="str">
        <f>IF('Boletins Nuppa Site'!G369&lt;&gt;0,'Boletins Nuppa Site'!G369,"NULL")</f>
        <v>NULL</v>
      </c>
      <c r="E369" s="19">
        <f>IF('Boletins Nuppa Site'!H369&lt;&gt;0,'Boletins Nuppa Site'!H369,"NULL")</f>
        <v>42</v>
      </c>
      <c r="F369" s="19">
        <f>IF('Boletins Nuppa Site'!I369&lt;&gt;0,'Boletins Nuppa Site'!I369,"NULL")</f>
        <v>54</v>
      </c>
      <c r="G369" s="19">
        <f>IF('Boletins Nuppa Site'!J369&lt;&gt;0,'Boletins Nuppa Site'!J369,"NULL")</f>
        <v>48</v>
      </c>
      <c r="H369" s="19">
        <f>IF('Boletins Nuppa Site'!K369&lt;&gt;0,'Boletins Nuppa Site'!K369,"NULL")</f>
        <v>48</v>
      </c>
      <c r="J369" s="1" t="str">
        <f t="shared" si="5"/>
        <v>INSERT INTO COTACAO (blt_id, pap_id, cot_prc_comum, cot_prc_min, cot_prc_max, cot_prc_med, cot_prc_mediana) VALUES (10, 16, NULL, 42, 54, 48, 48);</v>
      </c>
    </row>
    <row r="370" spans="1:10" x14ac:dyDescent="0.3">
      <c r="A370" s="1">
        <v>369</v>
      </c>
      <c r="B370" s="1">
        <v>10</v>
      </c>
      <c r="C370" s="1">
        <v>17</v>
      </c>
      <c r="D370" s="19">
        <f>IF('Boletins Nuppa Site'!G370&lt;&gt;0,'Boletins Nuppa Site'!G370,"NULL")</f>
        <v>5</v>
      </c>
      <c r="E370" s="19">
        <f>IF('Boletins Nuppa Site'!H370&lt;&gt;0,'Boletins Nuppa Site'!H370,"NULL")</f>
        <v>4</v>
      </c>
      <c r="F370" s="19">
        <f>IF('Boletins Nuppa Site'!I370&lt;&gt;0,'Boletins Nuppa Site'!I370,"NULL")</f>
        <v>5</v>
      </c>
      <c r="G370" s="1" t="str">
        <f>IF('Boletins Nuppa Site'!J370&lt;&gt;0,'Boletins Nuppa Site'!J370,"NULL")</f>
        <v>4.63</v>
      </c>
      <c r="H370" s="1" t="str">
        <f>IF('Boletins Nuppa Site'!K370&lt;&gt;0,'Boletins Nuppa Site'!K370,"NULL")</f>
        <v>4.75</v>
      </c>
      <c r="J370" s="1" t="str">
        <f t="shared" si="5"/>
        <v>INSERT INTO COTACAO (blt_id, pap_id, cot_prc_comum, cot_prc_min, cot_prc_max, cot_prc_med, cot_prc_mediana) VALUES (10, 17, 5, 4, 5, 4.63, 4.75);</v>
      </c>
    </row>
    <row r="371" spans="1:10" x14ac:dyDescent="0.3">
      <c r="A371" s="1">
        <v>370</v>
      </c>
      <c r="B371" s="1">
        <v>10</v>
      </c>
      <c r="C371" s="1">
        <v>18</v>
      </c>
      <c r="D371" s="19">
        <f>IF('Boletins Nuppa Site'!G371&lt;&gt;0,'Boletins Nuppa Site'!G371,"NULL")</f>
        <v>20</v>
      </c>
      <c r="E371" s="19">
        <f>IF('Boletins Nuppa Site'!H371&lt;&gt;0,'Boletins Nuppa Site'!H371,"NULL")</f>
        <v>15</v>
      </c>
      <c r="F371" s="19">
        <f>IF('Boletins Nuppa Site'!I371&lt;&gt;0,'Boletins Nuppa Site'!I371,"NULL")</f>
        <v>25</v>
      </c>
      <c r="G371" s="1" t="str">
        <f>IF('Boletins Nuppa Site'!J371&lt;&gt;0,'Boletins Nuppa Site'!J371,"NULL")</f>
        <v>20.83</v>
      </c>
      <c r="H371" s="19">
        <f>IF('Boletins Nuppa Site'!K371&lt;&gt;0,'Boletins Nuppa Site'!K371,"NULL")</f>
        <v>20</v>
      </c>
      <c r="J371" s="1" t="str">
        <f t="shared" si="5"/>
        <v>INSERT INTO COTACAO (blt_id, pap_id, cot_prc_comum, cot_prc_min, cot_prc_max, cot_prc_med, cot_prc_mediana) VALUES (10, 18, 20, 15, 25, 20.83, 20);</v>
      </c>
    </row>
    <row r="372" spans="1:10" x14ac:dyDescent="0.3">
      <c r="A372" s="1">
        <v>371</v>
      </c>
      <c r="B372" s="1">
        <v>10</v>
      </c>
      <c r="C372" s="1">
        <v>19</v>
      </c>
      <c r="D372" s="1" t="str">
        <f>IF('Boletins Nuppa Site'!G372&lt;&gt;0,'Boletins Nuppa Site'!G372,"NULL")</f>
        <v>NULL</v>
      </c>
      <c r="E372" s="19">
        <f>IF('Boletins Nuppa Site'!H372&lt;&gt;0,'Boletins Nuppa Site'!H372,"NULL")</f>
        <v>30</v>
      </c>
      <c r="F372" s="19">
        <f>IF('Boletins Nuppa Site'!I372&lt;&gt;0,'Boletins Nuppa Site'!I372,"NULL")</f>
        <v>45</v>
      </c>
      <c r="G372" s="1" t="str">
        <f>IF('Boletins Nuppa Site'!J372&lt;&gt;0,'Boletins Nuppa Site'!J372,"NULL")</f>
        <v>37.5</v>
      </c>
      <c r="H372" s="1" t="str">
        <f>IF('Boletins Nuppa Site'!K372&lt;&gt;0,'Boletins Nuppa Site'!K372,"NULL")</f>
        <v>37.5</v>
      </c>
      <c r="J372" s="1" t="str">
        <f t="shared" si="5"/>
        <v>INSERT INTO COTACAO (blt_id, pap_id, cot_prc_comum, cot_prc_min, cot_prc_max, cot_prc_med, cot_prc_mediana) VALUES (10, 19, NULL, 30, 45, 37.5, 37.5);</v>
      </c>
    </row>
    <row r="373" spans="1:10" x14ac:dyDescent="0.3">
      <c r="A373" s="1">
        <v>372</v>
      </c>
      <c r="B373" s="1">
        <v>10</v>
      </c>
      <c r="C373" s="1">
        <v>20</v>
      </c>
      <c r="D373" s="1" t="str">
        <f>IF('Boletins Nuppa Site'!G373&lt;&gt;0,'Boletins Nuppa Site'!G373,"NULL")</f>
        <v>NULL</v>
      </c>
      <c r="E373" s="19">
        <f>IF('Boletins Nuppa Site'!H373&lt;&gt;0,'Boletins Nuppa Site'!H373,"NULL")</f>
        <v>100</v>
      </c>
      <c r="F373" s="19">
        <f>IF('Boletins Nuppa Site'!I373&lt;&gt;0,'Boletins Nuppa Site'!I373,"NULL")</f>
        <v>105</v>
      </c>
      <c r="G373" s="1" t="str">
        <f>IF('Boletins Nuppa Site'!J373&lt;&gt;0,'Boletins Nuppa Site'!J373,"NULL")</f>
        <v>102.5</v>
      </c>
      <c r="H373" s="1" t="str">
        <f>IF('Boletins Nuppa Site'!K373&lt;&gt;0,'Boletins Nuppa Site'!K373,"NULL")</f>
        <v>102.5</v>
      </c>
      <c r="J373" s="1" t="str">
        <f t="shared" si="5"/>
        <v>INSERT INTO COTACAO (blt_id, pap_id, cot_prc_comum, cot_prc_min, cot_prc_max, cot_prc_med, cot_prc_mediana) VALUES (10, 20, NULL, 100, 105, 102.5, 102.5);</v>
      </c>
    </row>
    <row r="374" spans="1:10" x14ac:dyDescent="0.3">
      <c r="A374" s="1">
        <v>373</v>
      </c>
      <c r="B374" s="1">
        <v>10</v>
      </c>
      <c r="C374" s="1">
        <v>21</v>
      </c>
      <c r="D374" s="19">
        <f>IF('Boletins Nuppa Site'!G374&lt;&gt;0,'Boletins Nuppa Site'!G374,"NULL")</f>
        <v>70</v>
      </c>
      <c r="E374" s="19">
        <f>IF('Boletins Nuppa Site'!H374&lt;&gt;0,'Boletins Nuppa Site'!H374,"NULL")</f>
        <v>50</v>
      </c>
      <c r="F374" s="19">
        <f>IF('Boletins Nuppa Site'!I374&lt;&gt;0,'Boletins Nuppa Site'!I374,"NULL")</f>
        <v>80</v>
      </c>
      <c r="G374" s="1" t="str">
        <f>IF('Boletins Nuppa Site'!J374&lt;&gt;0,'Boletins Nuppa Site'!J374,"NULL")</f>
        <v>67.5</v>
      </c>
      <c r="H374" s="19">
        <f>IF('Boletins Nuppa Site'!K374&lt;&gt;0,'Boletins Nuppa Site'!K374,"NULL")</f>
        <v>70</v>
      </c>
      <c r="J374" s="1" t="str">
        <f t="shared" si="5"/>
        <v>INSERT INTO COTACAO (blt_id, pap_id, cot_prc_comum, cot_prc_min, cot_prc_max, cot_prc_med, cot_prc_mediana) VALUES (10, 21, 70, 50, 80, 67.5, 70);</v>
      </c>
    </row>
    <row r="375" spans="1:10" x14ac:dyDescent="0.3">
      <c r="A375" s="1">
        <v>374</v>
      </c>
      <c r="B375" s="1">
        <v>10</v>
      </c>
      <c r="C375" s="1">
        <v>22</v>
      </c>
      <c r="D375" s="19">
        <f>IF('Boletins Nuppa Site'!G375&lt;&gt;0,'Boletins Nuppa Site'!G375,"NULL")</f>
        <v>70</v>
      </c>
      <c r="E375" s="19">
        <f>IF('Boletins Nuppa Site'!H375&lt;&gt;0,'Boletins Nuppa Site'!H375,"NULL")</f>
        <v>50</v>
      </c>
      <c r="F375" s="19">
        <f>IF('Boletins Nuppa Site'!I375&lt;&gt;0,'Boletins Nuppa Site'!I375,"NULL")</f>
        <v>75</v>
      </c>
      <c r="G375" s="19">
        <f>IF('Boletins Nuppa Site'!J375&lt;&gt;0,'Boletins Nuppa Site'!J375,"NULL")</f>
        <v>65</v>
      </c>
      <c r="H375" s="19">
        <f>IF('Boletins Nuppa Site'!K375&lt;&gt;0,'Boletins Nuppa Site'!K375,"NULL")</f>
        <v>70</v>
      </c>
      <c r="J375" s="1" t="str">
        <f t="shared" si="5"/>
        <v>INSERT INTO COTACAO (blt_id, pap_id, cot_prc_comum, cot_prc_min, cot_prc_max, cot_prc_med, cot_prc_mediana) VALUES (10, 22, 70, 50, 75, 65, 70);</v>
      </c>
    </row>
    <row r="376" spans="1:10" x14ac:dyDescent="0.3">
      <c r="A376" s="1">
        <v>375</v>
      </c>
      <c r="B376" s="1">
        <v>10</v>
      </c>
      <c r="C376" s="1">
        <v>23</v>
      </c>
      <c r="D376" s="19">
        <f>IF('Boletins Nuppa Site'!G376&lt;&gt;0,'Boletins Nuppa Site'!G376,"NULL")</f>
        <v>35</v>
      </c>
      <c r="E376" s="19">
        <f>IF('Boletins Nuppa Site'!H376&lt;&gt;0,'Boletins Nuppa Site'!H376,"NULL")</f>
        <v>35</v>
      </c>
      <c r="F376" s="19">
        <f>IF('Boletins Nuppa Site'!I376&lt;&gt;0,'Boletins Nuppa Site'!I376,"NULL")</f>
        <v>50</v>
      </c>
      <c r="G376" s="1" t="str">
        <f>IF('Boletins Nuppa Site'!J376&lt;&gt;0,'Boletins Nuppa Site'!J376,"NULL")</f>
        <v>42.5</v>
      </c>
      <c r="H376" s="1" t="str">
        <f>IF('Boletins Nuppa Site'!K376&lt;&gt;0,'Boletins Nuppa Site'!K376,"NULL")</f>
        <v>42.5</v>
      </c>
      <c r="J376" s="1" t="str">
        <f t="shared" si="5"/>
        <v>INSERT INTO COTACAO (blt_id, pap_id, cot_prc_comum, cot_prc_min, cot_prc_max, cot_prc_med, cot_prc_mediana) VALUES (10, 23, 35, 35, 50, 42.5, 42.5);</v>
      </c>
    </row>
    <row r="377" spans="1:10" x14ac:dyDescent="0.3">
      <c r="A377" s="1">
        <v>376</v>
      </c>
      <c r="B377" s="1">
        <v>10</v>
      </c>
      <c r="C377" s="1">
        <v>24</v>
      </c>
      <c r="D377" s="1" t="str">
        <f>IF('Boletins Nuppa Site'!G377&lt;&gt;0,'Boletins Nuppa Site'!G377,"NULL")</f>
        <v>NULL</v>
      </c>
      <c r="E377" s="19">
        <f>IF('Boletins Nuppa Site'!H377&lt;&gt;0,'Boletins Nuppa Site'!H377,"NULL")</f>
        <v>100</v>
      </c>
      <c r="F377" s="19">
        <f>IF('Boletins Nuppa Site'!I377&lt;&gt;0,'Boletins Nuppa Site'!I377,"NULL")</f>
        <v>120</v>
      </c>
      <c r="G377" s="19">
        <f>IF('Boletins Nuppa Site'!J377&lt;&gt;0,'Boletins Nuppa Site'!J377,"NULL")</f>
        <v>110</v>
      </c>
      <c r="H377" s="19">
        <f>IF('Boletins Nuppa Site'!K377&lt;&gt;0,'Boletins Nuppa Site'!K377,"NULL")</f>
        <v>110</v>
      </c>
      <c r="J377" s="1" t="str">
        <f t="shared" si="5"/>
        <v>INSERT INTO COTACAO (blt_id, pap_id, cot_prc_comum, cot_prc_min, cot_prc_max, cot_prc_med, cot_prc_mediana) VALUES (10, 24, NULL, 100, 120, 110, 110);</v>
      </c>
    </row>
    <row r="378" spans="1:10" x14ac:dyDescent="0.3">
      <c r="A378" s="1">
        <v>377</v>
      </c>
      <c r="B378" s="1">
        <v>10</v>
      </c>
      <c r="C378" s="1">
        <v>25</v>
      </c>
      <c r="D378" s="19">
        <f>IF('Boletins Nuppa Site'!G378&lt;&gt;0,'Boletins Nuppa Site'!G378,"NULL")</f>
        <v>100</v>
      </c>
      <c r="E378" s="19">
        <f>IF('Boletins Nuppa Site'!H378&lt;&gt;0,'Boletins Nuppa Site'!H378,"NULL")</f>
        <v>70</v>
      </c>
      <c r="F378" s="19">
        <f>IF('Boletins Nuppa Site'!I378&lt;&gt;0,'Boletins Nuppa Site'!I378,"NULL")</f>
        <v>130</v>
      </c>
      <c r="G378" s="19">
        <f>IF('Boletins Nuppa Site'!J378&lt;&gt;0,'Boletins Nuppa Site'!J378,"NULL")</f>
        <v>106</v>
      </c>
      <c r="H378" s="19">
        <f>IF('Boletins Nuppa Site'!K378&lt;&gt;0,'Boletins Nuppa Site'!K378,"NULL")</f>
        <v>100</v>
      </c>
      <c r="J378" s="1" t="str">
        <f t="shared" si="5"/>
        <v>INSERT INTO COTACAO (blt_id, pap_id, cot_prc_comum, cot_prc_min, cot_prc_max, cot_prc_med, cot_prc_mediana) VALUES (10, 25, 100, 70, 130, 106, 100);</v>
      </c>
    </row>
    <row r="379" spans="1:10" x14ac:dyDescent="0.3">
      <c r="A379" s="1">
        <v>378</v>
      </c>
      <c r="B379" s="1">
        <v>10</v>
      </c>
      <c r="C379" s="1">
        <v>26</v>
      </c>
      <c r="D379" s="1" t="str">
        <f>IF('Boletins Nuppa Site'!G379&lt;&gt;0,'Boletins Nuppa Site'!G379,"NULL")</f>
        <v>NULL</v>
      </c>
      <c r="E379" s="19">
        <f>IF('Boletins Nuppa Site'!H379&lt;&gt;0,'Boletins Nuppa Site'!H379,"NULL")</f>
        <v>60</v>
      </c>
      <c r="F379" s="19">
        <f>IF('Boletins Nuppa Site'!I379&lt;&gt;0,'Boletins Nuppa Site'!I379,"NULL")</f>
        <v>140</v>
      </c>
      <c r="G379" s="1" t="str">
        <f>IF('Boletins Nuppa Site'!J379&lt;&gt;0,'Boletins Nuppa Site'!J379,"NULL")</f>
        <v>96.67</v>
      </c>
      <c r="H379" s="19">
        <f>IF('Boletins Nuppa Site'!K379&lt;&gt;0,'Boletins Nuppa Site'!K379,"NULL")</f>
        <v>90</v>
      </c>
      <c r="J379" s="1" t="str">
        <f t="shared" si="5"/>
        <v>INSERT INTO COTACAO (blt_id, pap_id, cot_prc_comum, cot_prc_min, cot_prc_max, cot_prc_med, cot_prc_mediana) VALUES (10, 26, NULL, 60, 140, 96.67, 90);</v>
      </c>
    </row>
    <row r="380" spans="1:10" x14ac:dyDescent="0.3">
      <c r="A380" s="1">
        <v>379</v>
      </c>
      <c r="B380" s="1">
        <v>10</v>
      </c>
      <c r="C380" s="1">
        <v>27</v>
      </c>
      <c r="D380" s="1" t="str">
        <f>IF('Boletins Nuppa Site'!G380&lt;&gt;0,'Boletins Nuppa Site'!G380,"NULL")</f>
        <v>NULL</v>
      </c>
      <c r="E380" s="19">
        <f>IF('Boletins Nuppa Site'!H380&lt;&gt;0,'Boletins Nuppa Site'!H380,"NULL")</f>
        <v>50</v>
      </c>
      <c r="F380" s="19">
        <f>IF('Boletins Nuppa Site'!I380&lt;&gt;0,'Boletins Nuppa Site'!I380,"NULL")</f>
        <v>95</v>
      </c>
      <c r="G380" s="19">
        <f>IF('Boletins Nuppa Site'!J380&lt;&gt;0,'Boletins Nuppa Site'!J380,"NULL")</f>
        <v>68</v>
      </c>
      <c r="H380" s="19">
        <f>IF('Boletins Nuppa Site'!K380&lt;&gt;0,'Boletins Nuppa Site'!K380,"NULL")</f>
        <v>65</v>
      </c>
      <c r="J380" s="1" t="str">
        <f t="shared" si="5"/>
        <v>INSERT INTO COTACAO (blt_id, pap_id, cot_prc_comum, cot_prc_min, cot_prc_max, cot_prc_med, cot_prc_mediana) VALUES (10, 27, NULL, 50, 95, 68, 65);</v>
      </c>
    </row>
    <row r="381" spans="1:10" x14ac:dyDescent="0.3">
      <c r="A381" s="1">
        <v>380</v>
      </c>
      <c r="B381" s="1">
        <v>10</v>
      </c>
      <c r="C381" s="1">
        <v>28</v>
      </c>
      <c r="D381" s="1" t="str">
        <f>IF('Boletins Nuppa Site'!G381&lt;&gt;0,'Boletins Nuppa Site'!G381,"NULL")</f>
        <v>NULL</v>
      </c>
      <c r="E381" s="19">
        <f>IF('Boletins Nuppa Site'!H381&lt;&gt;0,'Boletins Nuppa Site'!H381,"NULL")</f>
        <v>90</v>
      </c>
      <c r="F381" s="19">
        <f>IF('Boletins Nuppa Site'!I381&lt;&gt;0,'Boletins Nuppa Site'!I381,"NULL")</f>
        <v>90</v>
      </c>
      <c r="G381" s="19">
        <f>IF('Boletins Nuppa Site'!J381&lt;&gt;0,'Boletins Nuppa Site'!J381,"NULL")</f>
        <v>90</v>
      </c>
      <c r="H381" s="19">
        <f>IF('Boletins Nuppa Site'!K381&lt;&gt;0,'Boletins Nuppa Site'!K381,"NULL")</f>
        <v>90</v>
      </c>
      <c r="J381" s="1" t="str">
        <f t="shared" si="5"/>
        <v>INSERT INTO COTACAO (blt_id, pap_id, cot_prc_comum, cot_prc_min, cot_prc_max, cot_prc_med, cot_prc_mediana) VALUES (10, 28, NULL, 90, 90, 90, 90);</v>
      </c>
    </row>
    <row r="382" spans="1:10" x14ac:dyDescent="0.3">
      <c r="A382" s="1">
        <v>381</v>
      </c>
      <c r="B382" s="1">
        <v>10</v>
      </c>
      <c r="C382" s="1">
        <v>29</v>
      </c>
      <c r="D382" s="1" t="str">
        <f>IF('Boletins Nuppa Site'!G382&lt;&gt;0,'Boletins Nuppa Site'!G382,"NULL")</f>
        <v>NULL</v>
      </c>
      <c r="E382" s="19">
        <f>IF('Boletins Nuppa Site'!H382&lt;&gt;0,'Boletins Nuppa Site'!H382,"NULL")</f>
        <v>80</v>
      </c>
      <c r="F382" s="19">
        <f>IF('Boletins Nuppa Site'!I382&lt;&gt;0,'Boletins Nuppa Site'!I382,"NULL")</f>
        <v>90</v>
      </c>
      <c r="G382" s="19">
        <f>IF('Boletins Nuppa Site'!J382&lt;&gt;0,'Boletins Nuppa Site'!J382,"NULL")</f>
        <v>85</v>
      </c>
      <c r="H382" s="19">
        <f>IF('Boletins Nuppa Site'!K382&lt;&gt;0,'Boletins Nuppa Site'!K382,"NULL")</f>
        <v>85</v>
      </c>
      <c r="J382" s="1" t="str">
        <f t="shared" si="5"/>
        <v>INSERT INTO COTACAO (blt_id, pap_id, cot_prc_comum, cot_prc_min, cot_prc_max, cot_prc_med, cot_prc_mediana) VALUES (10, 29, NULL, 80, 90, 85, 85);</v>
      </c>
    </row>
    <row r="383" spans="1:10" x14ac:dyDescent="0.3">
      <c r="A383" s="1">
        <v>382</v>
      </c>
      <c r="B383" s="1">
        <v>10</v>
      </c>
      <c r="C383" s="1">
        <v>30</v>
      </c>
      <c r="D383" s="1" t="str">
        <f>IF('Boletins Nuppa Site'!G383&lt;&gt;0,'Boletins Nuppa Site'!G383,"NULL")</f>
        <v>NULL</v>
      </c>
      <c r="E383" s="19">
        <f>IF('Boletins Nuppa Site'!H383&lt;&gt;0,'Boletins Nuppa Site'!H383,"NULL")</f>
        <v>42</v>
      </c>
      <c r="F383" s="19">
        <f>IF('Boletins Nuppa Site'!I383&lt;&gt;0,'Boletins Nuppa Site'!I383,"NULL")</f>
        <v>110</v>
      </c>
      <c r="G383" s="19">
        <f>IF('Boletins Nuppa Site'!J383&lt;&gt;0,'Boletins Nuppa Site'!J383,"NULL")</f>
        <v>84</v>
      </c>
      <c r="H383" s="19">
        <f>IF('Boletins Nuppa Site'!K383&lt;&gt;0,'Boletins Nuppa Site'!K383,"NULL")</f>
        <v>100</v>
      </c>
      <c r="J383" s="1" t="str">
        <f t="shared" si="5"/>
        <v>INSERT INTO COTACAO (blt_id, pap_id, cot_prc_comum, cot_prc_min, cot_prc_max, cot_prc_med, cot_prc_mediana) VALUES (10, 30, NULL, 42, 110, 84, 100);</v>
      </c>
    </row>
    <row r="384" spans="1:10" x14ac:dyDescent="0.3">
      <c r="A384" s="1">
        <v>383</v>
      </c>
      <c r="B384" s="1">
        <v>10</v>
      </c>
      <c r="C384" s="1">
        <v>31</v>
      </c>
      <c r="D384" s="19">
        <f>IF('Boletins Nuppa Site'!G384&lt;&gt;0,'Boletins Nuppa Site'!G384,"NULL")</f>
        <v>100</v>
      </c>
      <c r="E384" s="19">
        <f>IF('Boletins Nuppa Site'!H384&lt;&gt;0,'Boletins Nuppa Site'!H384,"NULL")</f>
        <v>75</v>
      </c>
      <c r="F384" s="19">
        <f>IF('Boletins Nuppa Site'!I384&lt;&gt;0,'Boletins Nuppa Site'!I384,"NULL")</f>
        <v>120</v>
      </c>
      <c r="G384" s="19">
        <f>IF('Boletins Nuppa Site'!J384&lt;&gt;0,'Boletins Nuppa Site'!J384,"NULL")</f>
        <v>95</v>
      </c>
      <c r="H384" s="19">
        <f>IF('Boletins Nuppa Site'!K384&lt;&gt;0,'Boletins Nuppa Site'!K384,"NULL")</f>
        <v>100</v>
      </c>
      <c r="J384" s="1" t="str">
        <f t="shared" si="5"/>
        <v>INSERT INTO COTACAO (blt_id, pap_id, cot_prc_comum, cot_prc_min, cot_prc_max, cot_prc_med, cot_prc_mediana) VALUES (10, 31, 100, 75, 120, 95, 100);</v>
      </c>
    </row>
    <row r="385" spans="1:10" x14ac:dyDescent="0.3">
      <c r="A385" s="1">
        <v>384</v>
      </c>
      <c r="B385" s="1">
        <v>10</v>
      </c>
      <c r="C385" s="1">
        <v>32</v>
      </c>
      <c r="D385" s="19">
        <f>IF('Boletins Nuppa Site'!G385&lt;&gt;0,'Boletins Nuppa Site'!G385,"NULL")</f>
        <v>60</v>
      </c>
      <c r="E385" s="19">
        <f>IF('Boletins Nuppa Site'!H385&lt;&gt;0,'Boletins Nuppa Site'!H385,"NULL")</f>
        <v>40</v>
      </c>
      <c r="F385" s="19">
        <f>IF('Boletins Nuppa Site'!I385&lt;&gt;0,'Boletins Nuppa Site'!I385,"NULL")</f>
        <v>80</v>
      </c>
      <c r="G385" s="19">
        <f>IF('Boletins Nuppa Site'!J385&lt;&gt;0,'Boletins Nuppa Site'!J385,"NULL")</f>
        <v>60</v>
      </c>
      <c r="H385" s="19">
        <f>IF('Boletins Nuppa Site'!K385&lt;&gt;0,'Boletins Nuppa Site'!K385,"NULL")</f>
        <v>60</v>
      </c>
      <c r="J385" s="1" t="str">
        <f t="shared" si="5"/>
        <v>INSERT INTO COTACAO (blt_id, pap_id, cot_prc_comum, cot_prc_min, cot_prc_max, cot_prc_med, cot_prc_mediana) VALUES (10, 32, 60, 40, 80, 60, 60);</v>
      </c>
    </row>
    <row r="386" spans="1:10" x14ac:dyDescent="0.3">
      <c r="A386" s="1">
        <v>385</v>
      </c>
      <c r="B386" s="1">
        <v>10</v>
      </c>
      <c r="C386" s="1">
        <v>33</v>
      </c>
      <c r="D386" s="19">
        <f>IF('Boletins Nuppa Site'!G386&lt;&gt;0,'Boletins Nuppa Site'!G386,"NULL")</f>
        <v>60</v>
      </c>
      <c r="E386" s="19">
        <f>IF('Boletins Nuppa Site'!H386&lt;&gt;0,'Boletins Nuppa Site'!H386,"NULL")</f>
        <v>60</v>
      </c>
      <c r="F386" s="19">
        <f>IF('Boletins Nuppa Site'!I386&lt;&gt;0,'Boletins Nuppa Site'!I386,"NULL")</f>
        <v>130</v>
      </c>
      <c r="G386" s="19">
        <f>IF('Boletins Nuppa Site'!J386&lt;&gt;0,'Boletins Nuppa Site'!J386,"NULL")</f>
        <v>77</v>
      </c>
      <c r="H386" s="19">
        <f>IF('Boletins Nuppa Site'!K386&lt;&gt;0,'Boletins Nuppa Site'!K386,"NULL")</f>
        <v>65</v>
      </c>
      <c r="J386" s="1" t="str">
        <f t="shared" ref="J386:J449" si="6">"INSERT INTO COTACAO (blt_id, pap_id, cot_prc_comum, cot_prc_min, cot_prc_max, cot_prc_med, cot_prc_mediana) VALUES ("&amp;B386&amp;", "&amp;C386&amp;", "&amp;D386&amp;", "&amp;E386&amp;", "&amp;F386&amp;", "&amp;G386&amp;", "&amp;H386&amp;");"</f>
        <v>INSERT INTO COTACAO (blt_id, pap_id, cot_prc_comum, cot_prc_min, cot_prc_max, cot_prc_med, cot_prc_mediana) VALUES (10, 33, 60, 60, 130, 77, 65);</v>
      </c>
    </row>
    <row r="387" spans="1:10" x14ac:dyDescent="0.3">
      <c r="A387" s="1">
        <v>386</v>
      </c>
      <c r="B387" s="1">
        <v>10</v>
      </c>
      <c r="C387" s="1">
        <v>34</v>
      </c>
      <c r="D387" s="1" t="str">
        <f>IF('Boletins Nuppa Site'!G387&lt;&gt;0,'Boletins Nuppa Site'!G387,"NULL")</f>
        <v>NULL</v>
      </c>
      <c r="E387" s="19">
        <f>IF('Boletins Nuppa Site'!H387&lt;&gt;0,'Boletins Nuppa Site'!H387,"NULL")</f>
        <v>65</v>
      </c>
      <c r="F387" s="19">
        <f>IF('Boletins Nuppa Site'!I387&lt;&gt;0,'Boletins Nuppa Site'!I387,"NULL")</f>
        <v>140</v>
      </c>
      <c r="G387" s="19">
        <f>IF('Boletins Nuppa Site'!J387&lt;&gt;0,'Boletins Nuppa Site'!J387,"NULL")</f>
        <v>107</v>
      </c>
      <c r="H387" s="19">
        <f>IF('Boletins Nuppa Site'!K387&lt;&gt;0,'Boletins Nuppa Site'!K387,"NULL")</f>
        <v>110</v>
      </c>
      <c r="J387" s="1" t="str">
        <f t="shared" si="6"/>
        <v>INSERT INTO COTACAO (blt_id, pap_id, cot_prc_comum, cot_prc_min, cot_prc_max, cot_prc_med, cot_prc_mediana) VALUES (10, 34, NULL, 65, 140, 107, 110);</v>
      </c>
    </row>
    <row r="388" spans="1:10" x14ac:dyDescent="0.3">
      <c r="A388" s="1">
        <v>387</v>
      </c>
      <c r="B388" s="1">
        <v>10</v>
      </c>
      <c r="C388" s="1">
        <v>35</v>
      </c>
      <c r="D388" s="19">
        <f>IF('Boletins Nuppa Site'!G388&lt;&gt;0,'Boletins Nuppa Site'!G388,"NULL")</f>
        <v>120</v>
      </c>
      <c r="E388" s="19">
        <f>IF('Boletins Nuppa Site'!H388&lt;&gt;0,'Boletins Nuppa Site'!H388,"NULL")</f>
        <v>100</v>
      </c>
      <c r="F388" s="19">
        <f>IF('Boletins Nuppa Site'!I388&lt;&gt;0,'Boletins Nuppa Site'!I388,"NULL")</f>
        <v>120</v>
      </c>
      <c r="G388" s="19">
        <f>IF('Boletins Nuppa Site'!J388&lt;&gt;0,'Boletins Nuppa Site'!J388,"NULL")</f>
        <v>115</v>
      </c>
      <c r="H388" s="19">
        <f>IF('Boletins Nuppa Site'!K388&lt;&gt;0,'Boletins Nuppa Site'!K388,"NULL")</f>
        <v>120</v>
      </c>
      <c r="J388" s="1" t="str">
        <f t="shared" si="6"/>
        <v>INSERT INTO COTACAO (blt_id, pap_id, cot_prc_comum, cot_prc_min, cot_prc_max, cot_prc_med, cot_prc_mediana) VALUES (10, 35, 120, 100, 120, 115, 120);</v>
      </c>
    </row>
    <row r="389" spans="1:10" x14ac:dyDescent="0.3">
      <c r="A389" s="1">
        <v>388</v>
      </c>
      <c r="B389" s="1">
        <v>10</v>
      </c>
      <c r="C389" s="1">
        <v>36</v>
      </c>
      <c r="D389" s="1" t="str">
        <f>IF('Boletins Nuppa Site'!G389&lt;&gt;0,'Boletins Nuppa Site'!G389,"NULL")</f>
        <v>NULL</v>
      </c>
      <c r="E389" s="19">
        <f>IF('Boletins Nuppa Site'!H389&lt;&gt;0,'Boletins Nuppa Site'!H389,"NULL")</f>
        <v>80</v>
      </c>
      <c r="F389" s="19">
        <f>IF('Boletins Nuppa Site'!I389&lt;&gt;0,'Boletins Nuppa Site'!I389,"NULL")</f>
        <v>80</v>
      </c>
      <c r="G389" s="19">
        <f>IF('Boletins Nuppa Site'!J389&lt;&gt;0,'Boletins Nuppa Site'!J389,"NULL")</f>
        <v>80</v>
      </c>
      <c r="H389" s="19">
        <f>IF('Boletins Nuppa Site'!K389&lt;&gt;0,'Boletins Nuppa Site'!K389,"NULL")</f>
        <v>80</v>
      </c>
      <c r="J389" s="1" t="str">
        <f t="shared" si="6"/>
        <v>INSERT INTO COTACAO (blt_id, pap_id, cot_prc_comum, cot_prc_min, cot_prc_max, cot_prc_med, cot_prc_mediana) VALUES (10, 36, NULL, 80, 80, 80, 80);</v>
      </c>
    </row>
    <row r="390" spans="1:10" x14ac:dyDescent="0.3">
      <c r="A390" s="1">
        <v>389</v>
      </c>
      <c r="B390" s="1">
        <v>10</v>
      </c>
      <c r="C390" s="1">
        <v>37</v>
      </c>
      <c r="D390" s="1" t="str">
        <f>IF('Boletins Nuppa Site'!G390&lt;&gt;0,'Boletins Nuppa Site'!G390,"NULL")</f>
        <v>NULL</v>
      </c>
      <c r="E390" s="19">
        <f>IF('Boletins Nuppa Site'!H390&lt;&gt;0,'Boletins Nuppa Site'!H390,"NULL")</f>
        <v>60</v>
      </c>
      <c r="F390" s="19">
        <f>IF('Boletins Nuppa Site'!I390&lt;&gt;0,'Boletins Nuppa Site'!I390,"NULL")</f>
        <v>60</v>
      </c>
      <c r="G390" s="19">
        <f>IF('Boletins Nuppa Site'!J390&lt;&gt;0,'Boletins Nuppa Site'!J390,"NULL")</f>
        <v>60</v>
      </c>
      <c r="H390" s="19">
        <f>IF('Boletins Nuppa Site'!K390&lt;&gt;0,'Boletins Nuppa Site'!K390,"NULL")</f>
        <v>60</v>
      </c>
      <c r="J390" s="1" t="str">
        <f t="shared" si="6"/>
        <v>INSERT INTO COTACAO (blt_id, pap_id, cot_prc_comum, cot_prc_min, cot_prc_max, cot_prc_med, cot_prc_mediana) VALUES (10, 37, NULL, 60, 60, 60, 60);</v>
      </c>
    </row>
    <row r="391" spans="1:10" x14ac:dyDescent="0.3">
      <c r="A391" s="1">
        <v>390</v>
      </c>
      <c r="B391" s="1">
        <v>10</v>
      </c>
      <c r="C391" s="1">
        <v>38</v>
      </c>
      <c r="D391" s="1" t="str">
        <f>IF('Boletins Nuppa Site'!G391&lt;&gt;0,'Boletins Nuppa Site'!G391,"NULL")</f>
        <v>NULL</v>
      </c>
      <c r="E391" s="19">
        <f>IF('Boletins Nuppa Site'!H391&lt;&gt;0,'Boletins Nuppa Site'!H391,"NULL")</f>
        <v>45</v>
      </c>
      <c r="F391" s="19">
        <f>IF('Boletins Nuppa Site'!I391&lt;&gt;0,'Boletins Nuppa Site'!I391,"NULL")</f>
        <v>60</v>
      </c>
      <c r="G391" s="1" t="str">
        <f>IF('Boletins Nuppa Site'!J391&lt;&gt;0,'Boletins Nuppa Site'!J391,"NULL")</f>
        <v>52.5</v>
      </c>
      <c r="H391" s="1" t="str">
        <f>IF('Boletins Nuppa Site'!K391&lt;&gt;0,'Boletins Nuppa Site'!K391,"NULL")</f>
        <v>52.5</v>
      </c>
      <c r="J391" s="1" t="str">
        <f t="shared" si="6"/>
        <v>INSERT INTO COTACAO (blt_id, pap_id, cot_prc_comum, cot_prc_min, cot_prc_max, cot_prc_med, cot_prc_mediana) VALUES (10, 38, NULL, 45, 60, 52.5, 52.5);</v>
      </c>
    </row>
    <row r="392" spans="1:10" x14ac:dyDescent="0.3">
      <c r="A392" s="1">
        <v>391</v>
      </c>
      <c r="B392" s="1">
        <v>10</v>
      </c>
      <c r="C392" s="1">
        <v>39</v>
      </c>
      <c r="D392" s="1" t="str">
        <f>IF('Boletins Nuppa Site'!G392&lt;&gt;0,'Boletins Nuppa Site'!G392,"NULL")</f>
        <v>NULL</v>
      </c>
      <c r="E392" s="19">
        <f>IF('Boletins Nuppa Site'!H392&lt;&gt;0,'Boletins Nuppa Site'!H392,"NULL")</f>
        <v>48</v>
      </c>
      <c r="F392" s="19">
        <f>IF('Boletins Nuppa Site'!I392&lt;&gt;0,'Boletins Nuppa Site'!I392,"NULL")</f>
        <v>48</v>
      </c>
      <c r="G392" s="19">
        <f>IF('Boletins Nuppa Site'!J392&lt;&gt;0,'Boletins Nuppa Site'!J392,"NULL")</f>
        <v>48</v>
      </c>
      <c r="H392" s="19">
        <f>IF('Boletins Nuppa Site'!K392&lt;&gt;0,'Boletins Nuppa Site'!K392,"NULL")</f>
        <v>48</v>
      </c>
      <c r="J392" s="1" t="str">
        <f t="shared" si="6"/>
        <v>INSERT INTO COTACAO (blt_id, pap_id, cot_prc_comum, cot_prc_min, cot_prc_max, cot_prc_med, cot_prc_mediana) VALUES (10, 39, NULL, 48, 48, 48, 48);</v>
      </c>
    </row>
    <row r="393" spans="1:10" x14ac:dyDescent="0.3">
      <c r="A393" s="1">
        <v>392</v>
      </c>
      <c r="B393" s="1">
        <v>10</v>
      </c>
      <c r="C393" s="1">
        <v>40</v>
      </c>
      <c r="D393" s="19">
        <f>IF('Boletins Nuppa Site'!G393&lt;&gt;0,'Boletins Nuppa Site'!G393,"NULL")</f>
        <v>90</v>
      </c>
      <c r="E393" s="19">
        <f>IF('Boletins Nuppa Site'!H393&lt;&gt;0,'Boletins Nuppa Site'!H393,"NULL")</f>
        <v>90</v>
      </c>
      <c r="F393" s="19">
        <f>IF('Boletins Nuppa Site'!I393&lt;&gt;0,'Boletins Nuppa Site'!I393,"NULL")</f>
        <v>90</v>
      </c>
      <c r="G393" s="19">
        <f>IF('Boletins Nuppa Site'!J393&lt;&gt;0,'Boletins Nuppa Site'!J393,"NULL")</f>
        <v>90</v>
      </c>
      <c r="H393" s="19">
        <f>IF('Boletins Nuppa Site'!K393&lt;&gt;0,'Boletins Nuppa Site'!K393,"NULL")</f>
        <v>90</v>
      </c>
      <c r="J393" s="1" t="str">
        <f t="shared" si="6"/>
        <v>INSERT INTO COTACAO (blt_id, pap_id, cot_prc_comum, cot_prc_min, cot_prc_max, cot_prc_med, cot_prc_mediana) VALUES (10, 40, 90, 90, 90, 90, 90);</v>
      </c>
    </row>
    <row r="394" spans="1:10" x14ac:dyDescent="0.3">
      <c r="A394" s="1">
        <v>393</v>
      </c>
      <c r="B394" s="1">
        <v>11</v>
      </c>
      <c r="C394" s="1">
        <v>1</v>
      </c>
      <c r="D394" s="1" t="str">
        <f>IF('Boletins Nuppa Site'!G394&lt;&gt;0,'Boletins Nuppa Site'!G394,"NULL")</f>
        <v>NULL</v>
      </c>
      <c r="E394" s="19">
        <f>IF('Boletins Nuppa Site'!H394&lt;&gt;0,'Boletins Nuppa Site'!H394,"NULL")</f>
        <v>48</v>
      </c>
      <c r="F394" s="19">
        <f>IF('Boletins Nuppa Site'!I394&lt;&gt;0,'Boletins Nuppa Site'!I394,"NULL")</f>
        <v>60</v>
      </c>
      <c r="G394" s="19">
        <f>IF('Boletins Nuppa Site'!J394&lt;&gt;0,'Boletins Nuppa Site'!J394,"NULL")</f>
        <v>54</v>
      </c>
      <c r="H394" s="19">
        <f>IF('Boletins Nuppa Site'!K394&lt;&gt;0,'Boletins Nuppa Site'!K394,"NULL")</f>
        <v>54</v>
      </c>
      <c r="J394" s="1" t="str">
        <f t="shared" si="6"/>
        <v>INSERT INTO COTACAO (blt_id, pap_id, cot_prc_comum, cot_prc_min, cot_prc_max, cot_prc_med, cot_prc_mediana) VALUES (11, 1, NULL, 48, 60, 54, 54);</v>
      </c>
    </row>
    <row r="395" spans="1:10" x14ac:dyDescent="0.3">
      <c r="A395" s="1">
        <v>394</v>
      </c>
      <c r="B395" s="1">
        <v>11</v>
      </c>
      <c r="C395" s="1">
        <v>2</v>
      </c>
      <c r="D395" s="19">
        <f>IF('Boletins Nuppa Site'!G395&lt;&gt;0,'Boletins Nuppa Site'!G395,"NULL")</f>
        <v>72</v>
      </c>
      <c r="E395" s="19">
        <f>IF('Boletins Nuppa Site'!H395&lt;&gt;0,'Boletins Nuppa Site'!H395,"NULL")</f>
        <v>72</v>
      </c>
      <c r="F395" s="19">
        <f>IF('Boletins Nuppa Site'!I395&lt;&gt;0,'Boletins Nuppa Site'!I395,"NULL")</f>
        <v>84</v>
      </c>
      <c r="G395" s="19">
        <f>IF('Boletins Nuppa Site'!J395&lt;&gt;0,'Boletins Nuppa Site'!J395,"NULL")</f>
        <v>76</v>
      </c>
      <c r="H395" s="19">
        <f>IF('Boletins Nuppa Site'!K395&lt;&gt;0,'Boletins Nuppa Site'!K395,"NULL")</f>
        <v>72</v>
      </c>
      <c r="J395" s="1" t="str">
        <f t="shared" si="6"/>
        <v>INSERT INTO COTACAO (blt_id, pap_id, cot_prc_comum, cot_prc_min, cot_prc_max, cot_prc_med, cot_prc_mediana) VALUES (11, 2, 72, 72, 84, 76, 72);</v>
      </c>
    </row>
    <row r="396" spans="1:10" x14ac:dyDescent="0.3">
      <c r="A396" s="1">
        <v>395</v>
      </c>
      <c r="B396" s="1">
        <v>11</v>
      </c>
      <c r="C396" s="1">
        <v>3</v>
      </c>
      <c r="D396" s="19">
        <f>IF('Boletins Nuppa Site'!G396&lt;&gt;0,'Boletins Nuppa Site'!G396,"NULL")</f>
        <v>48</v>
      </c>
      <c r="E396" s="19">
        <f>IF('Boletins Nuppa Site'!H396&lt;&gt;0,'Boletins Nuppa Site'!H396,"NULL")</f>
        <v>48</v>
      </c>
      <c r="F396" s="19">
        <f>IF('Boletins Nuppa Site'!I396&lt;&gt;0,'Boletins Nuppa Site'!I396,"NULL")</f>
        <v>60</v>
      </c>
      <c r="G396" s="19">
        <f>IF('Boletins Nuppa Site'!J396&lt;&gt;0,'Boletins Nuppa Site'!J396,"NULL")</f>
        <v>52</v>
      </c>
      <c r="H396" s="19">
        <f>IF('Boletins Nuppa Site'!K396&lt;&gt;0,'Boletins Nuppa Site'!K396,"NULL")</f>
        <v>48</v>
      </c>
      <c r="J396" s="1" t="str">
        <f t="shared" si="6"/>
        <v>INSERT INTO COTACAO (blt_id, pap_id, cot_prc_comum, cot_prc_min, cot_prc_max, cot_prc_med, cot_prc_mediana) VALUES (11, 3, 48, 48, 60, 52, 48);</v>
      </c>
    </row>
    <row r="397" spans="1:10" x14ac:dyDescent="0.3">
      <c r="A397" s="1">
        <v>396</v>
      </c>
      <c r="B397" s="1">
        <v>11</v>
      </c>
      <c r="C397" s="1">
        <v>4</v>
      </c>
      <c r="D397" s="1" t="str">
        <f>IF('Boletins Nuppa Site'!G397&lt;&gt;0,'Boletins Nuppa Site'!G397,"NULL")</f>
        <v>NULL</v>
      </c>
      <c r="E397" s="19">
        <f>IF('Boletins Nuppa Site'!H397&lt;&gt;0,'Boletins Nuppa Site'!H397,"NULL")</f>
        <v>35</v>
      </c>
      <c r="F397" s="19">
        <f>IF('Boletins Nuppa Site'!I397&lt;&gt;0,'Boletins Nuppa Site'!I397,"NULL")</f>
        <v>50</v>
      </c>
      <c r="G397" s="1" t="str">
        <f>IF('Boletins Nuppa Site'!J397&lt;&gt;0,'Boletins Nuppa Site'!J397,"NULL")</f>
        <v>42.33</v>
      </c>
      <c r="H397" s="19">
        <f>IF('Boletins Nuppa Site'!K397&lt;&gt;0,'Boletins Nuppa Site'!K397,"NULL")</f>
        <v>42</v>
      </c>
      <c r="J397" s="1" t="str">
        <f t="shared" si="6"/>
        <v>INSERT INTO COTACAO (blt_id, pap_id, cot_prc_comum, cot_prc_min, cot_prc_max, cot_prc_med, cot_prc_mediana) VALUES (11, 4, NULL, 35, 50, 42.33, 42);</v>
      </c>
    </row>
    <row r="398" spans="1:10" x14ac:dyDescent="0.3">
      <c r="A398" s="1">
        <v>397</v>
      </c>
      <c r="B398" s="1">
        <v>11</v>
      </c>
      <c r="C398" s="1">
        <v>5</v>
      </c>
      <c r="D398" s="1" t="str">
        <f>IF('Boletins Nuppa Site'!G398&lt;&gt;0,'Boletins Nuppa Site'!G398,"NULL")</f>
        <v>NULL</v>
      </c>
      <c r="E398" s="19">
        <f>IF('Boletins Nuppa Site'!H398&lt;&gt;0,'Boletins Nuppa Site'!H398,"NULL")</f>
        <v>35</v>
      </c>
      <c r="F398" s="19">
        <f>IF('Boletins Nuppa Site'!I398&lt;&gt;0,'Boletins Nuppa Site'!I398,"NULL")</f>
        <v>50</v>
      </c>
      <c r="G398" s="1" t="str">
        <f>IF('Boletins Nuppa Site'!J398&lt;&gt;0,'Boletins Nuppa Site'!J398,"NULL")</f>
        <v>42.33</v>
      </c>
      <c r="H398" s="19">
        <f>IF('Boletins Nuppa Site'!K398&lt;&gt;0,'Boletins Nuppa Site'!K398,"NULL")</f>
        <v>42</v>
      </c>
      <c r="J398" s="1" t="str">
        <f t="shared" si="6"/>
        <v>INSERT INTO COTACAO (blt_id, pap_id, cot_prc_comum, cot_prc_min, cot_prc_max, cot_prc_med, cot_prc_mediana) VALUES (11, 5, NULL, 35, 50, 42.33, 42);</v>
      </c>
    </row>
    <row r="399" spans="1:10" x14ac:dyDescent="0.3">
      <c r="A399" s="1">
        <v>398</v>
      </c>
      <c r="B399" s="1">
        <v>11</v>
      </c>
      <c r="C399" s="1">
        <v>6</v>
      </c>
      <c r="D399" s="19">
        <f>IF('Boletins Nuppa Site'!G399&lt;&gt;0,'Boletins Nuppa Site'!G399,"NULL")</f>
        <v>72</v>
      </c>
      <c r="E399" s="19">
        <f>IF('Boletins Nuppa Site'!H399&lt;&gt;0,'Boletins Nuppa Site'!H399,"NULL")</f>
        <v>60</v>
      </c>
      <c r="F399" s="19">
        <f>IF('Boletins Nuppa Site'!I399&lt;&gt;0,'Boletins Nuppa Site'!I399,"NULL")</f>
        <v>72</v>
      </c>
      <c r="G399" s="19">
        <f>IF('Boletins Nuppa Site'!J399&lt;&gt;0,'Boletins Nuppa Site'!J399,"NULL")</f>
        <v>68</v>
      </c>
      <c r="H399" s="19">
        <f>IF('Boletins Nuppa Site'!K399&lt;&gt;0,'Boletins Nuppa Site'!K399,"NULL")</f>
        <v>72</v>
      </c>
      <c r="J399" s="1" t="str">
        <f t="shared" si="6"/>
        <v>INSERT INTO COTACAO (blt_id, pap_id, cot_prc_comum, cot_prc_min, cot_prc_max, cot_prc_med, cot_prc_mediana) VALUES (11, 6, 72, 60, 72, 68, 72);</v>
      </c>
    </row>
    <row r="400" spans="1:10" x14ac:dyDescent="0.3">
      <c r="A400" s="1">
        <v>399</v>
      </c>
      <c r="B400" s="1">
        <v>11</v>
      </c>
      <c r="C400" s="1">
        <v>7</v>
      </c>
      <c r="D400" s="1" t="str">
        <f>IF('Boletins Nuppa Site'!G400&lt;&gt;0,'Boletins Nuppa Site'!G400,"NULL")</f>
        <v>NULL</v>
      </c>
      <c r="E400" s="19">
        <f>IF('Boletins Nuppa Site'!H400&lt;&gt;0,'Boletins Nuppa Site'!H400,"NULL")</f>
        <v>72</v>
      </c>
      <c r="F400" s="19">
        <f>IF('Boletins Nuppa Site'!I400&lt;&gt;0,'Boletins Nuppa Site'!I400,"NULL")</f>
        <v>96</v>
      </c>
      <c r="G400" s="19">
        <f>IF('Boletins Nuppa Site'!J400&lt;&gt;0,'Boletins Nuppa Site'!J400,"NULL")</f>
        <v>86</v>
      </c>
      <c r="H400" s="19">
        <f>IF('Boletins Nuppa Site'!K400&lt;&gt;0,'Boletins Nuppa Site'!K400,"NULL")</f>
        <v>90</v>
      </c>
      <c r="J400" s="1" t="str">
        <f t="shared" si="6"/>
        <v>INSERT INTO COTACAO (blt_id, pap_id, cot_prc_comum, cot_prc_min, cot_prc_max, cot_prc_med, cot_prc_mediana) VALUES (11, 7, NULL, 72, 96, 86, 90);</v>
      </c>
    </row>
    <row r="401" spans="1:10" x14ac:dyDescent="0.3">
      <c r="A401" s="1">
        <v>400</v>
      </c>
      <c r="B401" s="1">
        <v>11</v>
      </c>
      <c r="C401" s="1">
        <v>8</v>
      </c>
      <c r="D401" s="1" t="str">
        <f>IF('Boletins Nuppa Site'!G401&lt;&gt;0,'Boletins Nuppa Site'!G401,"NULL")</f>
        <v>NULL</v>
      </c>
      <c r="E401" s="19">
        <f>IF('Boletins Nuppa Site'!H401&lt;&gt;0,'Boletins Nuppa Site'!H401,"NULL")</f>
        <v>120</v>
      </c>
      <c r="F401" s="19">
        <f>IF('Boletins Nuppa Site'!I401&lt;&gt;0,'Boletins Nuppa Site'!I401,"NULL")</f>
        <v>120</v>
      </c>
      <c r="G401" s="19">
        <f>IF('Boletins Nuppa Site'!J401&lt;&gt;0,'Boletins Nuppa Site'!J401,"NULL")</f>
        <v>120</v>
      </c>
      <c r="H401" s="19">
        <f>IF('Boletins Nuppa Site'!K401&lt;&gt;0,'Boletins Nuppa Site'!K401,"NULL")</f>
        <v>120</v>
      </c>
      <c r="J401" s="1" t="str">
        <f t="shared" si="6"/>
        <v>INSERT INTO COTACAO (blt_id, pap_id, cot_prc_comum, cot_prc_min, cot_prc_max, cot_prc_med, cot_prc_mediana) VALUES (11, 8, NULL, 120, 120, 120, 120);</v>
      </c>
    </row>
    <row r="402" spans="1:10" x14ac:dyDescent="0.3">
      <c r="A402" s="1">
        <v>401</v>
      </c>
      <c r="B402" s="1">
        <v>11</v>
      </c>
      <c r="C402" s="1">
        <v>9</v>
      </c>
      <c r="D402" s="19">
        <f>IF('Boletins Nuppa Site'!G402&lt;&gt;0,'Boletins Nuppa Site'!G402,"NULL")</f>
        <v>30</v>
      </c>
      <c r="E402" s="19">
        <f>IF('Boletins Nuppa Site'!H402&lt;&gt;0,'Boletins Nuppa Site'!H402,"NULL")</f>
        <v>30</v>
      </c>
      <c r="F402" s="19">
        <f>IF('Boletins Nuppa Site'!I402&lt;&gt;0,'Boletins Nuppa Site'!I402,"NULL")</f>
        <v>36</v>
      </c>
      <c r="G402" s="19">
        <f>IF('Boletins Nuppa Site'!J402&lt;&gt;0,'Boletins Nuppa Site'!J402,"NULL")</f>
        <v>32</v>
      </c>
      <c r="H402" s="19">
        <f>IF('Boletins Nuppa Site'!K402&lt;&gt;0,'Boletins Nuppa Site'!K402,"NULL")</f>
        <v>30</v>
      </c>
      <c r="J402" s="1" t="str">
        <f t="shared" si="6"/>
        <v>INSERT INTO COTACAO (blt_id, pap_id, cot_prc_comum, cot_prc_min, cot_prc_max, cot_prc_med, cot_prc_mediana) VALUES (11, 9, 30, 30, 36, 32, 30);</v>
      </c>
    </row>
    <row r="403" spans="1:10" x14ac:dyDescent="0.3">
      <c r="A403" s="1">
        <v>402</v>
      </c>
      <c r="B403" s="1">
        <v>11</v>
      </c>
      <c r="C403" s="1">
        <v>10</v>
      </c>
      <c r="D403" s="19">
        <f>IF('Boletins Nuppa Site'!G403&lt;&gt;0,'Boletins Nuppa Site'!G403,"NULL")</f>
        <v>120</v>
      </c>
      <c r="E403" s="19">
        <f>IF('Boletins Nuppa Site'!H403&lt;&gt;0,'Boletins Nuppa Site'!H403,"NULL")</f>
        <v>120</v>
      </c>
      <c r="F403" s="19">
        <f>IF('Boletins Nuppa Site'!I403&lt;&gt;0,'Boletins Nuppa Site'!I403,"NULL")</f>
        <v>120</v>
      </c>
      <c r="G403" s="19">
        <f>IF('Boletins Nuppa Site'!J403&lt;&gt;0,'Boletins Nuppa Site'!J403,"NULL")</f>
        <v>120</v>
      </c>
      <c r="H403" s="19">
        <f>IF('Boletins Nuppa Site'!K403&lt;&gt;0,'Boletins Nuppa Site'!K403,"NULL")</f>
        <v>120</v>
      </c>
      <c r="J403" s="1" t="str">
        <f t="shared" si="6"/>
        <v>INSERT INTO COTACAO (blt_id, pap_id, cot_prc_comum, cot_prc_min, cot_prc_max, cot_prc_med, cot_prc_mediana) VALUES (11, 10, 120, 120, 120, 120, 120);</v>
      </c>
    </row>
    <row r="404" spans="1:10" x14ac:dyDescent="0.3">
      <c r="A404" s="1">
        <v>403</v>
      </c>
      <c r="B404" s="1">
        <v>11</v>
      </c>
      <c r="C404" s="1">
        <v>11</v>
      </c>
      <c r="D404" s="1" t="str">
        <f>IF('Boletins Nuppa Site'!G404&lt;&gt;0,'Boletins Nuppa Site'!G404,"NULL")</f>
        <v>NULL</v>
      </c>
      <c r="E404" s="19">
        <f>IF('Boletins Nuppa Site'!H404&lt;&gt;0,'Boletins Nuppa Site'!H404,"NULL")</f>
        <v>30</v>
      </c>
      <c r="F404" s="19">
        <f>IF('Boletins Nuppa Site'!I404&lt;&gt;0,'Boletins Nuppa Site'!I404,"NULL")</f>
        <v>42</v>
      </c>
      <c r="G404" s="19">
        <f>IF('Boletins Nuppa Site'!J404&lt;&gt;0,'Boletins Nuppa Site'!J404,"NULL")</f>
        <v>36</v>
      </c>
      <c r="H404" s="19">
        <f>IF('Boletins Nuppa Site'!K404&lt;&gt;0,'Boletins Nuppa Site'!K404,"NULL")</f>
        <v>36</v>
      </c>
      <c r="J404" s="1" t="str">
        <f t="shared" si="6"/>
        <v>INSERT INTO COTACAO (blt_id, pap_id, cot_prc_comum, cot_prc_min, cot_prc_max, cot_prc_med, cot_prc_mediana) VALUES (11, 11, NULL, 30, 42, 36, 36);</v>
      </c>
    </row>
    <row r="405" spans="1:10" x14ac:dyDescent="0.3">
      <c r="A405" s="1">
        <v>404</v>
      </c>
      <c r="B405" s="1">
        <v>11</v>
      </c>
      <c r="C405" s="1">
        <v>12</v>
      </c>
      <c r="D405" s="1" t="str">
        <f>IF('Boletins Nuppa Site'!G405&lt;&gt;0,'Boletins Nuppa Site'!G405,"NULL")</f>
        <v>NULL</v>
      </c>
      <c r="E405" s="19">
        <f>IF('Boletins Nuppa Site'!H405&lt;&gt;0,'Boletins Nuppa Site'!H405,"NULL")</f>
        <v>78</v>
      </c>
      <c r="F405" s="19">
        <f>IF('Boletins Nuppa Site'!I405&lt;&gt;0,'Boletins Nuppa Site'!I405,"NULL")</f>
        <v>96</v>
      </c>
      <c r="G405" s="19">
        <f>IF('Boletins Nuppa Site'!J405&lt;&gt;0,'Boletins Nuppa Site'!J405,"NULL")</f>
        <v>86</v>
      </c>
      <c r="H405" s="19">
        <f>IF('Boletins Nuppa Site'!K405&lt;&gt;0,'Boletins Nuppa Site'!K405,"NULL")</f>
        <v>84</v>
      </c>
      <c r="J405" s="1" t="str">
        <f t="shared" si="6"/>
        <v>INSERT INTO COTACAO (blt_id, pap_id, cot_prc_comum, cot_prc_min, cot_prc_max, cot_prc_med, cot_prc_mediana) VALUES (11, 12, NULL, 78, 96, 86, 84);</v>
      </c>
    </row>
    <row r="406" spans="1:10" x14ac:dyDescent="0.3">
      <c r="A406" s="1">
        <v>405</v>
      </c>
      <c r="B406" s="1">
        <v>11</v>
      </c>
      <c r="C406" s="1">
        <v>13</v>
      </c>
      <c r="D406" s="1" t="str">
        <f>IF('Boletins Nuppa Site'!G406&lt;&gt;0,'Boletins Nuppa Site'!G406,"NULL")</f>
        <v>NULL</v>
      </c>
      <c r="E406" s="19">
        <f>IF('Boletins Nuppa Site'!H406&lt;&gt;0,'Boletins Nuppa Site'!H406,"NULL")</f>
        <v>60</v>
      </c>
      <c r="F406" s="19">
        <f>IF('Boletins Nuppa Site'!I406&lt;&gt;0,'Boletins Nuppa Site'!I406,"NULL")</f>
        <v>78</v>
      </c>
      <c r="G406" s="19">
        <f>IF('Boletins Nuppa Site'!J406&lt;&gt;0,'Boletins Nuppa Site'!J406,"NULL")</f>
        <v>70</v>
      </c>
      <c r="H406" s="19">
        <f>IF('Boletins Nuppa Site'!K406&lt;&gt;0,'Boletins Nuppa Site'!K406,"NULL")</f>
        <v>72</v>
      </c>
      <c r="J406" s="1" t="str">
        <f t="shared" si="6"/>
        <v>INSERT INTO COTACAO (blt_id, pap_id, cot_prc_comum, cot_prc_min, cot_prc_max, cot_prc_med, cot_prc_mediana) VALUES (11, 13, NULL, 60, 78, 70, 72);</v>
      </c>
    </row>
    <row r="407" spans="1:10" x14ac:dyDescent="0.3">
      <c r="A407" s="1">
        <v>406</v>
      </c>
      <c r="B407" s="1">
        <v>11</v>
      </c>
      <c r="C407" s="1">
        <v>14</v>
      </c>
      <c r="D407" s="1" t="str">
        <f>IF('Boletins Nuppa Site'!G407&lt;&gt;0,'Boletins Nuppa Site'!G407,"NULL")</f>
        <v>NULL</v>
      </c>
      <c r="E407" s="19">
        <f>IF('Boletins Nuppa Site'!H407&lt;&gt;0,'Boletins Nuppa Site'!H407,"NULL")</f>
        <v>60</v>
      </c>
      <c r="F407" s="19">
        <f>IF('Boletins Nuppa Site'!I407&lt;&gt;0,'Boletins Nuppa Site'!I407,"NULL")</f>
        <v>120</v>
      </c>
      <c r="G407" s="1" t="str">
        <f>IF('Boletins Nuppa Site'!J407&lt;&gt;0,'Boletins Nuppa Site'!J407,"NULL")</f>
        <v>81.8</v>
      </c>
      <c r="H407" s="19">
        <f>IF('Boletins Nuppa Site'!K407&lt;&gt;0,'Boletins Nuppa Site'!K407,"NULL")</f>
        <v>75</v>
      </c>
      <c r="J407" s="1" t="str">
        <f t="shared" si="6"/>
        <v>INSERT INTO COTACAO (blt_id, pap_id, cot_prc_comum, cot_prc_min, cot_prc_max, cot_prc_med, cot_prc_mediana) VALUES (11, 14, NULL, 60, 120, 81.8, 75);</v>
      </c>
    </row>
    <row r="408" spans="1:10" x14ac:dyDescent="0.3">
      <c r="A408" s="1">
        <v>407</v>
      </c>
      <c r="B408" s="1">
        <v>11</v>
      </c>
      <c r="C408" s="1">
        <v>15</v>
      </c>
      <c r="D408" s="19">
        <f>IF('Boletins Nuppa Site'!G408&lt;&gt;0,'Boletins Nuppa Site'!G408,"NULL")</f>
        <v>60</v>
      </c>
      <c r="E408" s="19">
        <f>IF('Boletins Nuppa Site'!H408&lt;&gt;0,'Boletins Nuppa Site'!H408,"NULL")</f>
        <v>50</v>
      </c>
      <c r="F408" s="19">
        <f>IF('Boletins Nuppa Site'!I408&lt;&gt;0,'Boletins Nuppa Site'!I408,"NULL")</f>
        <v>84</v>
      </c>
      <c r="G408" s="1" t="str">
        <f>IF('Boletins Nuppa Site'!J408&lt;&gt;0,'Boletins Nuppa Site'!J408,"NULL")</f>
        <v>62.33</v>
      </c>
      <c r="H408" s="19">
        <f>IF('Boletins Nuppa Site'!K408&lt;&gt;0,'Boletins Nuppa Site'!K408,"NULL")</f>
        <v>60</v>
      </c>
      <c r="J408" s="1" t="str">
        <f t="shared" si="6"/>
        <v>INSERT INTO COTACAO (blt_id, pap_id, cot_prc_comum, cot_prc_min, cot_prc_max, cot_prc_med, cot_prc_mediana) VALUES (11, 15, 60, 50, 84, 62.33, 60);</v>
      </c>
    </row>
    <row r="409" spans="1:10" x14ac:dyDescent="0.3">
      <c r="A409" s="1">
        <v>408</v>
      </c>
      <c r="B409" s="1">
        <v>11</v>
      </c>
      <c r="C409" s="1">
        <v>16</v>
      </c>
      <c r="D409" s="19">
        <f>IF('Boletins Nuppa Site'!G409&lt;&gt;0,'Boletins Nuppa Site'!G409,"NULL")</f>
        <v>54</v>
      </c>
      <c r="E409" s="19">
        <f>IF('Boletins Nuppa Site'!H409&lt;&gt;0,'Boletins Nuppa Site'!H409,"NULL")</f>
        <v>48</v>
      </c>
      <c r="F409" s="19">
        <f>IF('Boletins Nuppa Site'!I409&lt;&gt;0,'Boletins Nuppa Site'!I409,"NULL")</f>
        <v>54</v>
      </c>
      <c r="G409" s="19">
        <f>IF('Boletins Nuppa Site'!J409&lt;&gt;0,'Boletins Nuppa Site'!J409,"NULL")</f>
        <v>52</v>
      </c>
      <c r="H409" s="19">
        <f>IF('Boletins Nuppa Site'!K409&lt;&gt;0,'Boletins Nuppa Site'!K409,"NULL")</f>
        <v>54</v>
      </c>
      <c r="J409" s="1" t="str">
        <f t="shared" si="6"/>
        <v>INSERT INTO COTACAO (blt_id, pap_id, cot_prc_comum, cot_prc_min, cot_prc_max, cot_prc_med, cot_prc_mediana) VALUES (11, 16, 54, 48, 54, 52, 54);</v>
      </c>
    </row>
    <row r="410" spans="1:10" x14ac:dyDescent="0.3">
      <c r="A410" s="1">
        <v>409</v>
      </c>
      <c r="B410" s="1">
        <v>11</v>
      </c>
      <c r="C410" s="1">
        <v>17</v>
      </c>
      <c r="D410" s="1" t="str">
        <f>IF('Boletins Nuppa Site'!G410&lt;&gt;0,'Boletins Nuppa Site'!G410,"NULL")</f>
        <v>NULL</v>
      </c>
      <c r="E410" s="1" t="str">
        <f>IF('Boletins Nuppa Site'!H410&lt;&gt;0,'Boletins Nuppa Site'!H410,"NULL")</f>
        <v>4.5</v>
      </c>
      <c r="F410" s="19">
        <f>IF('Boletins Nuppa Site'!I410&lt;&gt;0,'Boletins Nuppa Site'!I410,"NULL")</f>
        <v>5</v>
      </c>
      <c r="G410" s="1" t="str">
        <f>IF('Boletins Nuppa Site'!J410&lt;&gt;0,'Boletins Nuppa Site'!J410,"NULL")</f>
        <v>4.75</v>
      </c>
      <c r="H410" s="1" t="str">
        <f>IF('Boletins Nuppa Site'!K410&lt;&gt;0,'Boletins Nuppa Site'!K410,"NULL")</f>
        <v>4.75</v>
      </c>
      <c r="J410" s="1" t="str">
        <f t="shared" si="6"/>
        <v>INSERT INTO COTACAO (blt_id, pap_id, cot_prc_comum, cot_prc_min, cot_prc_max, cot_prc_med, cot_prc_mediana) VALUES (11, 17, NULL, 4.5, 5, 4.75, 4.75);</v>
      </c>
    </row>
    <row r="411" spans="1:10" x14ac:dyDescent="0.3">
      <c r="A411" s="1">
        <v>410</v>
      </c>
      <c r="B411" s="1">
        <v>11</v>
      </c>
      <c r="C411" s="1">
        <v>18</v>
      </c>
      <c r="D411" s="1" t="str">
        <f>IF('Boletins Nuppa Site'!G411&lt;&gt;0,'Boletins Nuppa Site'!G411,"NULL")</f>
        <v>NULL</v>
      </c>
      <c r="E411" s="19">
        <f>IF('Boletins Nuppa Site'!H411&lt;&gt;0,'Boletins Nuppa Site'!H411,"NULL")</f>
        <v>25</v>
      </c>
      <c r="F411" s="19">
        <f>IF('Boletins Nuppa Site'!I411&lt;&gt;0,'Boletins Nuppa Site'!I411,"NULL")</f>
        <v>40</v>
      </c>
      <c r="G411" s="1" t="str">
        <f>IF('Boletins Nuppa Site'!J411&lt;&gt;0,'Boletins Nuppa Site'!J411,"NULL")</f>
        <v>32.5</v>
      </c>
      <c r="H411" s="1" t="str">
        <f>IF('Boletins Nuppa Site'!K411&lt;&gt;0,'Boletins Nuppa Site'!K411,"NULL")</f>
        <v>32.5</v>
      </c>
      <c r="J411" s="1" t="str">
        <f t="shared" si="6"/>
        <v>INSERT INTO COTACAO (blt_id, pap_id, cot_prc_comum, cot_prc_min, cot_prc_max, cot_prc_med, cot_prc_mediana) VALUES (11, 18, NULL, 25, 40, 32.5, 32.5);</v>
      </c>
    </row>
    <row r="412" spans="1:10" x14ac:dyDescent="0.3">
      <c r="A412" s="1">
        <v>411</v>
      </c>
      <c r="B412" s="1">
        <v>11</v>
      </c>
      <c r="C412" s="1">
        <v>19</v>
      </c>
      <c r="D412" s="1" t="str">
        <f>IF('Boletins Nuppa Site'!G412&lt;&gt;0,'Boletins Nuppa Site'!G412,"NULL")</f>
        <v>NULL</v>
      </c>
      <c r="E412" s="19">
        <f>IF('Boletins Nuppa Site'!H412&lt;&gt;0,'Boletins Nuppa Site'!H412,"NULL")</f>
        <v>40</v>
      </c>
      <c r="F412" s="19">
        <f>IF('Boletins Nuppa Site'!I412&lt;&gt;0,'Boletins Nuppa Site'!I412,"NULL")</f>
        <v>45</v>
      </c>
      <c r="G412" s="1" t="str">
        <f>IF('Boletins Nuppa Site'!J412&lt;&gt;0,'Boletins Nuppa Site'!J412,"NULL")</f>
        <v>42.5</v>
      </c>
      <c r="H412" s="1" t="str">
        <f>IF('Boletins Nuppa Site'!K412&lt;&gt;0,'Boletins Nuppa Site'!K412,"NULL")</f>
        <v>42.5</v>
      </c>
      <c r="J412" s="1" t="str">
        <f t="shared" si="6"/>
        <v>INSERT INTO COTACAO (blt_id, pap_id, cot_prc_comum, cot_prc_min, cot_prc_max, cot_prc_med, cot_prc_mediana) VALUES (11, 19, NULL, 40, 45, 42.5, 42.5);</v>
      </c>
    </row>
    <row r="413" spans="1:10" x14ac:dyDescent="0.3">
      <c r="A413" s="1">
        <v>412</v>
      </c>
      <c r="B413" s="1">
        <v>11</v>
      </c>
      <c r="C413" s="1">
        <v>20</v>
      </c>
      <c r="D413" s="19">
        <f>IF('Boletins Nuppa Site'!G413&lt;&gt;0,'Boletins Nuppa Site'!G413,"NULL")</f>
        <v>120</v>
      </c>
      <c r="E413" s="19">
        <f>IF('Boletins Nuppa Site'!H413&lt;&gt;0,'Boletins Nuppa Site'!H413,"NULL")</f>
        <v>110</v>
      </c>
      <c r="F413" s="19">
        <f>IF('Boletins Nuppa Site'!I413&lt;&gt;0,'Boletins Nuppa Site'!I413,"NULL")</f>
        <v>120</v>
      </c>
      <c r="G413" s="1" t="str">
        <f>IF('Boletins Nuppa Site'!J413&lt;&gt;0,'Boletins Nuppa Site'!J413,"NULL")</f>
        <v>115.83</v>
      </c>
      <c r="H413" s="1" t="str">
        <f>IF('Boletins Nuppa Site'!K413&lt;&gt;0,'Boletins Nuppa Site'!K413,"NULL")</f>
        <v>117.5</v>
      </c>
      <c r="J413" s="1" t="str">
        <f t="shared" si="6"/>
        <v>INSERT INTO COTACAO (blt_id, pap_id, cot_prc_comum, cot_prc_min, cot_prc_max, cot_prc_med, cot_prc_mediana) VALUES (11, 20, 120, 110, 120, 115.83, 117.5);</v>
      </c>
    </row>
    <row r="414" spans="1:10" x14ac:dyDescent="0.3">
      <c r="A414" s="1">
        <v>413</v>
      </c>
      <c r="B414" s="1">
        <v>11</v>
      </c>
      <c r="C414" s="1">
        <v>21</v>
      </c>
      <c r="D414" s="19">
        <f>IF('Boletins Nuppa Site'!G414&lt;&gt;0,'Boletins Nuppa Site'!G414,"NULL")</f>
        <v>90</v>
      </c>
      <c r="E414" s="19">
        <f>IF('Boletins Nuppa Site'!H414&lt;&gt;0,'Boletins Nuppa Site'!H414,"NULL")</f>
        <v>70</v>
      </c>
      <c r="F414" s="19">
        <f>IF('Boletins Nuppa Site'!I414&lt;&gt;0,'Boletins Nuppa Site'!I414,"NULL")</f>
        <v>100</v>
      </c>
      <c r="G414" s="1" t="str">
        <f>IF('Boletins Nuppa Site'!J414&lt;&gt;0,'Boletins Nuppa Site'!J414,"NULL")</f>
        <v>86.88</v>
      </c>
      <c r="H414" s="19">
        <f>IF('Boletins Nuppa Site'!K414&lt;&gt;0,'Boletins Nuppa Site'!K414,"NULL")</f>
        <v>90</v>
      </c>
      <c r="J414" s="1" t="str">
        <f t="shared" si="6"/>
        <v>INSERT INTO COTACAO (blt_id, pap_id, cot_prc_comum, cot_prc_min, cot_prc_max, cot_prc_med, cot_prc_mediana) VALUES (11, 21, 90, 70, 100, 86.88, 90);</v>
      </c>
    </row>
    <row r="415" spans="1:10" x14ac:dyDescent="0.3">
      <c r="A415" s="1">
        <v>414</v>
      </c>
      <c r="B415" s="1">
        <v>11</v>
      </c>
      <c r="C415" s="1">
        <v>22</v>
      </c>
      <c r="D415" s="19">
        <f>IF('Boletins Nuppa Site'!G415&lt;&gt;0,'Boletins Nuppa Site'!G415,"NULL")</f>
        <v>50</v>
      </c>
      <c r="E415" s="19">
        <f>IF('Boletins Nuppa Site'!H415&lt;&gt;0,'Boletins Nuppa Site'!H415,"NULL")</f>
        <v>50</v>
      </c>
      <c r="F415" s="19">
        <f>IF('Boletins Nuppa Site'!I415&lt;&gt;0,'Boletins Nuppa Site'!I415,"NULL")</f>
        <v>80</v>
      </c>
      <c r="G415" s="1" t="str">
        <f>IF('Boletins Nuppa Site'!J415&lt;&gt;0,'Boletins Nuppa Site'!J415,"NULL")</f>
        <v>68.57</v>
      </c>
      <c r="H415" s="19">
        <f>IF('Boletins Nuppa Site'!K415&lt;&gt;0,'Boletins Nuppa Site'!K415,"NULL")</f>
        <v>75</v>
      </c>
      <c r="J415" s="1" t="str">
        <f t="shared" si="6"/>
        <v>INSERT INTO COTACAO (blt_id, pap_id, cot_prc_comum, cot_prc_min, cot_prc_max, cot_prc_med, cot_prc_mediana) VALUES (11, 22, 50, 50, 80, 68.57, 75);</v>
      </c>
    </row>
    <row r="416" spans="1:10" x14ac:dyDescent="0.3">
      <c r="A416" s="1">
        <v>415</v>
      </c>
      <c r="B416" s="1">
        <v>11</v>
      </c>
      <c r="C416" s="1">
        <v>23</v>
      </c>
      <c r="D416" s="19">
        <f>IF('Boletins Nuppa Site'!G416&lt;&gt;0,'Boletins Nuppa Site'!G416,"NULL")</f>
        <v>50</v>
      </c>
      <c r="E416" s="19">
        <f>IF('Boletins Nuppa Site'!H416&lt;&gt;0,'Boletins Nuppa Site'!H416,"NULL")</f>
        <v>35</v>
      </c>
      <c r="F416" s="19">
        <f>IF('Boletins Nuppa Site'!I416&lt;&gt;0,'Boletins Nuppa Site'!I416,"NULL")</f>
        <v>60</v>
      </c>
      <c r="G416" s="19">
        <f>IF('Boletins Nuppa Site'!J416&lt;&gt;0,'Boletins Nuppa Site'!J416,"NULL")</f>
        <v>45</v>
      </c>
      <c r="H416" s="19">
        <f>IF('Boletins Nuppa Site'!K416&lt;&gt;0,'Boletins Nuppa Site'!K416,"NULL")</f>
        <v>45</v>
      </c>
      <c r="J416" s="1" t="str">
        <f t="shared" si="6"/>
        <v>INSERT INTO COTACAO (blt_id, pap_id, cot_prc_comum, cot_prc_min, cot_prc_max, cot_prc_med, cot_prc_mediana) VALUES (11, 23, 50, 35, 60, 45, 45);</v>
      </c>
    </row>
    <row r="417" spans="1:10" x14ac:dyDescent="0.3">
      <c r="A417" s="1">
        <v>416</v>
      </c>
      <c r="B417" s="1">
        <v>11</v>
      </c>
      <c r="C417" s="1">
        <v>24</v>
      </c>
      <c r="D417" s="1" t="str">
        <f>IF('Boletins Nuppa Site'!G417&lt;&gt;0,'Boletins Nuppa Site'!G417,"NULL")</f>
        <v>NULL</v>
      </c>
      <c r="E417" s="19">
        <f>IF('Boletins Nuppa Site'!H417&lt;&gt;0,'Boletins Nuppa Site'!H417,"NULL")</f>
        <v>65</v>
      </c>
      <c r="F417" s="19">
        <f>IF('Boletins Nuppa Site'!I417&lt;&gt;0,'Boletins Nuppa Site'!I417,"NULL")</f>
        <v>120</v>
      </c>
      <c r="G417" s="19">
        <f>IF('Boletins Nuppa Site'!J417&lt;&gt;0,'Boletins Nuppa Site'!J417,"NULL")</f>
        <v>95</v>
      </c>
      <c r="H417" s="19">
        <f>IF('Boletins Nuppa Site'!K417&lt;&gt;0,'Boletins Nuppa Site'!K417,"NULL")</f>
        <v>100</v>
      </c>
      <c r="J417" s="1" t="str">
        <f t="shared" si="6"/>
        <v>INSERT INTO COTACAO (blt_id, pap_id, cot_prc_comum, cot_prc_min, cot_prc_max, cot_prc_med, cot_prc_mediana) VALUES (11, 24, NULL, 65, 120, 95, 100);</v>
      </c>
    </row>
    <row r="418" spans="1:10" x14ac:dyDescent="0.3">
      <c r="A418" s="1">
        <v>417</v>
      </c>
      <c r="B418" s="1">
        <v>11</v>
      </c>
      <c r="C418" s="1">
        <v>25</v>
      </c>
      <c r="D418" s="19">
        <f>IF('Boletins Nuppa Site'!G418&lt;&gt;0,'Boletins Nuppa Site'!G418,"NULL")</f>
        <v>100</v>
      </c>
      <c r="E418" s="19">
        <f>IF('Boletins Nuppa Site'!H418&lt;&gt;0,'Boletins Nuppa Site'!H418,"NULL")</f>
        <v>80</v>
      </c>
      <c r="F418" s="19">
        <f>IF('Boletins Nuppa Site'!I418&lt;&gt;0,'Boletins Nuppa Site'!I418,"NULL")</f>
        <v>130</v>
      </c>
      <c r="G418" s="19">
        <f>IF('Boletins Nuppa Site'!J418&lt;&gt;0,'Boletins Nuppa Site'!J418,"NULL")</f>
        <v>110</v>
      </c>
      <c r="H418" s="19">
        <f>IF('Boletins Nuppa Site'!K418&lt;&gt;0,'Boletins Nuppa Site'!K418,"NULL")</f>
        <v>110</v>
      </c>
      <c r="J418" s="1" t="str">
        <f t="shared" si="6"/>
        <v>INSERT INTO COTACAO (blt_id, pap_id, cot_prc_comum, cot_prc_min, cot_prc_max, cot_prc_med, cot_prc_mediana) VALUES (11, 25, 100, 80, 130, 110, 110);</v>
      </c>
    </row>
    <row r="419" spans="1:10" x14ac:dyDescent="0.3">
      <c r="A419" s="1">
        <v>418</v>
      </c>
      <c r="B419" s="1">
        <v>11</v>
      </c>
      <c r="C419" s="1">
        <v>26</v>
      </c>
      <c r="D419" s="19">
        <f>IF('Boletins Nuppa Site'!G419&lt;&gt;0,'Boletins Nuppa Site'!G419,"NULL")</f>
        <v>80</v>
      </c>
      <c r="E419" s="19">
        <f>IF('Boletins Nuppa Site'!H419&lt;&gt;0,'Boletins Nuppa Site'!H419,"NULL")</f>
        <v>80</v>
      </c>
      <c r="F419" s="19">
        <f>IF('Boletins Nuppa Site'!I419&lt;&gt;0,'Boletins Nuppa Site'!I419,"NULL")</f>
        <v>150</v>
      </c>
      <c r="G419" s="1" t="str">
        <f>IF('Boletins Nuppa Site'!J419&lt;&gt;0,'Boletins Nuppa Site'!J419,"NULL")</f>
        <v>117.86</v>
      </c>
      <c r="H419" s="19">
        <f>IF('Boletins Nuppa Site'!K419&lt;&gt;0,'Boletins Nuppa Site'!K419,"NULL")</f>
        <v>120</v>
      </c>
      <c r="J419" s="1" t="str">
        <f t="shared" si="6"/>
        <v>INSERT INTO COTACAO (blt_id, pap_id, cot_prc_comum, cot_prc_min, cot_prc_max, cot_prc_med, cot_prc_mediana) VALUES (11, 26, 80, 80, 150, 117.86, 120);</v>
      </c>
    </row>
    <row r="420" spans="1:10" x14ac:dyDescent="0.3">
      <c r="A420" s="1">
        <v>419</v>
      </c>
      <c r="B420" s="1">
        <v>11</v>
      </c>
      <c r="C420" s="1">
        <v>27</v>
      </c>
      <c r="D420" s="19">
        <f>IF('Boletins Nuppa Site'!G420&lt;&gt;0,'Boletins Nuppa Site'!G420,"NULL")</f>
        <v>60</v>
      </c>
      <c r="E420" s="19">
        <f>IF('Boletins Nuppa Site'!H420&lt;&gt;0,'Boletins Nuppa Site'!H420,"NULL")</f>
        <v>50</v>
      </c>
      <c r="F420" s="19">
        <f>IF('Boletins Nuppa Site'!I420&lt;&gt;0,'Boletins Nuppa Site'!I420,"NULL")</f>
        <v>70</v>
      </c>
      <c r="G420" s="19">
        <f>IF('Boletins Nuppa Site'!J420&lt;&gt;0,'Boletins Nuppa Site'!J420,"NULL")</f>
        <v>60</v>
      </c>
      <c r="H420" s="19">
        <f>IF('Boletins Nuppa Site'!K420&lt;&gt;0,'Boletins Nuppa Site'!K420,"NULL")</f>
        <v>60</v>
      </c>
      <c r="J420" s="1" t="str">
        <f t="shared" si="6"/>
        <v>INSERT INTO COTACAO (blt_id, pap_id, cot_prc_comum, cot_prc_min, cot_prc_max, cot_prc_med, cot_prc_mediana) VALUES (11, 27, 60, 50, 70, 60, 60);</v>
      </c>
    </row>
    <row r="421" spans="1:10" x14ac:dyDescent="0.3">
      <c r="A421" s="1">
        <v>420</v>
      </c>
      <c r="B421" s="1">
        <v>11</v>
      </c>
      <c r="C421" s="1">
        <v>28</v>
      </c>
      <c r="D421" s="19">
        <f>IF('Boletins Nuppa Site'!G421&lt;&gt;0,'Boletins Nuppa Site'!G421,"NULL")</f>
        <v>100</v>
      </c>
      <c r="E421" s="19">
        <f>IF('Boletins Nuppa Site'!H421&lt;&gt;0,'Boletins Nuppa Site'!H421,"NULL")</f>
        <v>80</v>
      </c>
      <c r="F421" s="19">
        <f>IF('Boletins Nuppa Site'!I421&lt;&gt;0,'Boletins Nuppa Site'!I421,"NULL")</f>
        <v>100</v>
      </c>
      <c r="G421" s="19">
        <f>IF('Boletins Nuppa Site'!J421&lt;&gt;0,'Boletins Nuppa Site'!J421,"NULL")</f>
        <v>94</v>
      </c>
      <c r="H421" s="19">
        <f>IF('Boletins Nuppa Site'!K421&lt;&gt;0,'Boletins Nuppa Site'!K421,"NULL")</f>
        <v>100</v>
      </c>
      <c r="J421" s="1" t="str">
        <f t="shared" si="6"/>
        <v>INSERT INTO COTACAO (blt_id, pap_id, cot_prc_comum, cot_prc_min, cot_prc_max, cot_prc_med, cot_prc_mediana) VALUES (11, 28, 100, 80, 100, 94, 100);</v>
      </c>
    </row>
    <row r="422" spans="1:10" x14ac:dyDescent="0.3">
      <c r="A422" s="1">
        <v>421</v>
      </c>
      <c r="B422" s="1">
        <v>11</v>
      </c>
      <c r="C422" s="1">
        <v>29</v>
      </c>
      <c r="D422" s="1" t="str">
        <f>IF('Boletins Nuppa Site'!G422&lt;&gt;0,'Boletins Nuppa Site'!G422,"NULL")</f>
        <v>NULL</v>
      </c>
      <c r="E422" s="19">
        <f>IF('Boletins Nuppa Site'!H422&lt;&gt;0,'Boletins Nuppa Site'!H422,"NULL")</f>
        <v>60</v>
      </c>
      <c r="F422" s="19">
        <f>IF('Boletins Nuppa Site'!I422&lt;&gt;0,'Boletins Nuppa Site'!I422,"NULL")</f>
        <v>75</v>
      </c>
      <c r="G422" s="1" t="str">
        <f>IF('Boletins Nuppa Site'!J422&lt;&gt;0,'Boletins Nuppa Site'!J422,"NULL")</f>
        <v>67.5</v>
      </c>
      <c r="H422" s="1" t="str">
        <f>IF('Boletins Nuppa Site'!K422&lt;&gt;0,'Boletins Nuppa Site'!K422,"NULL")</f>
        <v>67.5</v>
      </c>
      <c r="J422" s="1" t="str">
        <f t="shared" si="6"/>
        <v>INSERT INTO COTACAO (blt_id, pap_id, cot_prc_comum, cot_prc_min, cot_prc_max, cot_prc_med, cot_prc_mediana) VALUES (11, 29, NULL, 60, 75, 67.5, 67.5);</v>
      </c>
    </row>
    <row r="423" spans="1:10" x14ac:dyDescent="0.3">
      <c r="A423" s="1">
        <v>422</v>
      </c>
      <c r="B423" s="1">
        <v>11</v>
      </c>
      <c r="C423" s="1">
        <v>30</v>
      </c>
      <c r="D423" s="19">
        <f>IF('Boletins Nuppa Site'!G423&lt;&gt;0,'Boletins Nuppa Site'!G423,"NULL")</f>
        <v>80</v>
      </c>
      <c r="E423" s="19">
        <f>IF('Boletins Nuppa Site'!H423&lt;&gt;0,'Boletins Nuppa Site'!H423,"NULL")</f>
        <v>60</v>
      </c>
      <c r="F423" s="19">
        <f>IF('Boletins Nuppa Site'!I423&lt;&gt;0,'Boletins Nuppa Site'!I423,"NULL")</f>
        <v>100</v>
      </c>
      <c r="G423" s="1" t="str">
        <f>IF('Boletins Nuppa Site'!J423&lt;&gt;0,'Boletins Nuppa Site'!J423,"NULL")</f>
        <v>81.25</v>
      </c>
      <c r="H423" s="19">
        <f>IF('Boletins Nuppa Site'!K423&lt;&gt;0,'Boletins Nuppa Site'!K423,"NULL")</f>
        <v>80</v>
      </c>
      <c r="J423" s="1" t="str">
        <f t="shared" si="6"/>
        <v>INSERT INTO COTACAO (blt_id, pap_id, cot_prc_comum, cot_prc_min, cot_prc_max, cot_prc_med, cot_prc_mediana) VALUES (11, 30, 80, 60, 100, 81.25, 80);</v>
      </c>
    </row>
    <row r="424" spans="1:10" x14ac:dyDescent="0.3">
      <c r="A424" s="1">
        <v>423</v>
      </c>
      <c r="B424" s="1">
        <v>11</v>
      </c>
      <c r="C424" s="1">
        <v>31</v>
      </c>
      <c r="D424" s="19">
        <f>IF('Boletins Nuppa Site'!G424&lt;&gt;0,'Boletins Nuppa Site'!G424,"NULL")</f>
        <v>120</v>
      </c>
      <c r="E424" s="19">
        <f>IF('Boletins Nuppa Site'!H424&lt;&gt;0,'Boletins Nuppa Site'!H424,"NULL")</f>
        <v>80</v>
      </c>
      <c r="F424" s="19">
        <f>IF('Boletins Nuppa Site'!I424&lt;&gt;0,'Boletins Nuppa Site'!I424,"NULL")</f>
        <v>140</v>
      </c>
      <c r="G424" s="19">
        <f>IF('Boletins Nuppa Site'!J424&lt;&gt;0,'Boletins Nuppa Site'!J424,"NULL")</f>
        <v>115</v>
      </c>
      <c r="H424" s="19">
        <f>IF('Boletins Nuppa Site'!K424&lt;&gt;0,'Boletins Nuppa Site'!K424,"NULL")</f>
        <v>120</v>
      </c>
      <c r="J424" s="1" t="str">
        <f t="shared" si="6"/>
        <v>INSERT INTO COTACAO (blt_id, pap_id, cot_prc_comum, cot_prc_min, cot_prc_max, cot_prc_med, cot_prc_mediana) VALUES (11, 31, 120, 80, 140, 115, 120);</v>
      </c>
    </row>
    <row r="425" spans="1:10" x14ac:dyDescent="0.3">
      <c r="A425" s="1">
        <v>424</v>
      </c>
      <c r="B425" s="1">
        <v>11</v>
      </c>
      <c r="C425" s="1">
        <v>32</v>
      </c>
      <c r="D425" s="19">
        <f>IF('Boletins Nuppa Site'!G425&lt;&gt;0,'Boletins Nuppa Site'!G425,"NULL")</f>
        <v>80</v>
      </c>
      <c r="E425" s="19">
        <f>IF('Boletins Nuppa Site'!H425&lt;&gt;0,'Boletins Nuppa Site'!H425,"NULL")</f>
        <v>60</v>
      </c>
      <c r="F425" s="19">
        <f>IF('Boletins Nuppa Site'!I425&lt;&gt;0,'Boletins Nuppa Site'!I425,"NULL")</f>
        <v>100</v>
      </c>
      <c r="G425" s="1" t="str">
        <f>IF('Boletins Nuppa Site'!J425&lt;&gt;0,'Boletins Nuppa Site'!J425,"NULL")</f>
        <v>82.14</v>
      </c>
      <c r="H425" s="19">
        <f>IF('Boletins Nuppa Site'!K425&lt;&gt;0,'Boletins Nuppa Site'!K425,"NULL")</f>
        <v>80</v>
      </c>
      <c r="J425" s="1" t="str">
        <f t="shared" si="6"/>
        <v>INSERT INTO COTACAO (blt_id, pap_id, cot_prc_comum, cot_prc_min, cot_prc_max, cot_prc_med, cot_prc_mediana) VALUES (11, 32, 80, 60, 100, 82.14, 80);</v>
      </c>
    </row>
    <row r="426" spans="1:10" x14ac:dyDescent="0.3">
      <c r="A426" s="1">
        <v>425</v>
      </c>
      <c r="B426" s="1">
        <v>11</v>
      </c>
      <c r="C426" s="1">
        <v>33</v>
      </c>
      <c r="D426" s="19">
        <f>IF('Boletins Nuppa Site'!G426&lt;&gt;0,'Boletins Nuppa Site'!G426,"NULL")</f>
        <v>150</v>
      </c>
      <c r="E426" s="19">
        <f>IF('Boletins Nuppa Site'!H426&lt;&gt;0,'Boletins Nuppa Site'!H426,"NULL")</f>
        <v>100</v>
      </c>
      <c r="F426" s="19">
        <f>IF('Boletins Nuppa Site'!I426&lt;&gt;0,'Boletins Nuppa Site'!I426,"NULL")</f>
        <v>150</v>
      </c>
      <c r="G426" s="19">
        <f>IF('Boletins Nuppa Site'!J426&lt;&gt;0,'Boletins Nuppa Site'!J426,"NULL")</f>
        <v>130</v>
      </c>
      <c r="H426" s="19">
        <f>IF('Boletins Nuppa Site'!K426&lt;&gt;0,'Boletins Nuppa Site'!K426,"NULL")</f>
        <v>130</v>
      </c>
      <c r="J426" s="1" t="str">
        <f t="shared" si="6"/>
        <v>INSERT INTO COTACAO (blt_id, pap_id, cot_prc_comum, cot_prc_min, cot_prc_max, cot_prc_med, cot_prc_mediana) VALUES (11, 33, 150, 100, 150, 130, 130);</v>
      </c>
    </row>
    <row r="427" spans="1:10" x14ac:dyDescent="0.3">
      <c r="A427" s="1">
        <v>426</v>
      </c>
      <c r="B427" s="1">
        <v>11</v>
      </c>
      <c r="C427" s="1">
        <v>34</v>
      </c>
      <c r="D427" s="19">
        <f>IF('Boletins Nuppa Site'!G427&lt;&gt;0,'Boletins Nuppa Site'!G427,"NULL")</f>
        <v>220</v>
      </c>
      <c r="E427" s="19">
        <f>IF('Boletins Nuppa Site'!H427&lt;&gt;0,'Boletins Nuppa Site'!H427,"NULL")</f>
        <v>150</v>
      </c>
      <c r="F427" s="19">
        <f>IF('Boletins Nuppa Site'!I427&lt;&gt;0,'Boletins Nuppa Site'!I427,"NULL")</f>
        <v>250</v>
      </c>
      <c r="G427" s="1" t="str">
        <f>IF('Boletins Nuppa Site'!J427&lt;&gt;0,'Boletins Nuppa Site'!J427,"NULL")</f>
        <v>221.67</v>
      </c>
      <c r="H427" s="19">
        <f>IF('Boletins Nuppa Site'!K427&lt;&gt;0,'Boletins Nuppa Site'!K427,"NULL")</f>
        <v>230</v>
      </c>
      <c r="J427" s="1" t="str">
        <f t="shared" si="6"/>
        <v>INSERT INTO COTACAO (blt_id, pap_id, cot_prc_comum, cot_prc_min, cot_prc_max, cot_prc_med, cot_prc_mediana) VALUES (11, 34, 220, 150, 250, 221.67, 230);</v>
      </c>
    </row>
    <row r="428" spans="1:10" x14ac:dyDescent="0.3">
      <c r="A428" s="1">
        <v>427</v>
      </c>
      <c r="B428" s="1">
        <v>11</v>
      </c>
      <c r="C428" s="1">
        <v>35</v>
      </c>
      <c r="D428" s="19">
        <f>IF('Boletins Nuppa Site'!G428&lt;&gt;0,'Boletins Nuppa Site'!G428,"NULL")</f>
        <v>140</v>
      </c>
      <c r="E428" s="19">
        <f>IF('Boletins Nuppa Site'!H428&lt;&gt;0,'Boletins Nuppa Site'!H428,"NULL")</f>
        <v>120</v>
      </c>
      <c r="F428" s="19">
        <f>IF('Boletins Nuppa Site'!I428&lt;&gt;0,'Boletins Nuppa Site'!I428,"NULL")</f>
        <v>200</v>
      </c>
      <c r="G428" s="1" t="str">
        <f>IF('Boletins Nuppa Site'!J428&lt;&gt;0,'Boletins Nuppa Site'!J428,"NULL")</f>
        <v>144.29</v>
      </c>
      <c r="H428" s="19">
        <f>IF('Boletins Nuppa Site'!K428&lt;&gt;0,'Boletins Nuppa Site'!K428,"NULL")</f>
        <v>140</v>
      </c>
      <c r="J428" s="1" t="str">
        <f t="shared" si="6"/>
        <v>INSERT INTO COTACAO (blt_id, pap_id, cot_prc_comum, cot_prc_min, cot_prc_max, cot_prc_med, cot_prc_mediana) VALUES (11, 35, 140, 120, 200, 144.29, 140);</v>
      </c>
    </row>
    <row r="429" spans="1:10" x14ac:dyDescent="0.3">
      <c r="A429" s="1">
        <v>428</v>
      </c>
      <c r="B429" s="1">
        <v>11</v>
      </c>
      <c r="C429" s="1">
        <v>36</v>
      </c>
      <c r="D429" s="19">
        <f>IF('Boletins Nuppa Site'!G429&lt;&gt;0,'Boletins Nuppa Site'!G429,"NULL")</f>
        <v>100</v>
      </c>
      <c r="E429" s="19">
        <f>IF('Boletins Nuppa Site'!H429&lt;&gt;0,'Boletins Nuppa Site'!H429,"NULL")</f>
        <v>100</v>
      </c>
      <c r="F429" s="19">
        <f>IF('Boletins Nuppa Site'!I429&lt;&gt;0,'Boletins Nuppa Site'!I429,"NULL")</f>
        <v>100</v>
      </c>
      <c r="G429" s="19">
        <f>IF('Boletins Nuppa Site'!J429&lt;&gt;0,'Boletins Nuppa Site'!J429,"NULL")</f>
        <v>100</v>
      </c>
      <c r="H429" s="19">
        <f>IF('Boletins Nuppa Site'!K429&lt;&gt;0,'Boletins Nuppa Site'!K429,"NULL")</f>
        <v>100</v>
      </c>
      <c r="J429" s="1" t="str">
        <f t="shared" si="6"/>
        <v>INSERT INTO COTACAO (blt_id, pap_id, cot_prc_comum, cot_prc_min, cot_prc_max, cot_prc_med, cot_prc_mediana) VALUES (11, 36, 100, 100, 100, 100, 100);</v>
      </c>
    </row>
    <row r="430" spans="1:10" x14ac:dyDescent="0.3">
      <c r="A430" s="1">
        <v>429</v>
      </c>
      <c r="B430" s="1">
        <v>11</v>
      </c>
      <c r="C430" s="1">
        <v>37</v>
      </c>
      <c r="D430" s="19">
        <f>IF('Boletins Nuppa Site'!G430&lt;&gt;0,'Boletins Nuppa Site'!G430,"NULL")</f>
        <v>80</v>
      </c>
      <c r="E430" s="19">
        <f>IF('Boletins Nuppa Site'!H430&lt;&gt;0,'Boletins Nuppa Site'!H430,"NULL")</f>
        <v>80</v>
      </c>
      <c r="F430" s="19">
        <f>IF('Boletins Nuppa Site'!I430&lt;&gt;0,'Boletins Nuppa Site'!I430,"NULL")</f>
        <v>80</v>
      </c>
      <c r="G430" s="19">
        <f>IF('Boletins Nuppa Site'!J430&lt;&gt;0,'Boletins Nuppa Site'!J430,"NULL")</f>
        <v>80</v>
      </c>
      <c r="H430" s="19">
        <f>IF('Boletins Nuppa Site'!K430&lt;&gt;0,'Boletins Nuppa Site'!K430,"NULL")</f>
        <v>80</v>
      </c>
      <c r="J430" s="1" t="str">
        <f t="shared" si="6"/>
        <v>INSERT INTO COTACAO (blt_id, pap_id, cot_prc_comum, cot_prc_min, cot_prc_max, cot_prc_med, cot_prc_mediana) VALUES (11, 37, 80, 80, 80, 80, 80);</v>
      </c>
    </row>
    <row r="431" spans="1:10" x14ac:dyDescent="0.3">
      <c r="A431" s="1">
        <v>430</v>
      </c>
      <c r="B431" s="1">
        <v>11</v>
      </c>
      <c r="C431" s="1">
        <v>38</v>
      </c>
      <c r="D431" s="19">
        <f>IF('Boletins Nuppa Site'!G431&lt;&gt;0,'Boletins Nuppa Site'!G431,"NULL")</f>
        <v>45</v>
      </c>
      <c r="E431" s="19">
        <f>IF('Boletins Nuppa Site'!H431&lt;&gt;0,'Boletins Nuppa Site'!H431,"NULL")</f>
        <v>45</v>
      </c>
      <c r="F431" s="19">
        <f>IF('Boletins Nuppa Site'!I431&lt;&gt;0,'Boletins Nuppa Site'!I431,"NULL")</f>
        <v>45</v>
      </c>
      <c r="G431" s="19">
        <f>IF('Boletins Nuppa Site'!J431&lt;&gt;0,'Boletins Nuppa Site'!J431,"NULL")</f>
        <v>45</v>
      </c>
      <c r="H431" s="19">
        <f>IF('Boletins Nuppa Site'!K431&lt;&gt;0,'Boletins Nuppa Site'!K431,"NULL")</f>
        <v>45</v>
      </c>
      <c r="J431" s="1" t="str">
        <f t="shared" si="6"/>
        <v>INSERT INTO COTACAO (blt_id, pap_id, cot_prc_comum, cot_prc_min, cot_prc_max, cot_prc_med, cot_prc_mediana) VALUES (11, 38, 45, 45, 45, 45, 45);</v>
      </c>
    </row>
    <row r="432" spans="1:10" x14ac:dyDescent="0.3">
      <c r="A432" s="1">
        <v>431</v>
      </c>
      <c r="B432" s="1">
        <v>11</v>
      </c>
      <c r="C432" s="1">
        <v>39</v>
      </c>
      <c r="D432" s="19">
        <f>IF('Boletins Nuppa Site'!G432&lt;&gt;0,'Boletins Nuppa Site'!G432,"NULL")</f>
        <v>45</v>
      </c>
      <c r="E432" s="19">
        <f>IF('Boletins Nuppa Site'!H432&lt;&gt;0,'Boletins Nuppa Site'!H432,"NULL")</f>
        <v>45</v>
      </c>
      <c r="F432" s="19">
        <f>IF('Boletins Nuppa Site'!I432&lt;&gt;0,'Boletins Nuppa Site'!I432,"NULL")</f>
        <v>45</v>
      </c>
      <c r="G432" s="19">
        <f>IF('Boletins Nuppa Site'!J432&lt;&gt;0,'Boletins Nuppa Site'!J432,"NULL")</f>
        <v>45</v>
      </c>
      <c r="H432" s="19">
        <f>IF('Boletins Nuppa Site'!K432&lt;&gt;0,'Boletins Nuppa Site'!K432,"NULL")</f>
        <v>45</v>
      </c>
      <c r="J432" s="1" t="str">
        <f t="shared" si="6"/>
        <v>INSERT INTO COTACAO (blt_id, pap_id, cot_prc_comum, cot_prc_min, cot_prc_max, cot_prc_med, cot_prc_mediana) VALUES (11, 39, 45, 45, 45, 45, 45);</v>
      </c>
    </row>
    <row r="433" spans="1:10" x14ac:dyDescent="0.3">
      <c r="A433" s="1">
        <v>432</v>
      </c>
      <c r="B433" s="1">
        <v>11</v>
      </c>
      <c r="C433" s="1">
        <v>40</v>
      </c>
      <c r="D433" s="19">
        <f>IF('Boletins Nuppa Site'!G433&lt;&gt;0,'Boletins Nuppa Site'!G433,"NULL")</f>
        <v>85</v>
      </c>
      <c r="E433" s="19">
        <f>IF('Boletins Nuppa Site'!H433&lt;&gt;0,'Boletins Nuppa Site'!H433,"NULL")</f>
        <v>85</v>
      </c>
      <c r="F433" s="19">
        <f>IF('Boletins Nuppa Site'!I433&lt;&gt;0,'Boletins Nuppa Site'!I433,"NULL")</f>
        <v>85</v>
      </c>
      <c r="G433" s="19">
        <f>IF('Boletins Nuppa Site'!J433&lt;&gt;0,'Boletins Nuppa Site'!J433,"NULL")</f>
        <v>85</v>
      </c>
      <c r="H433" s="19">
        <f>IF('Boletins Nuppa Site'!K433&lt;&gt;0,'Boletins Nuppa Site'!K433,"NULL")</f>
        <v>85</v>
      </c>
      <c r="J433" s="1" t="str">
        <f t="shared" si="6"/>
        <v>INSERT INTO COTACAO (blt_id, pap_id, cot_prc_comum, cot_prc_min, cot_prc_max, cot_prc_med, cot_prc_mediana) VALUES (11, 40, 85, 85, 85, 85, 85);</v>
      </c>
    </row>
    <row r="434" spans="1:10" x14ac:dyDescent="0.3">
      <c r="A434" s="1">
        <v>433</v>
      </c>
      <c r="B434" s="1">
        <v>12</v>
      </c>
      <c r="C434" s="1">
        <v>1</v>
      </c>
      <c r="D434" s="19">
        <f>IF('Boletins Nuppa Site'!G434&lt;&gt;0,'Boletins Nuppa Site'!G434,"NULL")</f>
        <v>60</v>
      </c>
      <c r="E434" s="19">
        <f>IF('Boletins Nuppa Site'!H434&lt;&gt;0,'Boletins Nuppa Site'!H434,"NULL")</f>
        <v>60</v>
      </c>
      <c r="F434" s="19">
        <f>IF('Boletins Nuppa Site'!I434&lt;&gt;0,'Boletins Nuppa Site'!I434,"NULL")</f>
        <v>78</v>
      </c>
      <c r="G434" s="19">
        <f>IF('Boletins Nuppa Site'!J434&lt;&gt;0,'Boletins Nuppa Site'!J434,"NULL")</f>
        <v>66</v>
      </c>
      <c r="H434" s="19">
        <f>IF('Boletins Nuppa Site'!K434&lt;&gt;0,'Boletins Nuppa Site'!K434,"NULL")</f>
        <v>60</v>
      </c>
      <c r="J434" s="1" t="str">
        <f t="shared" si="6"/>
        <v>INSERT INTO COTACAO (blt_id, pap_id, cot_prc_comum, cot_prc_min, cot_prc_max, cot_prc_med, cot_prc_mediana) VALUES (12, 1, 60, 60, 78, 66, 60);</v>
      </c>
    </row>
    <row r="435" spans="1:10" x14ac:dyDescent="0.3">
      <c r="A435" s="1">
        <v>434</v>
      </c>
      <c r="B435" s="1">
        <v>12</v>
      </c>
      <c r="C435" s="1">
        <v>2</v>
      </c>
      <c r="D435" s="1" t="str">
        <f>IF('Boletins Nuppa Site'!G435&lt;&gt;0,'Boletins Nuppa Site'!G435,"NULL")</f>
        <v>NULL</v>
      </c>
      <c r="E435" s="19">
        <f>IF('Boletins Nuppa Site'!H435&lt;&gt;0,'Boletins Nuppa Site'!H435,"NULL")</f>
        <v>44</v>
      </c>
      <c r="F435" s="19">
        <f>IF('Boletins Nuppa Site'!I435&lt;&gt;0,'Boletins Nuppa Site'!I435,"NULL")</f>
        <v>78</v>
      </c>
      <c r="G435" s="1" t="str">
        <f>IF('Boletins Nuppa Site'!J435&lt;&gt;0,'Boletins Nuppa Site'!J435,"NULL")</f>
        <v>64.67</v>
      </c>
      <c r="H435" s="19">
        <f>IF('Boletins Nuppa Site'!K435&lt;&gt;0,'Boletins Nuppa Site'!K435,"NULL")</f>
        <v>72</v>
      </c>
      <c r="J435" s="1" t="str">
        <f t="shared" si="6"/>
        <v>INSERT INTO COTACAO (blt_id, pap_id, cot_prc_comum, cot_prc_min, cot_prc_max, cot_prc_med, cot_prc_mediana) VALUES (12, 2, NULL, 44, 78, 64.67, 72);</v>
      </c>
    </row>
    <row r="436" spans="1:10" x14ac:dyDescent="0.3">
      <c r="A436" s="1">
        <v>435</v>
      </c>
      <c r="B436" s="1">
        <v>12</v>
      </c>
      <c r="C436" s="1">
        <v>3</v>
      </c>
      <c r="D436" s="1" t="str">
        <f>IF('Boletins Nuppa Site'!G436&lt;&gt;0,'Boletins Nuppa Site'!G436,"NULL")</f>
        <v>NULL</v>
      </c>
      <c r="E436" s="19">
        <f>IF('Boletins Nuppa Site'!H436&lt;&gt;0,'Boletins Nuppa Site'!H436,"NULL")</f>
        <v>42</v>
      </c>
      <c r="F436" s="19">
        <f>IF('Boletins Nuppa Site'!I436&lt;&gt;0,'Boletins Nuppa Site'!I436,"NULL")</f>
        <v>60</v>
      </c>
      <c r="G436" s="19">
        <f>IF('Boletins Nuppa Site'!J436&lt;&gt;0,'Boletins Nuppa Site'!J436,"NULL")</f>
        <v>50</v>
      </c>
      <c r="H436" s="19">
        <f>IF('Boletins Nuppa Site'!K436&lt;&gt;0,'Boletins Nuppa Site'!K436,"NULL")</f>
        <v>48</v>
      </c>
      <c r="J436" s="1" t="str">
        <f t="shared" si="6"/>
        <v>INSERT INTO COTACAO (blt_id, pap_id, cot_prc_comum, cot_prc_min, cot_prc_max, cot_prc_med, cot_prc_mediana) VALUES (12, 3, NULL, 42, 60, 50, 48);</v>
      </c>
    </row>
    <row r="437" spans="1:10" x14ac:dyDescent="0.3">
      <c r="A437" s="1">
        <v>436</v>
      </c>
      <c r="B437" s="1">
        <v>12</v>
      </c>
      <c r="C437" s="1">
        <v>4</v>
      </c>
      <c r="D437" s="1" t="str">
        <f>IF('Boletins Nuppa Site'!G437&lt;&gt;0,'Boletins Nuppa Site'!G437,"NULL")</f>
        <v>NULL</v>
      </c>
      <c r="E437" s="19">
        <f>IF('Boletins Nuppa Site'!H437&lt;&gt;0,'Boletins Nuppa Site'!H437,"NULL")</f>
        <v>30</v>
      </c>
      <c r="F437" s="19">
        <f>IF('Boletins Nuppa Site'!I437&lt;&gt;0,'Boletins Nuppa Site'!I437,"NULL")</f>
        <v>42</v>
      </c>
      <c r="G437" s="1" t="str">
        <f>IF('Boletins Nuppa Site'!J437&lt;&gt;0,'Boletins Nuppa Site'!J437,"NULL")</f>
        <v>35.67</v>
      </c>
      <c r="H437" s="19">
        <f>IF('Boletins Nuppa Site'!K437&lt;&gt;0,'Boletins Nuppa Site'!K437,"NULL")</f>
        <v>35</v>
      </c>
      <c r="J437" s="1" t="str">
        <f t="shared" si="6"/>
        <v>INSERT INTO COTACAO (blt_id, pap_id, cot_prc_comum, cot_prc_min, cot_prc_max, cot_prc_med, cot_prc_mediana) VALUES (12, 4, NULL, 30, 42, 35.67, 35);</v>
      </c>
    </row>
    <row r="438" spans="1:10" x14ac:dyDescent="0.3">
      <c r="A438" s="1">
        <v>437</v>
      </c>
      <c r="B438" s="1">
        <v>12</v>
      </c>
      <c r="C438" s="1">
        <v>5</v>
      </c>
      <c r="D438" s="1" t="str">
        <f>IF('Boletins Nuppa Site'!G438&lt;&gt;0,'Boletins Nuppa Site'!G438,"NULL")</f>
        <v>NULL</v>
      </c>
      <c r="E438" s="19">
        <f>IF('Boletins Nuppa Site'!H438&lt;&gt;0,'Boletins Nuppa Site'!H438,"NULL")</f>
        <v>30</v>
      </c>
      <c r="F438" s="19">
        <f>IF('Boletins Nuppa Site'!I438&lt;&gt;0,'Boletins Nuppa Site'!I438,"NULL")</f>
        <v>42</v>
      </c>
      <c r="G438" s="1" t="str">
        <f>IF('Boletins Nuppa Site'!J438&lt;&gt;0,'Boletins Nuppa Site'!J438,"NULL")</f>
        <v>35.67</v>
      </c>
      <c r="H438" s="19">
        <f>IF('Boletins Nuppa Site'!K438&lt;&gt;0,'Boletins Nuppa Site'!K438,"NULL")</f>
        <v>35</v>
      </c>
      <c r="J438" s="1" t="str">
        <f t="shared" si="6"/>
        <v>INSERT INTO COTACAO (blt_id, pap_id, cot_prc_comum, cot_prc_min, cot_prc_max, cot_prc_med, cot_prc_mediana) VALUES (12, 5, NULL, 30, 42, 35.67, 35);</v>
      </c>
    </row>
    <row r="439" spans="1:10" x14ac:dyDescent="0.3">
      <c r="A439" s="1">
        <v>438</v>
      </c>
      <c r="B439" s="1">
        <v>12</v>
      </c>
      <c r="C439" s="1">
        <v>6</v>
      </c>
      <c r="D439" s="1" t="str">
        <f>IF('Boletins Nuppa Site'!G439&lt;&gt;0,'Boletins Nuppa Site'!G439,"NULL")</f>
        <v>NULL</v>
      </c>
      <c r="E439" s="19">
        <f>IF('Boletins Nuppa Site'!H439&lt;&gt;0,'Boletins Nuppa Site'!H439,"NULL")</f>
        <v>48</v>
      </c>
      <c r="F439" s="19">
        <f>IF('Boletins Nuppa Site'!I439&lt;&gt;0,'Boletins Nuppa Site'!I439,"NULL")</f>
        <v>96</v>
      </c>
      <c r="G439" s="19">
        <f>IF('Boletins Nuppa Site'!J439&lt;&gt;0,'Boletins Nuppa Site'!J439,"NULL")</f>
        <v>69</v>
      </c>
      <c r="H439" s="19">
        <f>IF('Boletins Nuppa Site'!K439&lt;&gt;0,'Boletins Nuppa Site'!K439,"NULL")</f>
        <v>66</v>
      </c>
      <c r="J439" s="1" t="str">
        <f t="shared" si="6"/>
        <v>INSERT INTO COTACAO (blt_id, pap_id, cot_prc_comum, cot_prc_min, cot_prc_max, cot_prc_med, cot_prc_mediana) VALUES (12, 6, NULL, 48, 96, 69, 66);</v>
      </c>
    </row>
    <row r="440" spans="1:10" x14ac:dyDescent="0.3">
      <c r="A440" s="1">
        <v>439</v>
      </c>
      <c r="B440" s="1">
        <v>12</v>
      </c>
      <c r="C440" s="1">
        <v>7</v>
      </c>
      <c r="D440" s="1" t="str">
        <f>IF('Boletins Nuppa Site'!G440&lt;&gt;0,'Boletins Nuppa Site'!G440,"NULL")</f>
        <v>NULL</v>
      </c>
      <c r="E440" s="19">
        <f>IF('Boletins Nuppa Site'!H440&lt;&gt;0,'Boletins Nuppa Site'!H440,"NULL")</f>
        <v>96</v>
      </c>
      <c r="F440" s="19">
        <f>IF('Boletins Nuppa Site'!I440&lt;&gt;0,'Boletins Nuppa Site'!I440,"NULL")</f>
        <v>108</v>
      </c>
      <c r="G440" s="1" t="str">
        <f>IF('Boletins Nuppa Site'!J440&lt;&gt;0,'Boletins Nuppa Site'!J440,"NULL")</f>
        <v>101.33</v>
      </c>
      <c r="H440" s="19">
        <f>IF('Boletins Nuppa Site'!K440&lt;&gt;0,'Boletins Nuppa Site'!K440,"NULL")</f>
        <v>100</v>
      </c>
      <c r="J440" s="1" t="str">
        <f t="shared" si="6"/>
        <v>INSERT INTO COTACAO (blt_id, pap_id, cot_prc_comum, cot_prc_min, cot_prc_max, cot_prc_med, cot_prc_mediana) VALUES (12, 7, NULL, 96, 108, 101.33, 100);</v>
      </c>
    </row>
    <row r="441" spans="1:10" x14ac:dyDescent="0.3">
      <c r="A441" s="1">
        <v>440</v>
      </c>
      <c r="B441" s="1">
        <v>12</v>
      </c>
      <c r="C441" s="1">
        <v>8</v>
      </c>
      <c r="D441" s="1" t="str">
        <f>IF('Boletins Nuppa Site'!G441&lt;&gt;0,'Boletins Nuppa Site'!G441,"NULL")</f>
        <v>NULL</v>
      </c>
      <c r="E441" s="19">
        <f>IF('Boletins Nuppa Site'!H441&lt;&gt;0,'Boletins Nuppa Site'!H441,"NULL")</f>
        <v>84</v>
      </c>
      <c r="F441" s="19">
        <f>IF('Boletins Nuppa Site'!I441&lt;&gt;0,'Boletins Nuppa Site'!I441,"NULL")</f>
        <v>100</v>
      </c>
      <c r="G441" s="1" t="str">
        <f>IF('Boletins Nuppa Site'!J441&lt;&gt;0,'Boletins Nuppa Site'!J441,"NULL")</f>
        <v>93.33</v>
      </c>
      <c r="H441" s="19">
        <f>IF('Boletins Nuppa Site'!K441&lt;&gt;0,'Boletins Nuppa Site'!K441,"NULL")</f>
        <v>96</v>
      </c>
      <c r="J441" s="1" t="str">
        <f t="shared" si="6"/>
        <v>INSERT INTO COTACAO (blt_id, pap_id, cot_prc_comum, cot_prc_min, cot_prc_max, cot_prc_med, cot_prc_mediana) VALUES (12, 8, NULL, 84, 100, 93.33, 96);</v>
      </c>
    </row>
    <row r="442" spans="1:10" x14ac:dyDescent="0.3">
      <c r="A442" s="1">
        <v>441</v>
      </c>
      <c r="B442" s="1">
        <v>12</v>
      </c>
      <c r="C442" s="1">
        <v>9</v>
      </c>
      <c r="D442" s="19">
        <f>IF('Boletins Nuppa Site'!G442&lt;&gt;0,'Boletins Nuppa Site'!G442,"NULL")</f>
        <v>30</v>
      </c>
      <c r="E442" s="19">
        <f>IF('Boletins Nuppa Site'!H442&lt;&gt;0,'Boletins Nuppa Site'!H442,"NULL")</f>
        <v>30</v>
      </c>
      <c r="F442" s="19">
        <f>IF('Boletins Nuppa Site'!I442&lt;&gt;0,'Boletins Nuppa Site'!I442,"NULL")</f>
        <v>96</v>
      </c>
      <c r="G442" s="19">
        <f>IF('Boletins Nuppa Site'!J442&lt;&gt;0,'Boletins Nuppa Site'!J442,"NULL")</f>
        <v>48</v>
      </c>
      <c r="H442" s="19">
        <f>IF('Boletins Nuppa Site'!K442&lt;&gt;0,'Boletins Nuppa Site'!K442,"NULL")</f>
        <v>33</v>
      </c>
      <c r="J442" s="1" t="str">
        <f t="shared" si="6"/>
        <v>INSERT INTO COTACAO (blt_id, pap_id, cot_prc_comum, cot_prc_min, cot_prc_max, cot_prc_med, cot_prc_mediana) VALUES (12, 9, 30, 30, 96, 48, 33);</v>
      </c>
    </row>
    <row r="443" spans="1:10" x14ac:dyDescent="0.3">
      <c r="A443" s="1">
        <v>442</v>
      </c>
      <c r="B443" s="1">
        <v>12</v>
      </c>
      <c r="C443" s="1">
        <v>10</v>
      </c>
      <c r="D443" s="1" t="str">
        <f>IF('Boletins Nuppa Site'!G443&lt;&gt;0,'Boletins Nuppa Site'!G443,"NULL")</f>
        <v>NULL</v>
      </c>
      <c r="E443" s="19">
        <f>IF('Boletins Nuppa Site'!H443&lt;&gt;0,'Boletins Nuppa Site'!H443,"NULL")</f>
        <v>108</v>
      </c>
      <c r="F443" s="19">
        <f>IF('Boletins Nuppa Site'!I443&lt;&gt;0,'Boletins Nuppa Site'!I443,"NULL")</f>
        <v>120</v>
      </c>
      <c r="G443" s="19">
        <f>IF('Boletins Nuppa Site'!J443&lt;&gt;0,'Boletins Nuppa Site'!J443,"NULL")</f>
        <v>114</v>
      </c>
      <c r="H443" s="19">
        <f>IF('Boletins Nuppa Site'!K443&lt;&gt;0,'Boletins Nuppa Site'!K443,"NULL")</f>
        <v>114</v>
      </c>
      <c r="J443" s="1" t="str">
        <f t="shared" si="6"/>
        <v>INSERT INTO COTACAO (blt_id, pap_id, cot_prc_comum, cot_prc_min, cot_prc_max, cot_prc_med, cot_prc_mediana) VALUES (12, 10, NULL, 108, 120, 114, 114);</v>
      </c>
    </row>
    <row r="444" spans="1:10" x14ac:dyDescent="0.3">
      <c r="A444" s="1">
        <v>443</v>
      </c>
      <c r="B444" s="1">
        <v>12</v>
      </c>
      <c r="C444" s="1">
        <v>11</v>
      </c>
      <c r="D444" s="1" t="str">
        <f>IF('Boletins Nuppa Site'!G444&lt;&gt;0,'Boletins Nuppa Site'!G444,"NULL")</f>
        <v>NULL</v>
      </c>
      <c r="E444" s="19">
        <f>IF('Boletins Nuppa Site'!H444&lt;&gt;0,'Boletins Nuppa Site'!H444,"NULL")</f>
        <v>30</v>
      </c>
      <c r="F444" s="19">
        <f>IF('Boletins Nuppa Site'!I444&lt;&gt;0,'Boletins Nuppa Site'!I444,"NULL")</f>
        <v>42</v>
      </c>
      <c r="G444" s="19">
        <f>IF('Boletins Nuppa Site'!J444&lt;&gt;0,'Boletins Nuppa Site'!J444,"NULL")</f>
        <v>36</v>
      </c>
      <c r="H444" s="19">
        <f>IF('Boletins Nuppa Site'!K444&lt;&gt;0,'Boletins Nuppa Site'!K444,"NULL")</f>
        <v>36</v>
      </c>
      <c r="J444" s="1" t="str">
        <f t="shared" si="6"/>
        <v>INSERT INTO COTACAO (blt_id, pap_id, cot_prc_comum, cot_prc_min, cot_prc_max, cot_prc_med, cot_prc_mediana) VALUES (12, 11, NULL, 30, 42, 36, 36);</v>
      </c>
    </row>
    <row r="445" spans="1:10" x14ac:dyDescent="0.3">
      <c r="A445" s="1">
        <v>444</v>
      </c>
      <c r="B445" s="1">
        <v>12</v>
      </c>
      <c r="C445" s="1">
        <v>12</v>
      </c>
      <c r="D445" s="1" t="str">
        <f>IF('Boletins Nuppa Site'!G445&lt;&gt;0,'Boletins Nuppa Site'!G445,"NULL")</f>
        <v>NULL</v>
      </c>
      <c r="E445" s="19">
        <f>IF('Boletins Nuppa Site'!H445&lt;&gt;0,'Boletins Nuppa Site'!H445,"NULL")</f>
        <v>72</v>
      </c>
      <c r="F445" s="19">
        <f>IF('Boletins Nuppa Site'!I445&lt;&gt;0,'Boletins Nuppa Site'!I445,"NULL")</f>
        <v>84</v>
      </c>
      <c r="G445" s="19">
        <f>IF('Boletins Nuppa Site'!J445&lt;&gt;0,'Boletins Nuppa Site'!J445,"NULL")</f>
        <v>78</v>
      </c>
      <c r="H445" s="19">
        <f>IF('Boletins Nuppa Site'!K445&lt;&gt;0,'Boletins Nuppa Site'!K445,"NULL")</f>
        <v>78</v>
      </c>
      <c r="J445" s="1" t="str">
        <f t="shared" si="6"/>
        <v>INSERT INTO COTACAO (blt_id, pap_id, cot_prc_comum, cot_prc_min, cot_prc_max, cot_prc_med, cot_prc_mediana) VALUES (12, 12, NULL, 72, 84, 78, 78);</v>
      </c>
    </row>
    <row r="446" spans="1:10" x14ac:dyDescent="0.3">
      <c r="A446" s="1">
        <v>445</v>
      </c>
      <c r="B446" s="1">
        <v>12</v>
      </c>
      <c r="C446" s="1">
        <v>13</v>
      </c>
      <c r="D446" s="1" t="str">
        <f>IF('Boletins Nuppa Site'!G446&lt;&gt;0,'Boletins Nuppa Site'!G446,"NULL")</f>
        <v>NULL</v>
      </c>
      <c r="E446" s="19">
        <f>IF('Boletins Nuppa Site'!H446&lt;&gt;0,'Boletins Nuppa Site'!H446,"NULL")</f>
        <v>32</v>
      </c>
      <c r="F446" s="19">
        <f>IF('Boletins Nuppa Site'!I446&lt;&gt;0,'Boletins Nuppa Site'!I446,"NULL")</f>
        <v>84</v>
      </c>
      <c r="G446" s="1" t="str">
        <f>IF('Boletins Nuppa Site'!J446&lt;&gt;0,'Boletins Nuppa Site'!J446,"NULL")</f>
        <v>62.67</v>
      </c>
      <c r="H446" s="19">
        <f>IF('Boletins Nuppa Site'!K446&lt;&gt;0,'Boletins Nuppa Site'!K446,"NULL")</f>
        <v>72</v>
      </c>
      <c r="J446" s="1" t="str">
        <f t="shared" si="6"/>
        <v>INSERT INTO COTACAO (blt_id, pap_id, cot_prc_comum, cot_prc_min, cot_prc_max, cot_prc_med, cot_prc_mediana) VALUES (12, 13, NULL, 32, 84, 62.67, 72);</v>
      </c>
    </row>
    <row r="447" spans="1:10" x14ac:dyDescent="0.3">
      <c r="A447" s="1">
        <v>446</v>
      </c>
      <c r="B447" s="1">
        <v>12</v>
      </c>
      <c r="C447" s="1">
        <v>14</v>
      </c>
      <c r="D447" s="19">
        <f>IF('Boletins Nuppa Site'!G447&lt;&gt;0,'Boletins Nuppa Site'!G447,"NULL")</f>
        <v>60</v>
      </c>
      <c r="E447" s="19">
        <f>IF('Boletins Nuppa Site'!H447&lt;&gt;0,'Boletins Nuppa Site'!H447,"NULL")</f>
        <v>60</v>
      </c>
      <c r="F447" s="19">
        <f>IF('Boletins Nuppa Site'!I447&lt;&gt;0,'Boletins Nuppa Site'!I447,"NULL")</f>
        <v>80</v>
      </c>
      <c r="G447" s="1" t="str">
        <f>IF('Boletins Nuppa Site'!J447&lt;&gt;0,'Boletins Nuppa Site'!J447,"NULL")</f>
        <v>66.67</v>
      </c>
      <c r="H447" s="19">
        <f>IF('Boletins Nuppa Site'!K447&lt;&gt;0,'Boletins Nuppa Site'!K447,"NULL")</f>
        <v>60</v>
      </c>
      <c r="J447" s="1" t="str">
        <f t="shared" si="6"/>
        <v>INSERT INTO COTACAO (blt_id, pap_id, cot_prc_comum, cot_prc_min, cot_prc_max, cot_prc_med, cot_prc_mediana) VALUES (12, 14, 60, 60, 80, 66.67, 60);</v>
      </c>
    </row>
    <row r="448" spans="1:10" x14ac:dyDescent="0.3">
      <c r="A448" s="1">
        <v>447</v>
      </c>
      <c r="B448" s="1">
        <v>12</v>
      </c>
      <c r="C448" s="1">
        <v>15</v>
      </c>
      <c r="D448" s="1" t="str">
        <f>IF('Boletins Nuppa Site'!G448&lt;&gt;0,'Boletins Nuppa Site'!G448,"NULL")</f>
        <v>NULL</v>
      </c>
      <c r="E448" s="19">
        <f>IF('Boletins Nuppa Site'!H448&lt;&gt;0,'Boletins Nuppa Site'!H448,"NULL")</f>
        <v>50</v>
      </c>
      <c r="F448" s="19">
        <f>IF('Boletins Nuppa Site'!I448&lt;&gt;0,'Boletins Nuppa Site'!I448,"NULL")</f>
        <v>75</v>
      </c>
      <c r="G448" s="1" t="str">
        <f>IF('Boletins Nuppa Site'!J448&lt;&gt;0,'Boletins Nuppa Site'!J448,"NULL")</f>
        <v>59.67</v>
      </c>
      <c r="H448" s="19">
        <f>IF('Boletins Nuppa Site'!K448&lt;&gt;0,'Boletins Nuppa Site'!K448,"NULL")</f>
        <v>54</v>
      </c>
      <c r="J448" s="1" t="str">
        <f t="shared" si="6"/>
        <v>INSERT INTO COTACAO (blt_id, pap_id, cot_prc_comum, cot_prc_min, cot_prc_max, cot_prc_med, cot_prc_mediana) VALUES (12, 15, NULL, 50, 75, 59.67, 54);</v>
      </c>
    </row>
    <row r="449" spans="1:10" x14ac:dyDescent="0.3">
      <c r="A449" s="1">
        <v>448</v>
      </c>
      <c r="B449" s="1">
        <v>12</v>
      </c>
      <c r="C449" s="1">
        <v>16</v>
      </c>
      <c r="D449" s="1" t="str">
        <f>IF('Boletins Nuppa Site'!G449&lt;&gt;0,'Boletins Nuppa Site'!G449,"NULL")</f>
        <v>NULL</v>
      </c>
      <c r="E449" s="19">
        <f>IF('Boletins Nuppa Site'!H449&lt;&gt;0,'Boletins Nuppa Site'!H449,"NULL")</f>
        <v>42</v>
      </c>
      <c r="F449" s="19">
        <f>IF('Boletins Nuppa Site'!I449&lt;&gt;0,'Boletins Nuppa Site'!I449,"NULL")</f>
        <v>54</v>
      </c>
      <c r="G449" s="19">
        <f>IF('Boletins Nuppa Site'!J449&lt;&gt;0,'Boletins Nuppa Site'!J449,"NULL")</f>
        <v>48</v>
      </c>
      <c r="H449" s="19">
        <f>IF('Boletins Nuppa Site'!K449&lt;&gt;0,'Boletins Nuppa Site'!K449,"NULL")</f>
        <v>48</v>
      </c>
      <c r="J449" s="1" t="str">
        <f t="shared" si="6"/>
        <v>INSERT INTO COTACAO (blt_id, pap_id, cot_prc_comum, cot_prc_min, cot_prc_max, cot_prc_med, cot_prc_mediana) VALUES (12, 16, NULL, 42, 54, 48, 48);</v>
      </c>
    </row>
    <row r="450" spans="1:10" x14ac:dyDescent="0.3">
      <c r="A450" s="1">
        <v>449</v>
      </c>
      <c r="B450" s="1">
        <v>12</v>
      </c>
      <c r="C450" s="1">
        <v>17</v>
      </c>
      <c r="D450" s="19">
        <f>IF('Boletins Nuppa Site'!G450&lt;&gt;0,'Boletins Nuppa Site'!G450,"NULL")</f>
        <v>5</v>
      </c>
      <c r="E450" s="1" t="str">
        <f>IF('Boletins Nuppa Site'!H450&lt;&gt;0,'Boletins Nuppa Site'!H450,"NULL")</f>
        <v>4.5</v>
      </c>
      <c r="F450" s="19">
        <f>IF('Boletins Nuppa Site'!I450&lt;&gt;0,'Boletins Nuppa Site'!I450,"NULL")</f>
        <v>5</v>
      </c>
      <c r="G450" s="1" t="str">
        <f>IF('Boletins Nuppa Site'!J450&lt;&gt;0,'Boletins Nuppa Site'!J450,"NULL")</f>
        <v>4.83</v>
      </c>
      <c r="H450" s="19">
        <f>IF('Boletins Nuppa Site'!K450&lt;&gt;0,'Boletins Nuppa Site'!K450,"NULL")</f>
        <v>5</v>
      </c>
      <c r="J450" s="1" t="str">
        <f t="shared" ref="J450:J513" si="7">"INSERT INTO COTACAO (blt_id, pap_id, cot_prc_comum, cot_prc_min, cot_prc_max, cot_prc_med, cot_prc_mediana) VALUES ("&amp;B450&amp;", "&amp;C450&amp;", "&amp;D450&amp;", "&amp;E450&amp;", "&amp;F450&amp;", "&amp;G450&amp;", "&amp;H450&amp;");"</f>
        <v>INSERT INTO COTACAO (blt_id, pap_id, cot_prc_comum, cot_prc_min, cot_prc_max, cot_prc_med, cot_prc_mediana) VALUES (12, 17, 5, 4.5, 5, 4.83, 5);</v>
      </c>
    </row>
    <row r="451" spans="1:10" x14ac:dyDescent="0.3">
      <c r="A451" s="1">
        <v>450</v>
      </c>
      <c r="B451" s="1">
        <v>12</v>
      </c>
      <c r="C451" s="1">
        <v>18</v>
      </c>
      <c r="D451" s="1" t="str">
        <f>IF('Boletins Nuppa Site'!G451&lt;&gt;0,'Boletins Nuppa Site'!G451,"NULL")</f>
        <v>NULL</v>
      </c>
      <c r="E451" s="19">
        <f>IF('Boletins Nuppa Site'!H451&lt;&gt;0,'Boletins Nuppa Site'!H451,"NULL")</f>
        <v>20</v>
      </c>
      <c r="F451" s="19">
        <f>IF('Boletins Nuppa Site'!I451&lt;&gt;0,'Boletins Nuppa Site'!I451,"NULL")</f>
        <v>30</v>
      </c>
      <c r="G451" s="19">
        <f>IF('Boletins Nuppa Site'!J451&lt;&gt;0,'Boletins Nuppa Site'!J451,"NULL")</f>
        <v>25</v>
      </c>
      <c r="H451" s="19">
        <f>IF('Boletins Nuppa Site'!K451&lt;&gt;0,'Boletins Nuppa Site'!K451,"NULL")</f>
        <v>25</v>
      </c>
      <c r="J451" s="1" t="str">
        <f t="shared" si="7"/>
        <v>INSERT INTO COTACAO (blt_id, pap_id, cot_prc_comum, cot_prc_min, cot_prc_max, cot_prc_med, cot_prc_mediana) VALUES (12, 18, NULL, 20, 30, 25, 25);</v>
      </c>
    </row>
    <row r="452" spans="1:10" x14ac:dyDescent="0.3">
      <c r="A452" s="1">
        <v>451</v>
      </c>
      <c r="B452" s="1">
        <v>12</v>
      </c>
      <c r="C452" s="1">
        <v>19</v>
      </c>
      <c r="D452" s="1" t="str">
        <f>IF('Boletins Nuppa Site'!G452&lt;&gt;0,'Boletins Nuppa Site'!G452,"NULL")</f>
        <v>NULL</v>
      </c>
      <c r="E452" s="19">
        <f>IF('Boletins Nuppa Site'!H452&lt;&gt;0,'Boletins Nuppa Site'!H452,"NULL")</f>
        <v>30</v>
      </c>
      <c r="F452" s="19">
        <f>IF('Boletins Nuppa Site'!I452&lt;&gt;0,'Boletins Nuppa Site'!I452,"NULL")</f>
        <v>40</v>
      </c>
      <c r="G452" s="19">
        <f>IF('Boletins Nuppa Site'!J452&lt;&gt;0,'Boletins Nuppa Site'!J452,"NULL")</f>
        <v>35</v>
      </c>
      <c r="H452" s="19">
        <f>IF('Boletins Nuppa Site'!K452&lt;&gt;0,'Boletins Nuppa Site'!K452,"NULL")</f>
        <v>35</v>
      </c>
      <c r="J452" s="1" t="str">
        <f t="shared" si="7"/>
        <v>INSERT INTO COTACAO (blt_id, pap_id, cot_prc_comum, cot_prc_min, cot_prc_max, cot_prc_med, cot_prc_mediana) VALUES (12, 19, NULL, 30, 40, 35, 35);</v>
      </c>
    </row>
    <row r="453" spans="1:10" x14ac:dyDescent="0.3">
      <c r="A453" s="1">
        <v>452</v>
      </c>
      <c r="B453" s="1">
        <v>12</v>
      </c>
      <c r="C453" s="1">
        <v>20</v>
      </c>
      <c r="D453" s="19">
        <f>IF('Boletins Nuppa Site'!G453&lt;&gt;0,'Boletins Nuppa Site'!G453,"NULL")</f>
        <v>120</v>
      </c>
      <c r="E453" s="19">
        <f>IF('Boletins Nuppa Site'!H453&lt;&gt;0,'Boletins Nuppa Site'!H453,"NULL")</f>
        <v>115</v>
      </c>
      <c r="F453" s="19">
        <f>IF('Boletins Nuppa Site'!I453&lt;&gt;0,'Boletins Nuppa Site'!I453,"NULL")</f>
        <v>120</v>
      </c>
      <c r="G453" s="1" t="str">
        <f>IF('Boletins Nuppa Site'!J453&lt;&gt;0,'Boletins Nuppa Site'!J453,"NULL")</f>
        <v>118.33</v>
      </c>
      <c r="H453" s="19">
        <f>IF('Boletins Nuppa Site'!K453&lt;&gt;0,'Boletins Nuppa Site'!K453,"NULL")</f>
        <v>120</v>
      </c>
      <c r="J453" s="1" t="str">
        <f t="shared" si="7"/>
        <v>INSERT INTO COTACAO (blt_id, pap_id, cot_prc_comum, cot_prc_min, cot_prc_max, cot_prc_med, cot_prc_mediana) VALUES (12, 20, 120, 115, 120, 118.33, 120);</v>
      </c>
    </row>
    <row r="454" spans="1:10" x14ac:dyDescent="0.3">
      <c r="A454" s="1">
        <v>453</v>
      </c>
      <c r="B454" s="1">
        <v>12</v>
      </c>
      <c r="C454" s="1">
        <v>21</v>
      </c>
      <c r="D454" s="1" t="str">
        <f>IF('Boletins Nuppa Site'!G454&lt;&gt;0,'Boletins Nuppa Site'!G454,"NULL")</f>
        <v>NULL</v>
      </c>
      <c r="E454" s="19">
        <f>IF('Boletins Nuppa Site'!H454&lt;&gt;0,'Boletins Nuppa Site'!H454,"NULL")</f>
        <v>80</v>
      </c>
      <c r="F454" s="19">
        <f>IF('Boletins Nuppa Site'!I454&lt;&gt;0,'Boletins Nuppa Site'!I454,"NULL")</f>
        <v>100</v>
      </c>
      <c r="G454" s="19">
        <f>IF('Boletins Nuppa Site'!J454&lt;&gt;0,'Boletins Nuppa Site'!J454,"NULL")</f>
        <v>90</v>
      </c>
      <c r="H454" s="19">
        <f>IF('Boletins Nuppa Site'!K454&lt;&gt;0,'Boletins Nuppa Site'!K454,"NULL")</f>
        <v>90</v>
      </c>
      <c r="J454" s="1" t="str">
        <f t="shared" si="7"/>
        <v>INSERT INTO COTACAO (blt_id, pap_id, cot_prc_comum, cot_prc_min, cot_prc_max, cot_prc_med, cot_prc_mediana) VALUES (12, 21, NULL, 80, 100, 90, 90);</v>
      </c>
    </row>
    <row r="455" spans="1:10" x14ac:dyDescent="0.3">
      <c r="A455" s="1">
        <v>454</v>
      </c>
      <c r="B455" s="1">
        <v>12</v>
      </c>
      <c r="C455" s="1">
        <v>22</v>
      </c>
      <c r="D455" s="19">
        <f>IF('Boletins Nuppa Site'!G455&lt;&gt;0,'Boletins Nuppa Site'!G455,"NULL")</f>
        <v>75</v>
      </c>
      <c r="E455" s="19">
        <f>IF('Boletins Nuppa Site'!H455&lt;&gt;0,'Boletins Nuppa Site'!H455,"NULL")</f>
        <v>45</v>
      </c>
      <c r="F455" s="19">
        <f>IF('Boletins Nuppa Site'!I455&lt;&gt;0,'Boletins Nuppa Site'!I455,"NULL")</f>
        <v>80</v>
      </c>
      <c r="G455" s="1" t="str">
        <f>IF('Boletins Nuppa Site'!J455&lt;&gt;0,'Boletins Nuppa Site'!J455,"NULL")</f>
        <v>69.17</v>
      </c>
      <c r="H455" s="1" t="str">
        <f>IF('Boletins Nuppa Site'!K455&lt;&gt;0,'Boletins Nuppa Site'!K455,"NULL")</f>
        <v>72.5</v>
      </c>
      <c r="J455" s="1" t="str">
        <f t="shared" si="7"/>
        <v>INSERT INTO COTACAO (blt_id, pap_id, cot_prc_comum, cot_prc_min, cot_prc_max, cot_prc_med, cot_prc_mediana) VALUES (12, 22, 75, 45, 80, 69.17, 72.5);</v>
      </c>
    </row>
    <row r="456" spans="1:10" x14ac:dyDescent="0.3">
      <c r="A456" s="1">
        <v>455</v>
      </c>
      <c r="B456" s="1">
        <v>12</v>
      </c>
      <c r="C456" s="1">
        <v>23</v>
      </c>
      <c r="D456" s="19">
        <f>IF('Boletins Nuppa Site'!G456&lt;&gt;0,'Boletins Nuppa Site'!G456,"NULL")</f>
        <v>50</v>
      </c>
      <c r="E456" s="19">
        <f>IF('Boletins Nuppa Site'!H456&lt;&gt;0,'Boletins Nuppa Site'!H456,"NULL")</f>
        <v>35</v>
      </c>
      <c r="F456" s="19">
        <f>IF('Boletins Nuppa Site'!I456&lt;&gt;0,'Boletins Nuppa Site'!I456,"NULL")</f>
        <v>50</v>
      </c>
      <c r="G456" s="1" t="str">
        <f>IF('Boletins Nuppa Site'!J456&lt;&gt;0,'Boletins Nuppa Site'!J456,"NULL")</f>
        <v>43.33</v>
      </c>
      <c r="H456" s="1" t="str">
        <f>IF('Boletins Nuppa Site'!K456&lt;&gt;0,'Boletins Nuppa Site'!K456,"NULL")</f>
        <v>42.5</v>
      </c>
      <c r="J456" s="1" t="str">
        <f t="shared" si="7"/>
        <v>INSERT INTO COTACAO (blt_id, pap_id, cot_prc_comum, cot_prc_min, cot_prc_max, cot_prc_med, cot_prc_mediana) VALUES (12, 23, 50, 35, 50, 43.33, 42.5);</v>
      </c>
    </row>
    <row r="457" spans="1:10" x14ac:dyDescent="0.3">
      <c r="A457" s="1">
        <v>456</v>
      </c>
      <c r="B457" s="1">
        <v>12</v>
      </c>
      <c r="C457" s="1">
        <v>24</v>
      </c>
      <c r="D457" s="1" t="str">
        <f>IF('Boletins Nuppa Site'!G457&lt;&gt;0,'Boletins Nuppa Site'!G457,"NULL")</f>
        <v>NULL</v>
      </c>
      <c r="E457" s="19">
        <f>IF('Boletins Nuppa Site'!H457&lt;&gt;0,'Boletins Nuppa Site'!H457,"NULL")</f>
        <v>65</v>
      </c>
      <c r="F457" s="19">
        <f>IF('Boletins Nuppa Site'!I457&lt;&gt;0,'Boletins Nuppa Site'!I457,"NULL")</f>
        <v>65</v>
      </c>
      <c r="G457" s="19">
        <f>IF('Boletins Nuppa Site'!J457&lt;&gt;0,'Boletins Nuppa Site'!J457,"NULL")</f>
        <v>65</v>
      </c>
      <c r="H457" s="19">
        <f>IF('Boletins Nuppa Site'!K457&lt;&gt;0,'Boletins Nuppa Site'!K457,"NULL")</f>
        <v>65</v>
      </c>
      <c r="J457" s="1" t="str">
        <f t="shared" si="7"/>
        <v>INSERT INTO COTACAO (blt_id, pap_id, cot_prc_comum, cot_prc_min, cot_prc_max, cot_prc_med, cot_prc_mediana) VALUES (12, 24, NULL, 65, 65, 65, 65);</v>
      </c>
    </row>
    <row r="458" spans="1:10" x14ac:dyDescent="0.3">
      <c r="A458" s="1">
        <v>457</v>
      </c>
      <c r="B458" s="1">
        <v>12</v>
      </c>
      <c r="C458" s="1">
        <v>25</v>
      </c>
      <c r="D458" s="19">
        <f>IF('Boletins Nuppa Site'!G458&lt;&gt;0,'Boletins Nuppa Site'!G458,"NULL")</f>
        <v>130</v>
      </c>
      <c r="E458" s="19">
        <f>IF('Boletins Nuppa Site'!H458&lt;&gt;0,'Boletins Nuppa Site'!H458,"NULL")</f>
        <v>100</v>
      </c>
      <c r="F458" s="19">
        <f>IF('Boletins Nuppa Site'!I458&lt;&gt;0,'Boletins Nuppa Site'!I458,"NULL")</f>
        <v>130</v>
      </c>
      <c r="G458" s="1" t="str">
        <f>IF('Boletins Nuppa Site'!J458&lt;&gt;0,'Boletins Nuppa Site'!J458,"NULL")</f>
        <v>116.67</v>
      </c>
      <c r="H458" s="19">
        <f>IF('Boletins Nuppa Site'!K458&lt;&gt;0,'Boletins Nuppa Site'!K458,"NULL")</f>
        <v>115</v>
      </c>
      <c r="J458" s="1" t="str">
        <f t="shared" si="7"/>
        <v>INSERT INTO COTACAO (blt_id, pap_id, cot_prc_comum, cot_prc_min, cot_prc_max, cot_prc_med, cot_prc_mediana) VALUES (12, 25, 130, 100, 130, 116.67, 115);</v>
      </c>
    </row>
    <row r="459" spans="1:10" x14ac:dyDescent="0.3">
      <c r="A459" s="1">
        <v>458</v>
      </c>
      <c r="B459" s="1">
        <v>12</v>
      </c>
      <c r="C459" s="1">
        <v>26</v>
      </c>
      <c r="D459" s="19">
        <f>IF('Boletins Nuppa Site'!G459&lt;&gt;0,'Boletins Nuppa Site'!G459,"NULL")</f>
        <v>90</v>
      </c>
      <c r="E459" s="19">
        <f>IF('Boletins Nuppa Site'!H459&lt;&gt;0,'Boletins Nuppa Site'!H459,"NULL")</f>
        <v>90</v>
      </c>
      <c r="F459" s="19">
        <f>IF('Boletins Nuppa Site'!I459&lt;&gt;0,'Boletins Nuppa Site'!I459,"NULL")</f>
        <v>150</v>
      </c>
      <c r="G459" s="19">
        <f>IF('Boletins Nuppa Site'!J459&lt;&gt;0,'Boletins Nuppa Site'!J459,"NULL")</f>
        <v>122</v>
      </c>
      <c r="H459" s="19">
        <f>IF('Boletins Nuppa Site'!K459&lt;&gt;0,'Boletins Nuppa Site'!K459,"NULL")</f>
        <v>140</v>
      </c>
      <c r="J459" s="1" t="str">
        <f t="shared" si="7"/>
        <v>INSERT INTO COTACAO (blt_id, pap_id, cot_prc_comum, cot_prc_min, cot_prc_max, cot_prc_med, cot_prc_mediana) VALUES (12, 26, 90, 90, 150, 122, 140);</v>
      </c>
    </row>
    <row r="460" spans="1:10" x14ac:dyDescent="0.3">
      <c r="A460" s="1">
        <v>459</v>
      </c>
      <c r="B460" s="1">
        <v>12</v>
      </c>
      <c r="C460" s="1">
        <v>27</v>
      </c>
      <c r="D460" s="19">
        <f>IF('Boletins Nuppa Site'!G460&lt;&gt;0,'Boletins Nuppa Site'!G460,"NULL")</f>
        <v>60</v>
      </c>
      <c r="E460" s="19">
        <f>IF('Boletins Nuppa Site'!H460&lt;&gt;0,'Boletins Nuppa Site'!H460,"NULL")</f>
        <v>50</v>
      </c>
      <c r="F460" s="19">
        <f>IF('Boletins Nuppa Site'!I460&lt;&gt;0,'Boletins Nuppa Site'!I460,"NULL")</f>
        <v>60</v>
      </c>
      <c r="G460" s="1" t="str">
        <f>IF('Boletins Nuppa Site'!J460&lt;&gt;0,'Boletins Nuppa Site'!J460,"NULL")</f>
        <v>56.33</v>
      </c>
      <c r="H460" s="19">
        <f>IF('Boletins Nuppa Site'!K460&lt;&gt;0,'Boletins Nuppa Site'!K460,"NULL")</f>
        <v>59</v>
      </c>
      <c r="J460" s="1" t="str">
        <f t="shared" si="7"/>
        <v>INSERT INTO COTACAO (blt_id, pap_id, cot_prc_comum, cot_prc_min, cot_prc_max, cot_prc_med, cot_prc_mediana) VALUES (12, 27, 60, 50, 60, 56.33, 59);</v>
      </c>
    </row>
    <row r="461" spans="1:10" x14ac:dyDescent="0.3">
      <c r="A461" s="1">
        <v>460</v>
      </c>
      <c r="B461" s="1">
        <v>12</v>
      </c>
      <c r="C461" s="1">
        <v>28</v>
      </c>
      <c r="D461" s="19">
        <f>IF('Boletins Nuppa Site'!G461&lt;&gt;0,'Boletins Nuppa Site'!G461,"NULL")</f>
        <v>100</v>
      </c>
      <c r="E461" s="19">
        <f>IF('Boletins Nuppa Site'!H461&lt;&gt;0,'Boletins Nuppa Site'!H461,"NULL")</f>
        <v>100</v>
      </c>
      <c r="F461" s="19">
        <f>IF('Boletins Nuppa Site'!I461&lt;&gt;0,'Boletins Nuppa Site'!I461,"NULL")</f>
        <v>110</v>
      </c>
      <c r="G461" s="1" t="str">
        <f>IF('Boletins Nuppa Site'!J461&lt;&gt;0,'Boletins Nuppa Site'!J461,"NULL")</f>
        <v>103.33</v>
      </c>
      <c r="H461" s="19">
        <f>IF('Boletins Nuppa Site'!K461&lt;&gt;0,'Boletins Nuppa Site'!K461,"NULL")</f>
        <v>100</v>
      </c>
      <c r="J461" s="1" t="str">
        <f t="shared" si="7"/>
        <v>INSERT INTO COTACAO (blt_id, pap_id, cot_prc_comum, cot_prc_min, cot_prc_max, cot_prc_med, cot_prc_mediana) VALUES (12, 28, 100, 100, 110, 103.33, 100);</v>
      </c>
    </row>
    <row r="462" spans="1:10" x14ac:dyDescent="0.3">
      <c r="A462" s="1">
        <v>461</v>
      </c>
      <c r="B462" s="1">
        <v>12</v>
      </c>
      <c r="C462" s="1">
        <v>29</v>
      </c>
      <c r="D462" s="1" t="str">
        <f>IF('Boletins Nuppa Site'!G462&lt;&gt;0,'Boletins Nuppa Site'!G462,"NULL")</f>
        <v>NULL</v>
      </c>
      <c r="E462" s="19">
        <f>IF('Boletins Nuppa Site'!H462&lt;&gt;0,'Boletins Nuppa Site'!H462,"NULL")</f>
        <v>50</v>
      </c>
      <c r="F462" s="19">
        <f>IF('Boletins Nuppa Site'!I462&lt;&gt;0,'Boletins Nuppa Site'!I462,"NULL")</f>
        <v>78</v>
      </c>
      <c r="G462" s="19">
        <f>IF('Boletins Nuppa Site'!J462&lt;&gt;0,'Boletins Nuppa Site'!J462,"NULL")</f>
        <v>64</v>
      </c>
      <c r="H462" s="19">
        <f>IF('Boletins Nuppa Site'!K462&lt;&gt;0,'Boletins Nuppa Site'!K462,"NULL")</f>
        <v>64</v>
      </c>
      <c r="J462" s="1" t="str">
        <f t="shared" si="7"/>
        <v>INSERT INTO COTACAO (blt_id, pap_id, cot_prc_comum, cot_prc_min, cot_prc_max, cot_prc_med, cot_prc_mediana) VALUES (12, 29, NULL, 50, 78, 64, 64);</v>
      </c>
    </row>
    <row r="463" spans="1:10" x14ac:dyDescent="0.3">
      <c r="A463" s="1">
        <v>462</v>
      </c>
      <c r="B463" s="1">
        <v>12</v>
      </c>
      <c r="C463" s="1">
        <v>30</v>
      </c>
      <c r="D463" s="19">
        <f>IF('Boletins Nuppa Site'!G463&lt;&gt;0,'Boletins Nuppa Site'!G463,"NULL")</f>
        <v>70</v>
      </c>
      <c r="E463" s="19">
        <f>IF('Boletins Nuppa Site'!H463&lt;&gt;0,'Boletins Nuppa Site'!H463,"NULL")</f>
        <v>70</v>
      </c>
      <c r="F463" s="19">
        <f>IF('Boletins Nuppa Site'!I463&lt;&gt;0,'Boletins Nuppa Site'!I463,"NULL")</f>
        <v>85</v>
      </c>
      <c r="G463" s="19">
        <f>IF('Boletins Nuppa Site'!J463&lt;&gt;0,'Boletins Nuppa Site'!J463,"NULL")</f>
        <v>75</v>
      </c>
      <c r="H463" s="1" t="str">
        <f>IF('Boletins Nuppa Site'!K463&lt;&gt;0,'Boletins Nuppa Site'!K463,"NULL")</f>
        <v>72.5</v>
      </c>
      <c r="J463" s="1" t="str">
        <f t="shared" si="7"/>
        <v>INSERT INTO COTACAO (blt_id, pap_id, cot_prc_comum, cot_prc_min, cot_prc_max, cot_prc_med, cot_prc_mediana) VALUES (12, 30, 70, 70, 85, 75, 72.5);</v>
      </c>
    </row>
    <row r="464" spans="1:10" x14ac:dyDescent="0.3">
      <c r="A464" s="1">
        <v>463</v>
      </c>
      <c r="B464" s="1">
        <v>12</v>
      </c>
      <c r="C464" s="1">
        <v>31</v>
      </c>
      <c r="D464" s="19">
        <f>IF('Boletins Nuppa Site'!G464&lt;&gt;0,'Boletins Nuppa Site'!G464,"NULL")</f>
        <v>100</v>
      </c>
      <c r="E464" s="19">
        <f>IF('Boletins Nuppa Site'!H464&lt;&gt;0,'Boletins Nuppa Site'!H464,"NULL")</f>
        <v>90</v>
      </c>
      <c r="F464" s="19">
        <f>IF('Boletins Nuppa Site'!I464&lt;&gt;0,'Boletins Nuppa Site'!I464,"NULL")</f>
        <v>110</v>
      </c>
      <c r="G464" s="1" t="str">
        <f>IF('Boletins Nuppa Site'!J464&lt;&gt;0,'Boletins Nuppa Site'!J464,"NULL")</f>
        <v>101.67</v>
      </c>
      <c r="H464" s="19">
        <f>IF('Boletins Nuppa Site'!K464&lt;&gt;0,'Boletins Nuppa Site'!K464,"NULL")</f>
        <v>100</v>
      </c>
      <c r="J464" s="1" t="str">
        <f t="shared" si="7"/>
        <v>INSERT INTO COTACAO (blt_id, pap_id, cot_prc_comum, cot_prc_min, cot_prc_max, cot_prc_med, cot_prc_mediana) VALUES (12, 31, 100, 90, 110, 101.67, 100);</v>
      </c>
    </row>
    <row r="465" spans="1:10" x14ac:dyDescent="0.3">
      <c r="A465" s="1">
        <v>464</v>
      </c>
      <c r="B465" s="1">
        <v>12</v>
      </c>
      <c r="C465" s="1">
        <v>32</v>
      </c>
      <c r="D465" s="19">
        <f>IF('Boletins Nuppa Site'!G465&lt;&gt;0,'Boletins Nuppa Site'!G465,"NULL")</f>
        <v>70</v>
      </c>
      <c r="E465" s="19">
        <f>IF('Boletins Nuppa Site'!H465&lt;&gt;0,'Boletins Nuppa Site'!H465,"NULL")</f>
        <v>60</v>
      </c>
      <c r="F465" s="19">
        <f>IF('Boletins Nuppa Site'!I465&lt;&gt;0,'Boletins Nuppa Site'!I465,"NULL")</f>
        <v>90</v>
      </c>
      <c r="G465" s="19">
        <f>IF('Boletins Nuppa Site'!J465&lt;&gt;0,'Boletins Nuppa Site'!J465,"NULL")</f>
        <v>74</v>
      </c>
      <c r="H465" s="19">
        <f>IF('Boletins Nuppa Site'!K465&lt;&gt;0,'Boletins Nuppa Site'!K465,"NULL")</f>
        <v>70</v>
      </c>
      <c r="J465" s="1" t="str">
        <f t="shared" si="7"/>
        <v>INSERT INTO COTACAO (blt_id, pap_id, cot_prc_comum, cot_prc_min, cot_prc_max, cot_prc_med, cot_prc_mediana) VALUES (12, 32, 70, 60, 90, 74, 70);</v>
      </c>
    </row>
    <row r="466" spans="1:10" x14ac:dyDescent="0.3">
      <c r="A466" s="1">
        <v>465</v>
      </c>
      <c r="B466" s="1">
        <v>12</v>
      </c>
      <c r="C466" s="1">
        <v>33</v>
      </c>
      <c r="D466" s="19">
        <f>IF('Boletins Nuppa Site'!G466&lt;&gt;0,'Boletins Nuppa Site'!G466,"NULL")</f>
        <v>120</v>
      </c>
      <c r="E466" s="19">
        <f>IF('Boletins Nuppa Site'!H466&lt;&gt;0,'Boletins Nuppa Site'!H466,"NULL")</f>
        <v>100</v>
      </c>
      <c r="F466" s="19">
        <f>IF('Boletins Nuppa Site'!I466&lt;&gt;0,'Boletins Nuppa Site'!I466,"NULL")</f>
        <v>130</v>
      </c>
      <c r="G466" s="1" t="str">
        <f>IF('Boletins Nuppa Site'!J466&lt;&gt;0,'Boletins Nuppa Site'!J466,"NULL")</f>
        <v>117.5</v>
      </c>
      <c r="H466" s="19">
        <f>IF('Boletins Nuppa Site'!K466&lt;&gt;0,'Boletins Nuppa Site'!K466,"NULL")</f>
        <v>120</v>
      </c>
      <c r="J466" s="1" t="str">
        <f t="shared" si="7"/>
        <v>INSERT INTO COTACAO (blt_id, pap_id, cot_prc_comum, cot_prc_min, cot_prc_max, cot_prc_med, cot_prc_mediana) VALUES (12, 33, 120, 100, 130, 117.5, 120);</v>
      </c>
    </row>
    <row r="467" spans="1:10" x14ac:dyDescent="0.3">
      <c r="A467" s="1">
        <v>466</v>
      </c>
      <c r="B467" s="1">
        <v>12</v>
      </c>
      <c r="C467" s="1">
        <v>34</v>
      </c>
      <c r="D467" s="19">
        <f>IF('Boletins Nuppa Site'!G467&lt;&gt;0,'Boletins Nuppa Site'!G467,"NULL")</f>
        <v>150</v>
      </c>
      <c r="E467" s="19">
        <f>IF('Boletins Nuppa Site'!H467&lt;&gt;0,'Boletins Nuppa Site'!H467,"NULL")</f>
        <v>100</v>
      </c>
      <c r="F467" s="19">
        <f>IF('Boletins Nuppa Site'!I467&lt;&gt;0,'Boletins Nuppa Site'!I467,"NULL")</f>
        <v>190</v>
      </c>
      <c r="G467" s="19">
        <f>IF('Boletins Nuppa Site'!J467&lt;&gt;0,'Boletins Nuppa Site'!J467,"NULL")</f>
        <v>150</v>
      </c>
      <c r="H467" s="19">
        <f>IF('Boletins Nuppa Site'!K467&lt;&gt;0,'Boletins Nuppa Site'!K467,"NULL")</f>
        <v>150</v>
      </c>
      <c r="J467" s="1" t="str">
        <f t="shared" si="7"/>
        <v>INSERT INTO COTACAO (blt_id, pap_id, cot_prc_comum, cot_prc_min, cot_prc_max, cot_prc_med, cot_prc_mediana) VALUES (12, 34, 150, 100, 190, 150, 150);</v>
      </c>
    </row>
    <row r="468" spans="1:10" x14ac:dyDescent="0.3">
      <c r="A468" s="1">
        <v>467</v>
      </c>
      <c r="B468" s="1">
        <v>12</v>
      </c>
      <c r="C468" s="1">
        <v>35</v>
      </c>
      <c r="D468" s="19">
        <f>IF('Boletins Nuppa Site'!G468&lt;&gt;0,'Boletins Nuppa Site'!G468,"NULL")</f>
        <v>180</v>
      </c>
      <c r="E468" s="19">
        <f>IF('Boletins Nuppa Site'!H468&lt;&gt;0,'Boletins Nuppa Site'!H468,"NULL")</f>
        <v>160</v>
      </c>
      <c r="F468" s="19">
        <f>IF('Boletins Nuppa Site'!I468&lt;&gt;0,'Boletins Nuppa Site'!I468,"NULL")</f>
        <v>180</v>
      </c>
      <c r="G468" s="1" t="str">
        <f>IF('Boletins Nuppa Site'!J468&lt;&gt;0,'Boletins Nuppa Site'!J468,"NULL")</f>
        <v>172.5</v>
      </c>
      <c r="H468" s="19">
        <f>IF('Boletins Nuppa Site'!K468&lt;&gt;0,'Boletins Nuppa Site'!K468,"NULL")</f>
        <v>175</v>
      </c>
      <c r="J468" s="1" t="str">
        <f t="shared" si="7"/>
        <v>INSERT INTO COTACAO (blt_id, pap_id, cot_prc_comum, cot_prc_min, cot_prc_max, cot_prc_med, cot_prc_mediana) VALUES (12, 35, 180, 160, 180, 172.5, 175);</v>
      </c>
    </row>
    <row r="469" spans="1:10" x14ac:dyDescent="0.3">
      <c r="A469" s="1">
        <v>468</v>
      </c>
      <c r="B469" s="1">
        <v>12</v>
      </c>
      <c r="C469" s="1">
        <v>36</v>
      </c>
      <c r="D469" s="1" t="str">
        <f>IF('Boletins Nuppa Site'!G469&lt;&gt;0,'Boletins Nuppa Site'!G469,"NULL")</f>
        <v>NULL</v>
      </c>
      <c r="E469" s="19">
        <f>IF('Boletins Nuppa Site'!H469&lt;&gt;0,'Boletins Nuppa Site'!H469,"NULL")</f>
        <v>130</v>
      </c>
      <c r="F469" s="19">
        <f>IF('Boletins Nuppa Site'!I469&lt;&gt;0,'Boletins Nuppa Site'!I469,"NULL")</f>
        <v>130</v>
      </c>
      <c r="G469" s="19">
        <f>IF('Boletins Nuppa Site'!J469&lt;&gt;0,'Boletins Nuppa Site'!J469,"NULL")</f>
        <v>130</v>
      </c>
      <c r="H469" s="19">
        <f>IF('Boletins Nuppa Site'!K469&lt;&gt;0,'Boletins Nuppa Site'!K469,"NULL")</f>
        <v>130</v>
      </c>
      <c r="J469" s="1" t="str">
        <f t="shared" si="7"/>
        <v>INSERT INTO COTACAO (blt_id, pap_id, cot_prc_comum, cot_prc_min, cot_prc_max, cot_prc_med, cot_prc_mediana) VALUES (12, 36, NULL, 130, 130, 130, 130);</v>
      </c>
    </row>
    <row r="470" spans="1:10" x14ac:dyDescent="0.3">
      <c r="A470" s="1">
        <v>469</v>
      </c>
      <c r="B470" s="1">
        <v>12</v>
      </c>
      <c r="C470" s="1">
        <v>37</v>
      </c>
      <c r="D470" s="1" t="str">
        <f>IF('Boletins Nuppa Site'!G470&lt;&gt;0,'Boletins Nuppa Site'!G470,"NULL")</f>
        <v>NULL</v>
      </c>
      <c r="E470" s="19">
        <f>IF('Boletins Nuppa Site'!H470&lt;&gt;0,'Boletins Nuppa Site'!H470,"NULL")</f>
        <v>60</v>
      </c>
      <c r="F470" s="19">
        <f>IF('Boletins Nuppa Site'!I470&lt;&gt;0,'Boletins Nuppa Site'!I470,"NULL")</f>
        <v>75</v>
      </c>
      <c r="G470" s="1" t="str">
        <f>IF('Boletins Nuppa Site'!J470&lt;&gt;0,'Boletins Nuppa Site'!J470,"NULL")</f>
        <v>67.5</v>
      </c>
      <c r="H470" s="1" t="str">
        <f>IF('Boletins Nuppa Site'!K470&lt;&gt;0,'Boletins Nuppa Site'!K470,"NULL")</f>
        <v>67.5</v>
      </c>
      <c r="J470" s="1" t="str">
        <f t="shared" si="7"/>
        <v>INSERT INTO COTACAO (blt_id, pap_id, cot_prc_comum, cot_prc_min, cot_prc_max, cot_prc_med, cot_prc_mediana) VALUES (12, 37, NULL, 60, 75, 67.5, 67.5);</v>
      </c>
    </row>
    <row r="471" spans="1:10" x14ac:dyDescent="0.3">
      <c r="A471" s="1">
        <v>470</v>
      </c>
      <c r="B471" s="1">
        <v>12</v>
      </c>
      <c r="C471" s="1">
        <v>38</v>
      </c>
      <c r="D471" s="1" t="str">
        <f>IF('Boletins Nuppa Site'!G471&lt;&gt;0,'Boletins Nuppa Site'!G471,"NULL")</f>
        <v>NULL</v>
      </c>
      <c r="E471" s="19">
        <f>IF('Boletins Nuppa Site'!H471&lt;&gt;0,'Boletins Nuppa Site'!H471,"NULL")</f>
        <v>40</v>
      </c>
      <c r="F471" s="19">
        <f>IF('Boletins Nuppa Site'!I471&lt;&gt;0,'Boletins Nuppa Site'!I471,"NULL")</f>
        <v>45</v>
      </c>
      <c r="G471" s="1" t="str">
        <f>IF('Boletins Nuppa Site'!J471&lt;&gt;0,'Boletins Nuppa Site'!J471,"NULL")</f>
        <v>42.5</v>
      </c>
      <c r="H471" s="1" t="str">
        <f>IF('Boletins Nuppa Site'!K471&lt;&gt;0,'Boletins Nuppa Site'!K471,"NULL")</f>
        <v>42.5</v>
      </c>
      <c r="J471" s="1" t="str">
        <f t="shared" si="7"/>
        <v>INSERT INTO COTACAO (blt_id, pap_id, cot_prc_comum, cot_prc_min, cot_prc_max, cot_prc_med, cot_prc_mediana) VALUES (12, 38, NULL, 40, 45, 42.5, 42.5);</v>
      </c>
    </row>
    <row r="472" spans="1:10" x14ac:dyDescent="0.3">
      <c r="A472" s="1">
        <v>471</v>
      </c>
      <c r="B472" s="1">
        <v>12</v>
      </c>
      <c r="C472" s="1">
        <v>39</v>
      </c>
      <c r="D472" s="1" t="str">
        <f>IF('Boletins Nuppa Site'!G472&lt;&gt;0,'Boletins Nuppa Site'!G472,"NULL")</f>
        <v>NULL</v>
      </c>
      <c r="E472" s="19">
        <f>IF('Boletins Nuppa Site'!H472&lt;&gt;0,'Boletins Nuppa Site'!H472,"NULL")</f>
        <v>48</v>
      </c>
      <c r="F472" s="19">
        <f>IF('Boletins Nuppa Site'!I472&lt;&gt;0,'Boletins Nuppa Site'!I472,"NULL")</f>
        <v>48</v>
      </c>
      <c r="G472" s="19">
        <f>IF('Boletins Nuppa Site'!J472&lt;&gt;0,'Boletins Nuppa Site'!J472,"NULL")</f>
        <v>48</v>
      </c>
      <c r="H472" s="19">
        <f>IF('Boletins Nuppa Site'!K472&lt;&gt;0,'Boletins Nuppa Site'!K472,"NULL")</f>
        <v>48</v>
      </c>
      <c r="J472" s="1" t="str">
        <f t="shared" si="7"/>
        <v>INSERT INTO COTACAO (blt_id, pap_id, cot_prc_comum, cot_prc_min, cot_prc_max, cot_prc_med, cot_prc_mediana) VALUES (12, 39, NULL, 48, 48, 48, 48);</v>
      </c>
    </row>
    <row r="473" spans="1:10" x14ac:dyDescent="0.3">
      <c r="A473" s="1">
        <v>472</v>
      </c>
      <c r="B473" s="1">
        <v>12</v>
      </c>
      <c r="C473" s="1">
        <v>40</v>
      </c>
      <c r="D473" s="1" t="str">
        <f>IF('Boletins Nuppa Site'!G473&lt;&gt;0,'Boletins Nuppa Site'!G473,"NULL")</f>
        <v>NULL</v>
      </c>
      <c r="E473" s="19">
        <f>IF('Boletins Nuppa Site'!H473&lt;&gt;0,'Boletins Nuppa Site'!H473,"NULL")</f>
        <v>75</v>
      </c>
      <c r="F473" s="19">
        <f>IF('Boletins Nuppa Site'!I473&lt;&gt;0,'Boletins Nuppa Site'!I473,"NULL")</f>
        <v>75</v>
      </c>
      <c r="G473" s="19">
        <f>IF('Boletins Nuppa Site'!J473&lt;&gt;0,'Boletins Nuppa Site'!J473,"NULL")</f>
        <v>75</v>
      </c>
      <c r="H473" s="19">
        <f>IF('Boletins Nuppa Site'!K473&lt;&gt;0,'Boletins Nuppa Site'!K473,"NULL")</f>
        <v>75</v>
      </c>
      <c r="J473" s="1" t="str">
        <f t="shared" si="7"/>
        <v>INSERT INTO COTACAO (blt_id, pap_id, cot_prc_comum, cot_prc_min, cot_prc_max, cot_prc_med, cot_prc_mediana) VALUES (12, 40, NULL, 75, 75, 75, 75);</v>
      </c>
    </row>
    <row r="474" spans="1:10" x14ac:dyDescent="0.3">
      <c r="A474" s="1">
        <v>473</v>
      </c>
      <c r="B474" s="1">
        <v>13</v>
      </c>
      <c r="C474" s="1">
        <v>1</v>
      </c>
      <c r="D474" s="19">
        <f>IF('Boletins Nuppa Site'!G474&lt;&gt;0,'Boletins Nuppa Site'!G474,"NULL")</f>
        <v>60</v>
      </c>
      <c r="E474" s="19">
        <f>IF('Boletins Nuppa Site'!H474&lt;&gt;0,'Boletins Nuppa Site'!H474,"NULL")</f>
        <v>28</v>
      </c>
      <c r="F474" s="19">
        <f>IF('Boletins Nuppa Site'!I474&lt;&gt;0,'Boletins Nuppa Site'!I474,"NULL")</f>
        <v>60</v>
      </c>
      <c r="G474" s="1" t="str">
        <f>IF('Boletins Nuppa Site'!J474&lt;&gt;0,'Boletins Nuppa Site'!J474,"NULL")</f>
        <v>49.33</v>
      </c>
      <c r="H474" s="19">
        <f>IF('Boletins Nuppa Site'!K474&lt;&gt;0,'Boletins Nuppa Site'!K474,"NULL")</f>
        <v>60</v>
      </c>
      <c r="J474" s="1" t="str">
        <f t="shared" si="7"/>
        <v>INSERT INTO COTACAO (blt_id, pap_id, cot_prc_comum, cot_prc_min, cot_prc_max, cot_prc_med, cot_prc_mediana) VALUES (13, 1, 60, 28, 60, 49.33, 60);</v>
      </c>
    </row>
    <row r="475" spans="1:10" x14ac:dyDescent="0.3">
      <c r="A475" s="1">
        <v>474</v>
      </c>
      <c r="B475" s="1">
        <v>13</v>
      </c>
      <c r="C475" s="1">
        <v>2</v>
      </c>
      <c r="D475" s="1" t="str">
        <f>IF('Boletins Nuppa Site'!G475&lt;&gt;0,'Boletins Nuppa Site'!G475,"NULL")</f>
        <v>NULL</v>
      </c>
      <c r="E475" s="19">
        <f>IF('Boletins Nuppa Site'!H475&lt;&gt;0,'Boletins Nuppa Site'!H475,"NULL")</f>
        <v>72</v>
      </c>
      <c r="F475" s="19">
        <f>IF('Boletins Nuppa Site'!I475&lt;&gt;0,'Boletins Nuppa Site'!I475,"NULL")</f>
        <v>84</v>
      </c>
      <c r="G475" s="1" t="str">
        <f>IF('Boletins Nuppa Site'!J475&lt;&gt;0,'Boletins Nuppa Site'!J475,"NULL")</f>
        <v>78.67</v>
      </c>
      <c r="H475" s="19">
        <f>IF('Boletins Nuppa Site'!K475&lt;&gt;0,'Boletins Nuppa Site'!K475,"NULL")</f>
        <v>80</v>
      </c>
      <c r="J475" s="1" t="str">
        <f t="shared" si="7"/>
        <v>INSERT INTO COTACAO (blt_id, pap_id, cot_prc_comum, cot_prc_min, cot_prc_max, cot_prc_med, cot_prc_mediana) VALUES (13, 2, NULL, 72, 84, 78.67, 80);</v>
      </c>
    </row>
    <row r="476" spans="1:10" x14ac:dyDescent="0.3">
      <c r="A476" s="1">
        <v>475</v>
      </c>
      <c r="B476" s="1">
        <v>13</v>
      </c>
      <c r="C476" s="1">
        <v>3</v>
      </c>
      <c r="D476" s="1" t="str">
        <f>IF('Boletins Nuppa Site'!G476&lt;&gt;0,'Boletins Nuppa Site'!G476,"NULL")</f>
        <v>NULL</v>
      </c>
      <c r="E476" s="19">
        <f>IF('Boletins Nuppa Site'!H476&lt;&gt;0,'Boletins Nuppa Site'!H476,"NULL")</f>
        <v>42</v>
      </c>
      <c r="F476" s="19">
        <f>IF('Boletins Nuppa Site'!I476&lt;&gt;0,'Boletins Nuppa Site'!I476,"NULL")</f>
        <v>60</v>
      </c>
      <c r="G476" s="19">
        <f>IF('Boletins Nuppa Site'!J476&lt;&gt;0,'Boletins Nuppa Site'!J476,"NULL")</f>
        <v>50</v>
      </c>
      <c r="H476" s="19">
        <f>IF('Boletins Nuppa Site'!K476&lt;&gt;0,'Boletins Nuppa Site'!K476,"NULL")</f>
        <v>48</v>
      </c>
      <c r="J476" s="1" t="str">
        <f t="shared" si="7"/>
        <v>INSERT INTO COTACAO (blt_id, pap_id, cot_prc_comum, cot_prc_min, cot_prc_max, cot_prc_med, cot_prc_mediana) VALUES (13, 3, NULL, 42, 60, 50, 48);</v>
      </c>
    </row>
    <row r="477" spans="1:10" x14ac:dyDescent="0.3">
      <c r="A477" s="1">
        <v>476</v>
      </c>
      <c r="B477" s="1">
        <v>13</v>
      </c>
      <c r="C477" s="1">
        <v>4</v>
      </c>
      <c r="D477" s="19">
        <f>IF('Boletins Nuppa Site'!G477&lt;&gt;0,'Boletins Nuppa Site'!G477,"NULL")</f>
        <v>30</v>
      </c>
      <c r="E477" s="19">
        <f>IF('Boletins Nuppa Site'!H477&lt;&gt;0,'Boletins Nuppa Site'!H477,"NULL")</f>
        <v>30</v>
      </c>
      <c r="F477" s="19">
        <f>IF('Boletins Nuppa Site'!I477&lt;&gt;0,'Boletins Nuppa Site'!I477,"NULL")</f>
        <v>36</v>
      </c>
      <c r="G477" s="1" t="str">
        <f>IF('Boletins Nuppa Site'!J477&lt;&gt;0,'Boletins Nuppa Site'!J477,"NULL")</f>
        <v>32.75</v>
      </c>
      <c r="H477" s="1" t="str">
        <f>IF('Boletins Nuppa Site'!K477&lt;&gt;0,'Boletins Nuppa Site'!K477,"NULL")</f>
        <v>32.5</v>
      </c>
      <c r="J477" s="1" t="str">
        <f t="shared" si="7"/>
        <v>INSERT INTO COTACAO (blt_id, pap_id, cot_prc_comum, cot_prc_min, cot_prc_max, cot_prc_med, cot_prc_mediana) VALUES (13, 4, 30, 30, 36, 32.75, 32.5);</v>
      </c>
    </row>
    <row r="478" spans="1:10" x14ac:dyDescent="0.3">
      <c r="A478" s="1">
        <v>477</v>
      </c>
      <c r="B478" s="1">
        <v>13</v>
      </c>
      <c r="C478" s="1">
        <v>5</v>
      </c>
      <c r="D478" s="1" t="str">
        <f>IF('Boletins Nuppa Site'!G478&lt;&gt;0,'Boletins Nuppa Site'!G478,"NULL")</f>
        <v>NULL</v>
      </c>
      <c r="E478" s="19">
        <f>IF('Boletins Nuppa Site'!H478&lt;&gt;0,'Boletins Nuppa Site'!H478,"NULL")</f>
        <v>30</v>
      </c>
      <c r="F478" s="19">
        <f>IF('Boletins Nuppa Site'!I478&lt;&gt;0,'Boletins Nuppa Site'!I478,"NULL")</f>
        <v>36</v>
      </c>
      <c r="G478" s="1" t="str">
        <f>IF('Boletins Nuppa Site'!J478&lt;&gt;0,'Boletins Nuppa Site'!J478,"NULL")</f>
        <v>33.67</v>
      </c>
      <c r="H478" s="19">
        <f>IF('Boletins Nuppa Site'!K478&lt;&gt;0,'Boletins Nuppa Site'!K478,"NULL")</f>
        <v>35</v>
      </c>
      <c r="J478" s="1" t="str">
        <f t="shared" si="7"/>
        <v>INSERT INTO COTACAO (blt_id, pap_id, cot_prc_comum, cot_prc_min, cot_prc_max, cot_prc_med, cot_prc_mediana) VALUES (13, 5, NULL, 30, 36, 33.67, 35);</v>
      </c>
    </row>
    <row r="479" spans="1:10" x14ac:dyDescent="0.3">
      <c r="A479" s="1">
        <v>478</v>
      </c>
      <c r="B479" s="1">
        <v>13</v>
      </c>
      <c r="C479" s="1">
        <v>6</v>
      </c>
      <c r="D479" s="19">
        <f>IF('Boletins Nuppa Site'!G479&lt;&gt;0,'Boletins Nuppa Site'!G479,"NULL")</f>
        <v>60</v>
      </c>
      <c r="E479" s="19">
        <f>IF('Boletins Nuppa Site'!H479&lt;&gt;0,'Boletins Nuppa Site'!H479,"NULL")</f>
        <v>60</v>
      </c>
      <c r="F479" s="19">
        <f>IF('Boletins Nuppa Site'!I479&lt;&gt;0,'Boletins Nuppa Site'!I479,"NULL")</f>
        <v>60</v>
      </c>
      <c r="G479" s="19">
        <f>IF('Boletins Nuppa Site'!J479&lt;&gt;0,'Boletins Nuppa Site'!J479,"NULL")</f>
        <v>60</v>
      </c>
      <c r="H479" s="19">
        <f>IF('Boletins Nuppa Site'!K479&lt;&gt;0,'Boletins Nuppa Site'!K479,"NULL")</f>
        <v>60</v>
      </c>
      <c r="J479" s="1" t="str">
        <f t="shared" si="7"/>
        <v>INSERT INTO COTACAO (blt_id, pap_id, cot_prc_comum, cot_prc_min, cot_prc_max, cot_prc_med, cot_prc_mediana) VALUES (13, 6, 60, 60, 60, 60, 60);</v>
      </c>
    </row>
    <row r="480" spans="1:10" x14ac:dyDescent="0.3">
      <c r="A480" s="1">
        <v>479</v>
      </c>
      <c r="B480" s="1">
        <v>13</v>
      </c>
      <c r="C480" s="1">
        <v>7</v>
      </c>
      <c r="D480" s="19">
        <f>IF('Boletins Nuppa Site'!G480&lt;&gt;0,'Boletins Nuppa Site'!G480,"NULL")</f>
        <v>84</v>
      </c>
      <c r="E480" s="19">
        <f>IF('Boletins Nuppa Site'!H480&lt;&gt;0,'Boletins Nuppa Site'!H480,"NULL")</f>
        <v>84</v>
      </c>
      <c r="F480" s="19">
        <f>IF('Boletins Nuppa Site'!I480&lt;&gt;0,'Boletins Nuppa Site'!I480,"NULL")</f>
        <v>96</v>
      </c>
      <c r="G480" s="19">
        <f>IF('Boletins Nuppa Site'!J480&lt;&gt;0,'Boletins Nuppa Site'!J480,"NULL")</f>
        <v>88</v>
      </c>
      <c r="H480" s="19">
        <f>IF('Boletins Nuppa Site'!K480&lt;&gt;0,'Boletins Nuppa Site'!K480,"NULL")</f>
        <v>84</v>
      </c>
      <c r="J480" s="1" t="str">
        <f t="shared" si="7"/>
        <v>INSERT INTO COTACAO (blt_id, pap_id, cot_prc_comum, cot_prc_min, cot_prc_max, cot_prc_med, cot_prc_mediana) VALUES (13, 7, 84, 84, 96, 88, 84);</v>
      </c>
    </row>
    <row r="481" spans="1:10" x14ac:dyDescent="0.3">
      <c r="A481" s="1">
        <v>480</v>
      </c>
      <c r="B481" s="1">
        <v>13</v>
      </c>
      <c r="C481" s="1">
        <v>8</v>
      </c>
      <c r="D481" s="19">
        <f>IF('Boletins Nuppa Site'!G481&lt;&gt;0,'Boletins Nuppa Site'!G481,"NULL")</f>
        <v>96</v>
      </c>
      <c r="E481" s="19">
        <f>IF('Boletins Nuppa Site'!H481&lt;&gt;0,'Boletins Nuppa Site'!H481,"NULL")</f>
        <v>96</v>
      </c>
      <c r="F481" s="19">
        <f>IF('Boletins Nuppa Site'!I481&lt;&gt;0,'Boletins Nuppa Site'!I481,"NULL")</f>
        <v>96</v>
      </c>
      <c r="G481" s="19">
        <f>IF('Boletins Nuppa Site'!J481&lt;&gt;0,'Boletins Nuppa Site'!J481,"NULL")</f>
        <v>96</v>
      </c>
      <c r="H481" s="19">
        <f>IF('Boletins Nuppa Site'!K481&lt;&gt;0,'Boletins Nuppa Site'!K481,"NULL")</f>
        <v>96</v>
      </c>
      <c r="J481" s="1" t="str">
        <f t="shared" si="7"/>
        <v>INSERT INTO COTACAO (blt_id, pap_id, cot_prc_comum, cot_prc_min, cot_prc_max, cot_prc_med, cot_prc_mediana) VALUES (13, 8, 96, 96, 96, 96, 96);</v>
      </c>
    </row>
    <row r="482" spans="1:10" x14ac:dyDescent="0.3">
      <c r="A482" s="1">
        <v>481</v>
      </c>
      <c r="B482" s="1">
        <v>13</v>
      </c>
      <c r="C482" s="1">
        <v>9</v>
      </c>
      <c r="D482" s="19">
        <f>IF('Boletins Nuppa Site'!G482&lt;&gt;0,'Boletins Nuppa Site'!G482,"NULL")</f>
        <v>30</v>
      </c>
      <c r="E482" s="19">
        <f>IF('Boletins Nuppa Site'!H482&lt;&gt;0,'Boletins Nuppa Site'!H482,"NULL")</f>
        <v>30</v>
      </c>
      <c r="F482" s="19">
        <f>IF('Boletins Nuppa Site'!I482&lt;&gt;0,'Boletins Nuppa Site'!I482,"NULL")</f>
        <v>36</v>
      </c>
      <c r="G482" s="1" t="str">
        <f>IF('Boletins Nuppa Site'!J482&lt;&gt;0,'Boletins Nuppa Site'!J482,"NULL")</f>
        <v>31.5</v>
      </c>
      <c r="H482" s="19">
        <f>IF('Boletins Nuppa Site'!K482&lt;&gt;0,'Boletins Nuppa Site'!K482,"NULL")</f>
        <v>30</v>
      </c>
      <c r="J482" s="1" t="str">
        <f t="shared" si="7"/>
        <v>INSERT INTO COTACAO (blt_id, pap_id, cot_prc_comum, cot_prc_min, cot_prc_max, cot_prc_med, cot_prc_mediana) VALUES (13, 9, 30, 30, 36, 31.5, 30);</v>
      </c>
    </row>
    <row r="483" spans="1:10" x14ac:dyDescent="0.3">
      <c r="A483" s="1">
        <v>482</v>
      </c>
      <c r="B483" s="1">
        <v>13</v>
      </c>
      <c r="C483" s="1">
        <v>10</v>
      </c>
      <c r="D483" s="1" t="str">
        <f>IF('Boletins Nuppa Site'!G483&lt;&gt;0,'Boletins Nuppa Site'!G483,"NULL")</f>
        <v>NULL</v>
      </c>
      <c r="E483" s="19">
        <f>IF('Boletins Nuppa Site'!H483&lt;&gt;0,'Boletins Nuppa Site'!H483,"NULL")</f>
        <v>90</v>
      </c>
      <c r="F483" s="19">
        <f>IF('Boletins Nuppa Site'!I483&lt;&gt;0,'Boletins Nuppa Site'!I483,"NULL")</f>
        <v>108</v>
      </c>
      <c r="G483" s="19">
        <f>IF('Boletins Nuppa Site'!J483&lt;&gt;0,'Boletins Nuppa Site'!J483,"NULL")</f>
        <v>98</v>
      </c>
      <c r="H483" s="19">
        <f>IF('Boletins Nuppa Site'!K483&lt;&gt;0,'Boletins Nuppa Site'!K483,"NULL")</f>
        <v>96</v>
      </c>
      <c r="J483" s="1" t="str">
        <f t="shared" si="7"/>
        <v>INSERT INTO COTACAO (blt_id, pap_id, cot_prc_comum, cot_prc_min, cot_prc_max, cot_prc_med, cot_prc_mediana) VALUES (13, 10, NULL, 90, 108, 98, 96);</v>
      </c>
    </row>
    <row r="484" spans="1:10" x14ac:dyDescent="0.3">
      <c r="A484" s="1">
        <v>483</v>
      </c>
      <c r="B484" s="1">
        <v>13</v>
      </c>
      <c r="C484" s="1">
        <v>11</v>
      </c>
      <c r="D484" s="1" t="str">
        <f>IF('Boletins Nuppa Site'!G484&lt;&gt;0,'Boletins Nuppa Site'!G484,"NULL")</f>
        <v>NULL</v>
      </c>
      <c r="E484" s="19">
        <f>IF('Boletins Nuppa Site'!H484&lt;&gt;0,'Boletins Nuppa Site'!H484,"NULL")</f>
        <v>30</v>
      </c>
      <c r="F484" s="19">
        <f>IF('Boletins Nuppa Site'!I484&lt;&gt;0,'Boletins Nuppa Site'!I484,"NULL")</f>
        <v>36</v>
      </c>
      <c r="G484" s="1" t="str">
        <f>IF('Boletins Nuppa Site'!J484&lt;&gt;0,'Boletins Nuppa Site'!J484,"NULL")</f>
        <v>33.67</v>
      </c>
      <c r="H484" s="19">
        <f>IF('Boletins Nuppa Site'!K484&lt;&gt;0,'Boletins Nuppa Site'!K484,"NULL")</f>
        <v>35</v>
      </c>
      <c r="J484" s="1" t="str">
        <f t="shared" si="7"/>
        <v>INSERT INTO COTACAO (blt_id, pap_id, cot_prc_comum, cot_prc_min, cot_prc_max, cot_prc_med, cot_prc_mediana) VALUES (13, 11, NULL, 30, 36, 33.67, 35);</v>
      </c>
    </row>
    <row r="485" spans="1:10" x14ac:dyDescent="0.3">
      <c r="A485" s="1">
        <v>484</v>
      </c>
      <c r="B485" s="1">
        <v>13</v>
      </c>
      <c r="C485" s="1">
        <v>12</v>
      </c>
      <c r="D485" s="19">
        <f>IF('Boletins Nuppa Site'!G485&lt;&gt;0,'Boletins Nuppa Site'!G485,"NULL")</f>
        <v>84</v>
      </c>
      <c r="E485" s="19">
        <f>IF('Boletins Nuppa Site'!H485&lt;&gt;0,'Boletins Nuppa Site'!H485,"NULL")</f>
        <v>84</v>
      </c>
      <c r="F485" s="19">
        <f>IF('Boletins Nuppa Site'!I485&lt;&gt;0,'Boletins Nuppa Site'!I485,"NULL")</f>
        <v>84</v>
      </c>
      <c r="G485" s="19">
        <f>IF('Boletins Nuppa Site'!J485&lt;&gt;0,'Boletins Nuppa Site'!J485,"NULL")</f>
        <v>84</v>
      </c>
      <c r="H485" s="19">
        <f>IF('Boletins Nuppa Site'!K485&lt;&gt;0,'Boletins Nuppa Site'!K485,"NULL")</f>
        <v>84</v>
      </c>
      <c r="J485" s="1" t="str">
        <f t="shared" si="7"/>
        <v>INSERT INTO COTACAO (blt_id, pap_id, cot_prc_comum, cot_prc_min, cot_prc_max, cot_prc_med, cot_prc_mediana) VALUES (13, 12, 84, 84, 84, 84, 84);</v>
      </c>
    </row>
    <row r="486" spans="1:10" x14ac:dyDescent="0.3">
      <c r="A486" s="1">
        <v>485</v>
      </c>
      <c r="B486" s="1">
        <v>13</v>
      </c>
      <c r="C486" s="1">
        <v>13</v>
      </c>
      <c r="D486" s="1" t="str">
        <f>IF('Boletins Nuppa Site'!G486&lt;&gt;0,'Boletins Nuppa Site'!G486,"NULL")</f>
        <v>NULL</v>
      </c>
      <c r="E486" s="19">
        <f>IF('Boletins Nuppa Site'!H486&lt;&gt;0,'Boletins Nuppa Site'!H486,"NULL")</f>
        <v>60</v>
      </c>
      <c r="F486" s="19">
        <f>IF('Boletins Nuppa Site'!I486&lt;&gt;0,'Boletins Nuppa Site'!I486,"NULL")</f>
        <v>72</v>
      </c>
      <c r="G486" s="1" t="str">
        <f>IF('Boletins Nuppa Site'!J486&lt;&gt;0,'Boletins Nuppa Site'!J486,"NULL")</f>
        <v>64.67</v>
      </c>
      <c r="H486" s="19">
        <f>IF('Boletins Nuppa Site'!K486&lt;&gt;0,'Boletins Nuppa Site'!K486,"NULL")</f>
        <v>62</v>
      </c>
      <c r="J486" s="1" t="str">
        <f t="shared" si="7"/>
        <v>INSERT INTO COTACAO (blt_id, pap_id, cot_prc_comum, cot_prc_min, cot_prc_max, cot_prc_med, cot_prc_mediana) VALUES (13, 13, NULL, 60, 72, 64.67, 62);</v>
      </c>
    </row>
    <row r="487" spans="1:10" x14ac:dyDescent="0.3">
      <c r="A487" s="1">
        <v>486</v>
      </c>
      <c r="B487" s="1">
        <v>13</v>
      </c>
      <c r="C487" s="1">
        <v>14</v>
      </c>
      <c r="D487" s="1" t="str">
        <f>IF('Boletins Nuppa Site'!G487&lt;&gt;0,'Boletins Nuppa Site'!G487,"NULL")</f>
        <v>NULL</v>
      </c>
      <c r="E487" s="19">
        <f>IF('Boletins Nuppa Site'!H487&lt;&gt;0,'Boletins Nuppa Site'!H487,"NULL")</f>
        <v>60</v>
      </c>
      <c r="F487" s="19">
        <f>IF('Boletins Nuppa Site'!I487&lt;&gt;0,'Boletins Nuppa Site'!I487,"NULL")</f>
        <v>100</v>
      </c>
      <c r="G487" s="1" t="str">
        <f>IF('Boletins Nuppa Site'!J487&lt;&gt;0,'Boletins Nuppa Site'!J487,"NULL")</f>
        <v>76.67</v>
      </c>
      <c r="H487" s="19">
        <f>IF('Boletins Nuppa Site'!K487&lt;&gt;0,'Boletins Nuppa Site'!K487,"NULL")</f>
        <v>70</v>
      </c>
      <c r="J487" s="1" t="str">
        <f t="shared" si="7"/>
        <v>INSERT INTO COTACAO (blt_id, pap_id, cot_prc_comum, cot_prc_min, cot_prc_max, cot_prc_med, cot_prc_mediana) VALUES (13, 14, NULL, 60, 100, 76.67, 70);</v>
      </c>
    </row>
    <row r="488" spans="1:10" x14ac:dyDescent="0.3">
      <c r="A488" s="1">
        <v>487</v>
      </c>
      <c r="B488" s="1">
        <v>13</v>
      </c>
      <c r="C488" s="1">
        <v>15</v>
      </c>
      <c r="D488" s="1" t="str">
        <f>IF('Boletins Nuppa Site'!G488&lt;&gt;0,'Boletins Nuppa Site'!G488,"NULL")</f>
        <v>NULL</v>
      </c>
      <c r="E488" s="19">
        <f>IF('Boletins Nuppa Site'!H488&lt;&gt;0,'Boletins Nuppa Site'!H488,"NULL")</f>
        <v>48</v>
      </c>
      <c r="F488" s="19">
        <f>IF('Boletins Nuppa Site'!I488&lt;&gt;0,'Boletins Nuppa Site'!I488,"NULL")</f>
        <v>60</v>
      </c>
      <c r="G488" s="1" t="str">
        <f>IF('Boletins Nuppa Site'!J488&lt;&gt;0,'Boletins Nuppa Site'!J488,"NULL")</f>
        <v>54.33</v>
      </c>
      <c r="H488" s="19">
        <f>IF('Boletins Nuppa Site'!K488&lt;&gt;0,'Boletins Nuppa Site'!K488,"NULL")</f>
        <v>55</v>
      </c>
      <c r="J488" s="1" t="str">
        <f t="shared" si="7"/>
        <v>INSERT INTO COTACAO (blt_id, pap_id, cot_prc_comum, cot_prc_min, cot_prc_max, cot_prc_med, cot_prc_mediana) VALUES (13, 15, NULL, 48, 60, 54.33, 55);</v>
      </c>
    </row>
    <row r="489" spans="1:10" x14ac:dyDescent="0.3">
      <c r="A489" s="1">
        <v>488</v>
      </c>
      <c r="B489" s="1">
        <v>13</v>
      </c>
      <c r="C489" s="1">
        <v>16</v>
      </c>
      <c r="D489" s="1" t="str">
        <f>IF('Boletins Nuppa Site'!G489&lt;&gt;0,'Boletins Nuppa Site'!G489,"NULL")</f>
        <v>NULL</v>
      </c>
      <c r="E489" s="19">
        <f>IF('Boletins Nuppa Site'!H489&lt;&gt;0,'Boletins Nuppa Site'!H489,"NULL")</f>
        <v>42</v>
      </c>
      <c r="F489" s="19">
        <f>IF('Boletins Nuppa Site'!I489&lt;&gt;0,'Boletins Nuppa Site'!I489,"NULL")</f>
        <v>54</v>
      </c>
      <c r="G489" s="19">
        <f>IF('Boletins Nuppa Site'!J489&lt;&gt;0,'Boletins Nuppa Site'!J489,"NULL")</f>
        <v>48</v>
      </c>
      <c r="H489" s="19">
        <f>IF('Boletins Nuppa Site'!K489&lt;&gt;0,'Boletins Nuppa Site'!K489,"NULL")</f>
        <v>48</v>
      </c>
      <c r="J489" s="1" t="str">
        <f t="shared" si="7"/>
        <v>INSERT INTO COTACAO (blt_id, pap_id, cot_prc_comum, cot_prc_min, cot_prc_max, cot_prc_med, cot_prc_mediana) VALUES (13, 16, NULL, 42, 54, 48, 48);</v>
      </c>
    </row>
    <row r="490" spans="1:10" x14ac:dyDescent="0.3">
      <c r="A490" s="1">
        <v>489</v>
      </c>
      <c r="B490" s="1">
        <v>13</v>
      </c>
      <c r="C490" s="1">
        <v>17</v>
      </c>
      <c r="D490" s="19">
        <f>IF('Boletins Nuppa Site'!G490&lt;&gt;0,'Boletins Nuppa Site'!G490,"NULL")</f>
        <v>6</v>
      </c>
      <c r="E490" s="1" t="str">
        <f>IF('Boletins Nuppa Site'!H490&lt;&gt;0,'Boletins Nuppa Site'!H490,"NULL")</f>
        <v>4.5</v>
      </c>
      <c r="F490" s="19">
        <f>IF('Boletins Nuppa Site'!I490&lt;&gt;0,'Boletins Nuppa Site'!I490,"NULL")</f>
        <v>6</v>
      </c>
      <c r="G490" s="1" t="str">
        <f>IF('Boletins Nuppa Site'!J490&lt;&gt;0,'Boletins Nuppa Site'!J490,"NULL")</f>
        <v>5.38</v>
      </c>
      <c r="H490" s="1" t="str">
        <f>IF('Boletins Nuppa Site'!K490&lt;&gt;0,'Boletins Nuppa Site'!K490,"NULL")</f>
        <v>5.5</v>
      </c>
      <c r="J490" s="1" t="str">
        <f t="shared" si="7"/>
        <v>INSERT INTO COTACAO (blt_id, pap_id, cot_prc_comum, cot_prc_min, cot_prc_max, cot_prc_med, cot_prc_mediana) VALUES (13, 17, 6, 4.5, 6, 5.38, 5.5);</v>
      </c>
    </row>
    <row r="491" spans="1:10" x14ac:dyDescent="0.3">
      <c r="A491" s="1">
        <v>490</v>
      </c>
      <c r="B491" s="1">
        <v>13</v>
      </c>
      <c r="C491" s="1">
        <v>18</v>
      </c>
      <c r="D491" s="19">
        <f>IF('Boletins Nuppa Site'!G491&lt;&gt;0,'Boletins Nuppa Site'!G491,"NULL")</f>
        <v>30</v>
      </c>
      <c r="E491" s="19">
        <f>IF('Boletins Nuppa Site'!H491&lt;&gt;0,'Boletins Nuppa Site'!H491,"NULL")</f>
        <v>20</v>
      </c>
      <c r="F491" s="19">
        <f>IF('Boletins Nuppa Site'!I491&lt;&gt;0,'Boletins Nuppa Site'!I491,"NULL")</f>
        <v>30</v>
      </c>
      <c r="G491" s="19">
        <f>IF('Boletins Nuppa Site'!J491&lt;&gt;0,'Boletins Nuppa Site'!J491,"NULL")</f>
        <v>27</v>
      </c>
      <c r="H491" s="19">
        <f>IF('Boletins Nuppa Site'!K491&lt;&gt;0,'Boletins Nuppa Site'!K491,"NULL")</f>
        <v>29</v>
      </c>
      <c r="J491" s="1" t="str">
        <f t="shared" si="7"/>
        <v>INSERT INTO COTACAO (blt_id, pap_id, cot_prc_comum, cot_prc_min, cot_prc_max, cot_prc_med, cot_prc_mediana) VALUES (13, 18, 30, 20, 30, 27, 29);</v>
      </c>
    </row>
    <row r="492" spans="1:10" x14ac:dyDescent="0.3">
      <c r="A492" s="1">
        <v>491</v>
      </c>
      <c r="B492" s="1">
        <v>13</v>
      </c>
      <c r="C492" s="1">
        <v>19</v>
      </c>
      <c r="D492" s="19">
        <f>IF('Boletins Nuppa Site'!G492&lt;&gt;0,'Boletins Nuppa Site'!G492,"NULL")</f>
        <v>30</v>
      </c>
      <c r="E492" s="19">
        <f>IF('Boletins Nuppa Site'!H492&lt;&gt;0,'Boletins Nuppa Site'!H492,"NULL")</f>
        <v>30</v>
      </c>
      <c r="F492" s="19">
        <f>IF('Boletins Nuppa Site'!I492&lt;&gt;0,'Boletins Nuppa Site'!I492,"NULL")</f>
        <v>40</v>
      </c>
      <c r="G492" s="1" t="str">
        <f>IF('Boletins Nuppa Site'!J492&lt;&gt;0,'Boletins Nuppa Site'!J492,"NULL")</f>
        <v>33.75</v>
      </c>
      <c r="H492" s="1" t="str">
        <f>IF('Boletins Nuppa Site'!K492&lt;&gt;0,'Boletins Nuppa Site'!K492,"NULL")</f>
        <v>32.5</v>
      </c>
      <c r="J492" s="1" t="str">
        <f t="shared" si="7"/>
        <v>INSERT INTO COTACAO (blt_id, pap_id, cot_prc_comum, cot_prc_min, cot_prc_max, cot_prc_med, cot_prc_mediana) VALUES (13, 19, 30, 30, 40, 33.75, 32.5);</v>
      </c>
    </row>
    <row r="493" spans="1:10" x14ac:dyDescent="0.3">
      <c r="A493" s="1">
        <v>492</v>
      </c>
      <c r="B493" s="1">
        <v>13</v>
      </c>
      <c r="C493" s="1">
        <v>20</v>
      </c>
      <c r="D493" s="19">
        <f>IF('Boletins Nuppa Site'!G493&lt;&gt;0,'Boletins Nuppa Site'!G493,"NULL")</f>
        <v>110</v>
      </c>
      <c r="E493" s="19">
        <f>IF('Boletins Nuppa Site'!H493&lt;&gt;0,'Boletins Nuppa Site'!H493,"NULL")</f>
        <v>110</v>
      </c>
      <c r="F493" s="19">
        <f>IF('Boletins Nuppa Site'!I493&lt;&gt;0,'Boletins Nuppa Site'!I493,"NULL")</f>
        <v>120</v>
      </c>
      <c r="G493" s="1" t="str">
        <f>IF('Boletins Nuppa Site'!J493&lt;&gt;0,'Boletins Nuppa Site'!J493,"NULL")</f>
        <v>113.33</v>
      </c>
      <c r="H493" s="19">
        <f>IF('Boletins Nuppa Site'!K493&lt;&gt;0,'Boletins Nuppa Site'!K493,"NULL")</f>
        <v>110</v>
      </c>
      <c r="J493" s="1" t="str">
        <f t="shared" si="7"/>
        <v>INSERT INTO COTACAO (blt_id, pap_id, cot_prc_comum, cot_prc_min, cot_prc_max, cot_prc_med, cot_prc_mediana) VALUES (13, 20, 110, 110, 120, 113.33, 110);</v>
      </c>
    </row>
    <row r="494" spans="1:10" x14ac:dyDescent="0.3">
      <c r="A494" s="1">
        <v>493</v>
      </c>
      <c r="B494" s="1">
        <v>13</v>
      </c>
      <c r="C494" s="1">
        <v>21</v>
      </c>
      <c r="D494" s="1" t="str">
        <f>IF('Boletins Nuppa Site'!G494&lt;&gt;0,'Boletins Nuppa Site'!G494,"NULL")</f>
        <v>NULL</v>
      </c>
      <c r="E494" s="19">
        <f>IF('Boletins Nuppa Site'!H494&lt;&gt;0,'Boletins Nuppa Site'!H494,"NULL")</f>
        <v>60</v>
      </c>
      <c r="F494" s="19">
        <f>IF('Boletins Nuppa Site'!I494&lt;&gt;0,'Boletins Nuppa Site'!I494,"NULL")</f>
        <v>80</v>
      </c>
      <c r="G494" s="1" t="str">
        <f>IF('Boletins Nuppa Site'!J494&lt;&gt;0,'Boletins Nuppa Site'!J494,"NULL")</f>
        <v>68.75</v>
      </c>
      <c r="H494" s="1" t="str">
        <f>IF('Boletins Nuppa Site'!K494&lt;&gt;0,'Boletins Nuppa Site'!K494,"NULL")</f>
        <v>67.5</v>
      </c>
      <c r="J494" s="1" t="str">
        <f t="shared" si="7"/>
        <v>INSERT INTO COTACAO (blt_id, pap_id, cot_prc_comum, cot_prc_min, cot_prc_max, cot_prc_med, cot_prc_mediana) VALUES (13, 21, NULL, 60, 80, 68.75, 67.5);</v>
      </c>
    </row>
    <row r="495" spans="1:10" x14ac:dyDescent="0.3">
      <c r="A495" s="1">
        <v>494</v>
      </c>
      <c r="B495" s="1">
        <v>13</v>
      </c>
      <c r="C495" s="1">
        <v>22</v>
      </c>
      <c r="D495" s="19">
        <f>IF('Boletins Nuppa Site'!G495&lt;&gt;0,'Boletins Nuppa Site'!G495,"NULL")</f>
        <v>75</v>
      </c>
      <c r="E495" s="19">
        <f>IF('Boletins Nuppa Site'!H495&lt;&gt;0,'Boletins Nuppa Site'!H495,"NULL")</f>
        <v>50</v>
      </c>
      <c r="F495" s="19">
        <f>IF('Boletins Nuppa Site'!I495&lt;&gt;0,'Boletins Nuppa Site'!I495,"NULL")</f>
        <v>75</v>
      </c>
      <c r="G495" s="19">
        <f>IF('Boletins Nuppa Site'!J495&lt;&gt;0,'Boletins Nuppa Site'!J495,"NULL")</f>
        <v>69</v>
      </c>
      <c r="H495" s="19">
        <f>IF('Boletins Nuppa Site'!K495&lt;&gt;0,'Boletins Nuppa Site'!K495,"NULL")</f>
        <v>75</v>
      </c>
      <c r="J495" s="1" t="str">
        <f t="shared" si="7"/>
        <v>INSERT INTO COTACAO (blt_id, pap_id, cot_prc_comum, cot_prc_min, cot_prc_max, cot_prc_med, cot_prc_mediana) VALUES (13, 22, 75, 50, 75, 69, 75);</v>
      </c>
    </row>
    <row r="496" spans="1:10" x14ac:dyDescent="0.3">
      <c r="A496" s="1">
        <v>495</v>
      </c>
      <c r="B496" s="1">
        <v>13</v>
      </c>
      <c r="C496" s="1">
        <v>23</v>
      </c>
      <c r="D496" s="19">
        <f>IF('Boletins Nuppa Site'!G496&lt;&gt;0,'Boletins Nuppa Site'!G496,"NULL")</f>
        <v>45</v>
      </c>
      <c r="E496" s="19">
        <f>IF('Boletins Nuppa Site'!H496&lt;&gt;0,'Boletins Nuppa Site'!H496,"NULL")</f>
        <v>30</v>
      </c>
      <c r="F496" s="19">
        <f>IF('Boletins Nuppa Site'!I496&lt;&gt;0,'Boletins Nuppa Site'!I496,"NULL")</f>
        <v>50</v>
      </c>
      <c r="G496" s="19">
        <f>IF('Boletins Nuppa Site'!J496&lt;&gt;0,'Boletins Nuppa Site'!J496,"NULL")</f>
        <v>44</v>
      </c>
      <c r="H496" s="19">
        <f>IF('Boletins Nuppa Site'!K496&lt;&gt;0,'Boletins Nuppa Site'!K496,"NULL")</f>
        <v>45</v>
      </c>
      <c r="J496" s="1" t="str">
        <f t="shared" si="7"/>
        <v>INSERT INTO COTACAO (blt_id, pap_id, cot_prc_comum, cot_prc_min, cot_prc_max, cot_prc_med, cot_prc_mediana) VALUES (13, 23, 45, 30, 50, 44, 45);</v>
      </c>
    </row>
    <row r="497" spans="1:10" x14ac:dyDescent="0.3">
      <c r="A497" s="1">
        <v>496</v>
      </c>
      <c r="B497" s="1">
        <v>13</v>
      </c>
      <c r="C497" s="1">
        <v>24</v>
      </c>
      <c r="D497" s="1" t="str">
        <f>IF('Boletins Nuppa Site'!G497&lt;&gt;0,'Boletins Nuppa Site'!G497,"NULL")</f>
        <v>NULL</v>
      </c>
      <c r="E497" s="19">
        <f>IF('Boletins Nuppa Site'!H497&lt;&gt;0,'Boletins Nuppa Site'!H497,"NULL")</f>
        <v>110</v>
      </c>
      <c r="F497" s="19">
        <f>IF('Boletins Nuppa Site'!I497&lt;&gt;0,'Boletins Nuppa Site'!I497,"NULL")</f>
        <v>110</v>
      </c>
      <c r="G497" s="19">
        <f>IF('Boletins Nuppa Site'!J497&lt;&gt;0,'Boletins Nuppa Site'!J497,"NULL")</f>
        <v>110</v>
      </c>
      <c r="H497" s="19">
        <f>IF('Boletins Nuppa Site'!K497&lt;&gt;0,'Boletins Nuppa Site'!K497,"NULL")</f>
        <v>110</v>
      </c>
      <c r="J497" s="1" t="str">
        <f t="shared" si="7"/>
        <v>INSERT INTO COTACAO (blt_id, pap_id, cot_prc_comum, cot_prc_min, cot_prc_max, cot_prc_med, cot_prc_mediana) VALUES (13, 24, NULL, 110, 110, 110, 110);</v>
      </c>
    </row>
    <row r="498" spans="1:10" x14ac:dyDescent="0.3">
      <c r="A498" s="1">
        <v>497</v>
      </c>
      <c r="B498" s="1">
        <v>13</v>
      </c>
      <c r="C498" s="1">
        <v>25</v>
      </c>
      <c r="D498" s="19">
        <f>IF('Boletins Nuppa Site'!G498&lt;&gt;0,'Boletins Nuppa Site'!G498,"NULL")</f>
        <v>130</v>
      </c>
      <c r="E498" s="19">
        <f>IF('Boletins Nuppa Site'!H498&lt;&gt;0,'Boletins Nuppa Site'!H498,"NULL")</f>
        <v>80</v>
      </c>
      <c r="F498" s="19">
        <f>IF('Boletins Nuppa Site'!I498&lt;&gt;0,'Boletins Nuppa Site'!I498,"NULL")</f>
        <v>150</v>
      </c>
      <c r="G498" s="1" t="str">
        <f>IF('Boletins Nuppa Site'!J498&lt;&gt;0,'Boletins Nuppa Site'!J498,"NULL")</f>
        <v>122.5</v>
      </c>
      <c r="H498" s="19">
        <f>IF('Boletins Nuppa Site'!K498&lt;&gt;0,'Boletins Nuppa Site'!K498,"NULL")</f>
        <v>130</v>
      </c>
      <c r="J498" s="1" t="str">
        <f t="shared" si="7"/>
        <v>INSERT INTO COTACAO (blt_id, pap_id, cot_prc_comum, cot_prc_min, cot_prc_max, cot_prc_med, cot_prc_mediana) VALUES (13, 25, 130, 80, 150, 122.5, 130);</v>
      </c>
    </row>
    <row r="499" spans="1:10" x14ac:dyDescent="0.3">
      <c r="A499" s="1">
        <v>498</v>
      </c>
      <c r="B499" s="1">
        <v>13</v>
      </c>
      <c r="C499" s="1">
        <v>26</v>
      </c>
      <c r="D499" s="19">
        <f>IF('Boletins Nuppa Site'!G499&lt;&gt;0,'Boletins Nuppa Site'!G499,"NULL")</f>
        <v>140</v>
      </c>
      <c r="E499" s="19">
        <f>IF('Boletins Nuppa Site'!H499&lt;&gt;0,'Boletins Nuppa Site'!H499,"NULL")</f>
        <v>80</v>
      </c>
      <c r="F499" s="19">
        <f>IF('Boletins Nuppa Site'!I499&lt;&gt;0,'Boletins Nuppa Site'!I499,"NULL")</f>
        <v>170</v>
      </c>
      <c r="G499" s="19">
        <f>IF('Boletins Nuppa Site'!J499&lt;&gt;0,'Boletins Nuppa Site'!J499,"NULL")</f>
        <v>138</v>
      </c>
      <c r="H499" s="19">
        <f>IF('Boletins Nuppa Site'!K499&lt;&gt;0,'Boletins Nuppa Site'!K499,"NULL")</f>
        <v>140</v>
      </c>
      <c r="J499" s="1" t="str">
        <f t="shared" si="7"/>
        <v>INSERT INTO COTACAO (blt_id, pap_id, cot_prc_comum, cot_prc_min, cot_prc_max, cot_prc_med, cot_prc_mediana) VALUES (13, 26, 140, 80, 170, 138, 140);</v>
      </c>
    </row>
    <row r="500" spans="1:10" x14ac:dyDescent="0.3">
      <c r="A500" s="1">
        <v>499</v>
      </c>
      <c r="B500" s="1">
        <v>13</v>
      </c>
      <c r="C500" s="1">
        <v>27</v>
      </c>
      <c r="D500" s="19">
        <f>IF('Boletins Nuppa Site'!G500&lt;&gt;0,'Boletins Nuppa Site'!G500,"NULL")</f>
        <v>60</v>
      </c>
      <c r="E500" s="19">
        <f>IF('Boletins Nuppa Site'!H500&lt;&gt;0,'Boletins Nuppa Site'!H500,"NULL")</f>
        <v>50</v>
      </c>
      <c r="F500" s="19">
        <f>IF('Boletins Nuppa Site'!I500&lt;&gt;0,'Boletins Nuppa Site'!I500,"NULL")</f>
        <v>70</v>
      </c>
      <c r="G500" s="19">
        <f>IF('Boletins Nuppa Site'!J500&lt;&gt;0,'Boletins Nuppa Site'!J500,"NULL")</f>
        <v>59</v>
      </c>
      <c r="H500" s="19">
        <f>IF('Boletins Nuppa Site'!K500&lt;&gt;0,'Boletins Nuppa Site'!K500,"NULL")</f>
        <v>60</v>
      </c>
      <c r="J500" s="1" t="str">
        <f t="shared" si="7"/>
        <v>INSERT INTO COTACAO (blt_id, pap_id, cot_prc_comum, cot_prc_min, cot_prc_max, cot_prc_med, cot_prc_mediana) VALUES (13, 27, 60, 50, 70, 59, 60);</v>
      </c>
    </row>
    <row r="501" spans="1:10" x14ac:dyDescent="0.3">
      <c r="A501" s="1">
        <v>500</v>
      </c>
      <c r="B501" s="1">
        <v>13</v>
      </c>
      <c r="C501" s="1">
        <v>28</v>
      </c>
      <c r="D501" s="1" t="str">
        <f>IF('Boletins Nuppa Site'!G501&lt;&gt;0,'Boletins Nuppa Site'!G501,"NULL")</f>
        <v>NULL</v>
      </c>
      <c r="E501" s="19">
        <f>IF('Boletins Nuppa Site'!H501&lt;&gt;0,'Boletins Nuppa Site'!H501,"NULL")</f>
        <v>80</v>
      </c>
      <c r="F501" s="19">
        <f>IF('Boletins Nuppa Site'!I501&lt;&gt;0,'Boletins Nuppa Site'!I501,"NULL")</f>
        <v>120</v>
      </c>
      <c r="G501" s="1" t="str">
        <f>IF('Boletins Nuppa Site'!J501&lt;&gt;0,'Boletins Nuppa Site'!J501,"NULL")</f>
        <v>96.67</v>
      </c>
      <c r="H501" s="19">
        <f>IF('Boletins Nuppa Site'!K501&lt;&gt;0,'Boletins Nuppa Site'!K501,"NULL")</f>
        <v>90</v>
      </c>
      <c r="J501" s="1" t="str">
        <f t="shared" si="7"/>
        <v>INSERT INTO COTACAO (blt_id, pap_id, cot_prc_comum, cot_prc_min, cot_prc_max, cot_prc_med, cot_prc_mediana) VALUES (13, 28, NULL, 80, 120, 96.67, 90);</v>
      </c>
    </row>
    <row r="502" spans="1:10" x14ac:dyDescent="0.3">
      <c r="A502" s="1">
        <v>501</v>
      </c>
      <c r="B502" s="1">
        <v>13</v>
      </c>
      <c r="C502" s="1">
        <v>29</v>
      </c>
      <c r="D502" s="1" t="str">
        <f>IF('Boletins Nuppa Site'!G502&lt;&gt;0,'Boletins Nuppa Site'!G502,"NULL")</f>
        <v>NULL</v>
      </c>
      <c r="E502" s="1" t="str">
        <f>IF('Boletins Nuppa Site'!H502&lt;&gt;0,'Boletins Nuppa Site'!H502,"NULL")</f>
        <v>NULL</v>
      </c>
      <c r="F502" s="1" t="str">
        <f>IF('Boletins Nuppa Site'!I502&lt;&gt;0,'Boletins Nuppa Site'!I502,"NULL")</f>
        <v>NULL</v>
      </c>
      <c r="G502" s="1" t="str">
        <f>IF('Boletins Nuppa Site'!J502&lt;&gt;0,'Boletins Nuppa Site'!J502,"NULL")</f>
        <v>NULL</v>
      </c>
      <c r="H502" s="1" t="str">
        <f>IF('Boletins Nuppa Site'!K502&lt;&gt;0,'Boletins Nuppa Site'!K502,"NULL")</f>
        <v>NULL</v>
      </c>
      <c r="J502" s="1" t="str">
        <f t="shared" si="7"/>
        <v>INSERT INTO COTACAO (blt_id, pap_id, cot_prc_comum, cot_prc_min, cot_prc_max, cot_prc_med, cot_prc_mediana) VALUES (13, 29, NULL, NULL, NULL, NULL, NULL);</v>
      </c>
    </row>
    <row r="503" spans="1:10" x14ac:dyDescent="0.3">
      <c r="A503" s="1">
        <v>502</v>
      </c>
      <c r="B503" s="1">
        <v>13</v>
      </c>
      <c r="C503" s="1">
        <v>30</v>
      </c>
      <c r="D503" s="19">
        <f>IF('Boletins Nuppa Site'!G503&lt;&gt;0,'Boletins Nuppa Site'!G503,"NULL")</f>
        <v>70</v>
      </c>
      <c r="E503" s="19">
        <f>IF('Boletins Nuppa Site'!H503&lt;&gt;0,'Boletins Nuppa Site'!H503,"NULL")</f>
        <v>60</v>
      </c>
      <c r="F503" s="19">
        <f>IF('Boletins Nuppa Site'!I503&lt;&gt;0,'Boletins Nuppa Site'!I503,"NULL")</f>
        <v>80</v>
      </c>
      <c r="G503" s="19">
        <f>IF('Boletins Nuppa Site'!J503&lt;&gt;0,'Boletins Nuppa Site'!J503,"NULL")</f>
        <v>70</v>
      </c>
      <c r="H503" s="19">
        <f>IF('Boletins Nuppa Site'!K503&lt;&gt;0,'Boletins Nuppa Site'!K503,"NULL")</f>
        <v>70</v>
      </c>
      <c r="J503" s="1" t="str">
        <f t="shared" si="7"/>
        <v>INSERT INTO COTACAO (blt_id, pap_id, cot_prc_comum, cot_prc_min, cot_prc_max, cot_prc_med, cot_prc_mediana) VALUES (13, 30, 70, 60, 80, 70, 70);</v>
      </c>
    </row>
    <row r="504" spans="1:10" x14ac:dyDescent="0.3">
      <c r="A504" s="1">
        <v>503</v>
      </c>
      <c r="B504" s="1">
        <v>13</v>
      </c>
      <c r="C504" s="1">
        <v>31</v>
      </c>
      <c r="D504" s="19">
        <f>IF('Boletins Nuppa Site'!G504&lt;&gt;0,'Boletins Nuppa Site'!G504,"NULL")</f>
        <v>90</v>
      </c>
      <c r="E504" s="19">
        <f>IF('Boletins Nuppa Site'!H504&lt;&gt;0,'Boletins Nuppa Site'!H504,"NULL")</f>
        <v>80</v>
      </c>
      <c r="F504" s="19">
        <f>IF('Boletins Nuppa Site'!I504&lt;&gt;0,'Boletins Nuppa Site'!I504,"NULL")</f>
        <v>100</v>
      </c>
      <c r="G504" s="19">
        <f>IF('Boletins Nuppa Site'!J504&lt;&gt;0,'Boletins Nuppa Site'!J504,"NULL")</f>
        <v>89</v>
      </c>
      <c r="H504" s="19">
        <f>IF('Boletins Nuppa Site'!K504&lt;&gt;0,'Boletins Nuppa Site'!K504,"NULL")</f>
        <v>90</v>
      </c>
      <c r="J504" s="1" t="str">
        <f t="shared" si="7"/>
        <v>INSERT INTO COTACAO (blt_id, pap_id, cot_prc_comum, cot_prc_min, cot_prc_max, cot_prc_med, cot_prc_mediana) VALUES (13, 31, 90, 80, 100, 89, 90);</v>
      </c>
    </row>
    <row r="505" spans="1:10" x14ac:dyDescent="0.3">
      <c r="A505" s="1">
        <v>504</v>
      </c>
      <c r="B505" s="1">
        <v>13</v>
      </c>
      <c r="C505" s="1">
        <v>32</v>
      </c>
      <c r="D505" s="19">
        <f>IF('Boletins Nuppa Site'!G505&lt;&gt;0,'Boletins Nuppa Site'!G505,"NULL")</f>
        <v>70</v>
      </c>
      <c r="E505" s="19">
        <f>IF('Boletins Nuppa Site'!H505&lt;&gt;0,'Boletins Nuppa Site'!H505,"NULL")</f>
        <v>45</v>
      </c>
      <c r="F505" s="19">
        <f>IF('Boletins Nuppa Site'!I505&lt;&gt;0,'Boletins Nuppa Site'!I505,"NULL")</f>
        <v>100</v>
      </c>
      <c r="G505" s="1" t="str">
        <f>IF('Boletins Nuppa Site'!J505&lt;&gt;0,'Boletins Nuppa Site'!J505,"NULL")</f>
        <v>68.6</v>
      </c>
      <c r="H505" s="19">
        <f>IF('Boletins Nuppa Site'!K505&lt;&gt;0,'Boletins Nuppa Site'!K505,"NULL")</f>
        <v>70</v>
      </c>
      <c r="J505" s="1" t="str">
        <f t="shared" si="7"/>
        <v>INSERT INTO COTACAO (blt_id, pap_id, cot_prc_comum, cot_prc_min, cot_prc_max, cot_prc_med, cot_prc_mediana) VALUES (13, 32, 70, 45, 100, 68.6, 70);</v>
      </c>
    </row>
    <row r="506" spans="1:10" x14ac:dyDescent="0.3">
      <c r="A506" s="1">
        <v>505</v>
      </c>
      <c r="B506" s="1">
        <v>13</v>
      </c>
      <c r="C506" s="1">
        <v>33</v>
      </c>
      <c r="D506" s="19">
        <f>IF('Boletins Nuppa Site'!G506&lt;&gt;0,'Boletins Nuppa Site'!G506,"NULL")</f>
        <v>120</v>
      </c>
      <c r="E506" s="19">
        <f>IF('Boletins Nuppa Site'!H506&lt;&gt;0,'Boletins Nuppa Site'!H506,"NULL")</f>
        <v>100</v>
      </c>
      <c r="F506" s="19">
        <f>IF('Boletins Nuppa Site'!I506&lt;&gt;0,'Boletins Nuppa Site'!I506,"NULL")</f>
        <v>120</v>
      </c>
      <c r="G506" s="19">
        <f>IF('Boletins Nuppa Site'!J506&lt;&gt;0,'Boletins Nuppa Site'!J506,"NULL")</f>
        <v>112</v>
      </c>
      <c r="H506" s="19">
        <f>IF('Boletins Nuppa Site'!K506&lt;&gt;0,'Boletins Nuppa Site'!K506,"NULL")</f>
        <v>120</v>
      </c>
      <c r="J506" s="1" t="str">
        <f t="shared" si="7"/>
        <v>INSERT INTO COTACAO (blt_id, pap_id, cot_prc_comum, cot_prc_min, cot_prc_max, cot_prc_med, cot_prc_mediana) VALUES (13, 33, 120, 100, 120, 112, 120);</v>
      </c>
    </row>
    <row r="507" spans="1:10" x14ac:dyDescent="0.3">
      <c r="A507" s="1">
        <v>506</v>
      </c>
      <c r="B507" s="1">
        <v>13</v>
      </c>
      <c r="C507" s="1">
        <v>34</v>
      </c>
      <c r="D507" s="1" t="str">
        <f>IF('Boletins Nuppa Site'!G507&lt;&gt;0,'Boletins Nuppa Site'!G507,"NULL")</f>
        <v>NULL</v>
      </c>
      <c r="E507" s="19">
        <f>IF('Boletins Nuppa Site'!H507&lt;&gt;0,'Boletins Nuppa Site'!H507,"NULL")</f>
        <v>65</v>
      </c>
      <c r="F507" s="19">
        <f>IF('Boletins Nuppa Site'!I507&lt;&gt;0,'Boletins Nuppa Site'!I507,"NULL")</f>
        <v>130</v>
      </c>
      <c r="G507" s="1" t="str">
        <f>IF('Boletins Nuppa Site'!J507&lt;&gt;0,'Boletins Nuppa Site'!J507,"NULL")</f>
        <v>91.25</v>
      </c>
      <c r="H507" s="19">
        <f>IF('Boletins Nuppa Site'!K507&lt;&gt;0,'Boletins Nuppa Site'!K507,"NULL")</f>
        <v>85</v>
      </c>
      <c r="J507" s="1" t="str">
        <f t="shared" si="7"/>
        <v>INSERT INTO COTACAO (blt_id, pap_id, cot_prc_comum, cot_prc_min, cot_prc_max, cot_prc_med, cot_prc_mediana) VALUES (13, 34, NULL, 65, 130, 91.25, 85);</v>
      </c>
    </row>
    <row r="508" spans="1:10" x14ac:dyDescent="0.3">
      <c r="A508" s="1">
        <v>507</v>
      </c>
      <c r="B508" s="1">
        <v>13</v>
      </c>
      <c r="C508" s="1">
        <v>35</v>
      </c>
      <c r="D508" s="19">
        <f>IF('Boletins Nuppa Site'!G508&lt;&gt;0,'Boletins Nuppa Site'!G508,"NULL")</f>
        <v>130</v>
      </c>
      <c r="E508" s="19">
        <f>IF('Boletins Nuppa Site'!H508&lt;&gt;0,'Boletins Nuppa Site'!H508,"NULL")</f>
        <v>130</v>
      </c>
      <c r="F508" s="19">
        <f>IF('Boletins Nuppa Site'!I508&lt;&gt;0,'Boletins Nuppa Site'!I508,"NULL")</f>
        <v>150</v>
      </c>
      <c r="G508" s="1" t="str">
        <f>IF('Boletins Nuppa Site'!J508&lt;&gt;0,'Boletins Nuppa Site'!J508,"NULL")</f>
        <v>136.67</v>
      </c>
      <c r="H508" s="19">
        <f>IF('Boletins Nuppa Site'!K508&lt;&gt;0,'Boletins Nuppa Site'!K508,"NULL")</f>
        <v>130</v>
      </c>
      <c r="J508" s="1" t="str">
        <f t="shared" si="7"/>
        <v>INSERT INTO COTACAO (blt_id, pap_id, cot_prc_comum, cot_prc_min, cot_prc_max, cot_prc_med, cot_prc_mediana) VALUES (13, 35, 130, 130, 150, 136.67, 130);</v>
      </c>
    </row>
    <row r="509" spans="1:10" x14ac:dyDescent="0.3">
      <c r="A509" s="1">
        <v>508</v>
      </c>
      <c r="B509" s="1">
        <v>13</v>
      </c>
      <c r="C509" s="1">
        <v>36</v>
      </c>
      <c r="D509" s="1" t="str">
        <f>IF('Boletins Nuppa Site'!G509&lt;&gt;0,'Boletins Nuppa Site'!G509,"NULL")</f>
        <v>NULL</v>
      </c>
      <c r="E509" s="19">
        <f>IF('Boletins Nuppa Site'!H509&lt;&gt;0,'Boletins Nuppa Site'!H509,"NULL")</f>
        <v>65</v>
      </c>
      <c r="F509" s="19">
        <f>IF('Boletins Nuppa Site'!I509&lt;&gt;0,'Boletins Nuppa Site'!I509,"NULL")</f>
        <v>65</v>
      </c>
      <c r="G509" s="19">
        <f>IF('Boletins Nuppa Site'!J509&lt;&gt;0,'Boletins Nuppa Site'!J509,"NULL")</f>
        <v>65</v>
      </c>
      <c r="H509" s="19">
        <f>IF('Boletins Nuppa Site'!K509&lt;&gt;0,'Boletins Nuppa Site'!K509,"NULL")</f>
        <v>65</v>
      </c>
      <c r="J509" s="1" t="str">
        <f t="shared" si="7"/>
        <v>INSERT INTO COTACAO (blt_id, pap_id, cot_prc_comum, cot_prc_min, cot_prc_max, cot_prc_med, cot_prc_mediana) VALUES (13, 36, NULL, 65, 65, 65, 65);</v>
      </c>
    </row>
    <row r="510" spans="1:10" x14ac:dyDescent="0.3">
      <c r="A510" s="1">
        <v>509</v>
      </c>
      <c r="B510" s="1">
        <v>13</v>
      </c>
      <c r="C510" s="1">
        <v>37</v>
      </c>
      <c r="D510" s="1" t="str">
        <f>IF('Boletins Nuppa Site'!G510&lt;&gt;0,'Boletins Nuppa Site'!G510,"NULL")</f>
        <v>NULL</v>
      </c>
      <c r="E510" s="19">
        <f>IF('Boletins Nuppa Site'!H510&lt;&gt;0,'Boletins Nuppa Site'!H510,"NULL")</f>
        <v>75</v>
      </c>
      <c r="F510" s="19">
        <f>IF('Boletins Nuppa Site'!I510&lt;&gt;0,'Boletins Nuppa Site'!I510,"NULL")</f>
        <v>124</v>
      </c>
      <c r="G510" s="1" t="str">
        <f>IF('Boletins Nuppa Site'!J510&lt;&gt;0,'Boletins Nuppa Site'!J510,"NULL")</f>
        <v>99.5</v>
      </c>
      <c r="H510" s="1" t="str">
        <f>IF('Boletins Nuppa Site'!K510&lt;&gt;0,'Boletins Nuppa Site'!K510,"NULL")</f>
        <v>99.5</v>
      </c>
      <c r="J510" s="1" t="str">
        <f t="shared" si="7"/>
        <v>INSERT INTO COTACAO (blt_id, pap_id, cot_prc_comum, cot_prc_min, cot_prc_max, cot_prc_med, cot_prc_mediana) VALUES (13, 37, NULL, 75, 124, 99.5, 99.5);</v>
      </c>
    </row>
    <row r="511" spans="1:10" x14ac:dyDescent="0.3">
      <c r="A511" s="1">
        <v>510</v>
      </c>
      <c r="B511" s="1">
        <v>13</v>
      </c>
      <c r="C511" s="1">
        <v>38</v>
      </c>
      <c r="D511" s="1" t="str">
        <f>IF('Boletins Nuppa Site'!G511&lt;&gt;0,'Boletins Nuppa Site'!G511,"NULL")</f>
        <v>NULL</v>
      </c>
      <c r="E511" s="19">
        <f>IF('Boletins Nuppa Site'!H511&lt;&gt;0,'Boletins Nuppa Site'!H511,"NULL")</f>
        <v>45</v>
      </c>
      <c r="F511" s="19">
        <f>IF('Boletins Nuppa Site'!I511&lt;&gt;0,'Boletins Nuppa Site'!I511,"NULL")</f>
        <v>70</v>
      </c>
      <c r="G511" s="1" t="str">
        <f>IF('Boletins Nuppa Site'!J511&lt;&gt;0,'Boletins Nuppa Site'!J511,"NULL")</f>
        <v>57.5</v>
      </c>
      <c r="H511" s="1" t="str">
        <f>IF('Boletins Nuppa Site'!K511&lt;&gt;0,'Boletins Nuppa Site'!K511,"NULL")</f>
        <v>57.5</v>
      </c>
      <c r="J511" s="1" t="str">
        <f t="shared" si="7"/>
        <v>INSERT INTO COTACAO (blt_id, pap_id, cot_prc_comum, cot_prc_min, cot_prc_max, cot_prc_med, cot_prc_mediana) VALUES (13, 38, NULL, 45, 70, 57.5, 57.5);</v>
      </c>
    </row>
    <row r="512" spans="1:10" x14ac:dyDescent="0.3">
      <c r="A512" s="1">
        <v>511</v>
      </c>
      <c r="B512" s="1">
        <v>13</v>
      </c>
      <c r="C512" s="1">
        <v>39</v>
      </c>
      <c r="D512" s="1" t="str">
        <f>IF('Boletins Nuppa Site'!G512&lt;&gt;0,'Boletins Nuppa Site'!G512,"NULL")</f>
        <v>NULL</v>
      </c>
      <c r="E512" s="19">
        <f>IF('Boletins Nuppa Site'!H512&lt;&gt;0,'Boletins Nuppa Site'!H512,"NULL")</f>
        <v>50</v>
      </c>
      <c r="F512" s="19">
        <f>IF('Boletins Nuppa Site'!I512&lt;&gt;0,'Boletins Nuppa Site'!I512,"NULL")</f>
        <v>50</v>
      </c>
      <c r="G512" s="19">
        <f>IF('Boletins Nuppa Site'!J512&lt;&gt;0,'Boletins Nuppa Site'!J512,"NULL")</f>
        <v>50</v>
      </c>
      <c r="H512" s="19">
        <f>IF('Boletins Nuppa Site'!K512&lt;&gt;0,'Boletins Nuppa Site'!K512,"NULL")</f>
        <v>50</v>
      </c>
      <c r="J512" s="1" t="str">
        <f t="shared" si="7"/>
        <v>INSERT INTO COTACAO (blt_id, pap_id, cot_prc_comum, cot_prc_min, cot_prc_max, cot_prc_med, cot_prc_mediana) VALUES (13, 39, NULL, 50, 50, 50, 50);</v>
      </c>
    </row>
    <row r="513" spans="1:10" x14ac:dyDescent="0.3">
      <c r="A513" s="1">
        <v>512</v>
      </c>
      <c r="B513" s="1">
        <v>13</v>
      </c>
      <c r="C513" s="1">
        <v>40</v>
      </c>
      <c r="D513" s="1" t="str">
        <f>IF('Boletins Nuppa Site'!G513&lt;&gt;0,'Boletins Nuppa Site'!G513,"NULL")</f>
        <v>NULL</v>
      </c>
      <c r="E513" s="19">
        <f>IF('Boletins Nuppa Site'!H513&lt;&gt;0,'Boletins Nuppa Site'!H513,"NULL")</f>
        <v>75</v>
      </c>
      <c r="F513" s="19">
        <f>IF('Boletins Nuppa Site'!I513&lt;&gt;0,'Boletins Nuppa Site'!I513,"NULL")</f>
        <v>88</v>
      </c>
      <c r="G513" s="1" t="str">
        <f>IF('Boletins Nuppa Site'!J513&lt;&gt;0,'Boletins Nuppa Site'!J513,"NULL")</f>
        <v>81.5</v>
      </c>
      <c r="H513" s="1" t="str">
        <f>IF('Boletins Nuppa Site'!K513&lt;&gt;0,'Boletins Nuppa Site'!K513,"NULL")</f>
        <v>81.5</v>
      </c>
      <c r="J513" s="1" t="str">
        <f t="shared" si="7"/>
        <v>INSERT INTO COTACAO (blt_id, pap_id, cot_prc_comum, cot_prc_min, cot_prc_max, cot_prc_med, cot_prc_mediana) VALUES (13, 40, NULL, 75, 88, 81.5, 81.5);</v>
      </c>
    </row>
    <row r="514" spans="1:10" x14ac:dyDescent="0.3">
      <c r="A514" s="1">
        <v>513</v>
      </c>
      <c r="B514" s="1">
        <v>14</v>
      </c>
      <c r="C514" s="1">
        <v>1</v>
      </c>
      <c r="D514" s="1" t="str">
        <f>IF('Boletins Nuppa Site'!G514&lt;&gt;0,'Boletins Nuppa Site'!G514,"NULL")</f>
        <v>NULL</v>
      </c>
      <c r="E514" s="19">
        <f>IF('Boletins Nuppa Site'!H514&lt;&gt;0,'Boletins Nuppa Site'!H514,"NULL")</f>
        <v>48</v>
      </c>
      <c r="F514" s="19">
        <f>IF('Boletins Nuppa Site'!I514&lt;&gt;0,'Boletins Nuppa Site'!I514,"NULL")</f>
        <v>72</v>
      </c>
      <c r="G514" s="19">
        <f>IF('Boletins Nuppa Site'!J514&lt;&gt;0,'Boletins Nuppa Site'!J514,"NULL")</f>
        <v>60</v>
      </c>
      <c r="H514" s="19">
        <f>IF('Boletins Nuppa Site'!K514&lt;&gt;0,'Boletins Nuppa Site'!K514,"NULL")</f>
        <v>60</v>
      </c>
      <c r="J514" s="1" t="str">
        <f t="shared" ref="J514:J577" si="8">"INSERT INTO COTACAO (blt_id, pap_id, cot_prc_comum, cot_prc_min, cot_prc_max, cot_prc_med, cot_prc_mediana) VALUES ("&amp;B514&amp;", "&amp;C514&amp;", "&amp;D514&amp;", "&amp;E514&amp;", "&amp;F514&amp;", "&amp;G514&amp;", "&amp;H514&amp;");"</f>
        <v>INSERT INTO COTACAO (blt_id, pap_id, cot_prc_comum, cot_prc_min, cot_prc_max, cot_prc_med, cot_prc_mediana) VALUES (14, 1, NULL, 48, 72, 60, 60);</v>
      </c>
    </row>
    <row r="515" spans="1:10" x14ac:dyDescent="0.3">
      <c r="A515" s="1">
        <v>514</v>
      </c>
      <c r="B515" s="1">
        <v>14</v>
      </c>
      <c r="C515" s="1">
        <v>2</v>
      </c>
      <c r="D515" s="19">
        <f>IF('Boletins Nuppa Site'!G515&lt;&gt;0,'Boletins Nuppa Site'!G515,"NULL")</f>
        <v>84</v>
      </c>
      <c r="E515" s="19">
        <f>IF('Boletins Nuppa Site'!H515&lt;&gt;0,'Boletins Nuppa Site'!H515,"NULL")</f>
        <v>72</v>
      </c>
      <c r="F515" s="19">
        <f>IF('Boletins Nuppa Site'!I515&lt;&gt;0,'Boletins Nuppa Site'!I515,"NULL")</f>
        <v>84</v>
      </c>
      <c r="G515" s="19">
        <f>IF('Boletins Nuppa Site'!J515&lt;&gt;0,'Boletins Nuppa Site'!J515,"NULL")</f>
        <v>80</v>
      </c>
      <c r="H515" s="19">
        <f>IF('Boletins Nuppa Site'!K515&lt;&gt;0,'Boletins Nuppa Site'!K515,"NULL")</f>
        <v>84</v>
      </c>
      <c r="J515" s="1" t="str">
        <f t="shared" si="8"/>
        <v>INSERT INTO COTACAO (blt_id, pap_id, cot_prc_comum, cot_prc_min, cot_prc_max, cot_prc_med, cot_prc_mediana) VALUES (14, 2, 84, 72, 84, 80, 84);</v>
      </c>
    </row>
    <row r="516" spans="1:10" x14ac:dyDescent="0.3">
      <c r="A516" s="1">
        <v>515</v>
      </c>
      <c r="B516" s="1">
        <v>14</v>
      </c>
      <c r="C516" s="1">
        <v>3</v>
      </c>
      <c r="D516" s="1" t="str">
        <f>IF('Boletins Nuppa Site'!G516&lt;&gt;0,'Boletins Nuppa Site'!G516,"NULL")</f>
        <v>NULL</v>
      </c>
      <c r="E516" s="19">
        <f>IF('Boletins Nuppa Site'!H516&lt;&gt;0,'Boletins Nuppa Site'!H516,"NULL")</f>
        <v>42</v>
      </c>
      <c r="F516" s="19">
        <f>IF('Boletins Nuppa Site'!I516&lt;&gt;0,'Boletins Nuppa Site'!I516,"NULL")</f>
        <v>60</v>
      </c>
      <c r="G516" s="19">
        <f>IF('Boletins Nuppa Site'!J516&lt;&gt;0,'Boletins Nuppa Site'!J516,"NULL")</f>
        <v>50</v>
      </c>
      <c r="H516" s="19">
        <f>IF('Boletins Nuppa Site'!K516&lt;&gt;0,'Boletins Nuppa Site'!K516,"NULL")</f>
        <v>48</v>
      </c>
      <c r="J516" s="1" t="str">
        <f t="shared" si="8"/>
        <v>INSERT INTO COTACAO (blt_id, pap_id, cot_prc_comum, cot_prc_min, cot_prc_max, cot_prc_med, cot_prc_mediana) VALUES (14, 3, NULL, 42, 60, 50, 48);</v>
      </c>
    </row>
    <row r="517" spans="1:10" x14ac:dyDescent="0.3">
      <c r="A517" s="1">
        <v>516</v>
      </c>
      <c r="B517" s="1">
        <v>14</v>
      </c>
      <c r="C517" s="1">
        <v>4</v>
      </c>
      <c r="D517" s="19">
        <f>IF('Boletins Nuppa Site'!G517&lt;&gt;0,'Boletins Nuppa Site'!G517,"NULL")</f>
        <v>36</v>
      </c>
      <c r="E517" s="19">
        <f>IF('Boletins Nuppa Site'!H517&lt;&gt;0,'Boletins Nuppa Site'!H517,"NULL")</f>
        <v>30</v>
      </c>
      <c r="F517" s="19">
        <f>IF('Boletins Nuppa Site'!I517&lt;&gt;0,'Boletins Nuppa Site'!I517,"NULL")</f>
        <v>36</v>
      </c>
      <c r="G517" s="19">
        <f>IF('Boletins Nuppa Site'!J517&lt;&gt;0,'Boletins Nuppa Site'!J517,"NULL")</f>
        <v>34</v>
      </c>
      <c r="H517" s="19">
        <f>IF('Boletins Nuppa Site'!K517&lt;&gt;0,'Boletins Nuppa Site'!K517,"NULL")</f>
        <v>36</v>
      </c>
      <c r="J517" s="1" t="str">
        <f t="shared" si="8"/>
        <v>INSERT INTO COTACAO (blt_id, pap_id, cot_prc_comum, cot_prc_min, cot_prc_max, cot_prc_med, cot_prc_mediana) VALUES (14, 4, 36, 30, 36, 34, 36);</v>
      </c>
    </row>
    <row r="518" spans="1:10" x14ac:dyDescent="0.3">
      <c r="A518" s="1">
        <v>517</v>
      </c>
      <c r="B518" s="1">
        <v>14</v>
      </c>
      <c r="C518" s="1">
        <v>5</v>
      </c>
      <c r="D518" s="19">
        <f>IF('Boletins Nuppa Site'!G518&lt;&gt;0,'Boletins Nuppa Site'!G518,"NULL")</f>
        <v>36</v>
      </c>
      <c r="E518" s="19">
        <f>IF('Boletins Nuppa Site'!H518&lt;&gt;0,'Boletins Nuppa Site'!H518,"NULL")</f>
        <v>30</v>
      </c>
      <c r="F518" s="19">
        <f>IF('Boletins Nuppa Site'!I518&lt;&gt;0,'Boletins Nuppa Site'!I518,"NULL")</f>
        <v>36</v>
      </c>
      <c r="G518" s="19">
        <f>IF('Boletins Nuppa Site'!J518&lt;&gt;0,'Boletins Nuppa Site'!J518,"NULL")</f>
        <v>34</v>
      </c>
      <c r="H518" s="19">
        <f>IF('Boletins Nuppa Site'!K518&lt;&gt;0,'Boletins Nuppa Site'!K518,"NULL")</f>
        <v>36</v>
      </c>
      <c r="J518" s="1" t="str">
        <f t="shared" si="8"/>
        <v>INSERT INTO COTACAO (blt_id, pap_id, cot_prc_comum, cot_prc_min, cot_prc_max, cot_prc_med, cot_prc_mediana) VALUES (14, 5, 36, 30, 36, 34, 36);</v>
      </c>
    </row>
    <row r="519" spans="1:10" x14ac:dyDescent="0.3">
      <c r="A519" s="1">
        <v>518</v>
      </c>
      <c r="B519" s="1">
        <v>14</v>
      </c>
      <c r="C519" s="1">
        <v>6</v>
      </c>
      <c r="D519" s="19">
        <f>IF('Boletins Nuppa Site'!G519&lt;&gt;0,'Boletins Nuppa Site'!G519,"NULL")</f>
        <v>72</v>
      </c>
      <c r="E519" s="19">
        <f>IF('Boletins Nuppa Site'!H519&lt;&gt;0,'Boletins Nuppa Site'!H519,"NULL")</f>
        <v>48</v>
      </c>
      <c r="F519" s="19">
        <f>IF('Boletins Nuppa Site'!I519&lt;&gt;0,'Boletins Nuppa Site'!I519,"NULL")</f>
        <v>72</v>
      </c>
      <c r="G519" s="19">
        <f>IF('Boletins Nuppa Site'!J519&lt;&gt;0,'Boletins Nuppa Site'!J519,"NULL")</f>
        <v>64</v>
      </c>
      <c r="H519" s="19">
        <f>IF('Boletins Nuppa Site'!K519&lt;&gt;0,'Boletins Nuppa Site'!K519,"NULL")</f>
        <v>72</v>
      </c>
      <c r="J519" s="1" t="str">
        <f t="shared" si="8"/>
        <v>INSERT INTO COTACAO (blt_id, pap_id, cot_prc_comum, cot_prc_min, cot_prc_max, cot_prc_med, cot_prc_mediana) VALUES (14, 6, 72, 48, 72, 64, 72);</v>
      </c>
    </row>
    <row r="520" spans="1:10" x14ac:dyDescent="0.3">
      <c r="A520" s="1">
        <v>519</v>
      </c>
      <c r="B520" s="1">
        <v>14</v>
      </c>
      <c r="C520" s="1">
        <v>7</v>
      </c>
      <c r="D520" s="1" t="str">
        <f>IF('Boletins Nuppa Site'!G520&lt;&gt;0,'Boletins Nuppa Site'!G520,"NULL")</f>
        <v>NULL</v>
      </c>
      <c r="E520" s="19">
        <f>IF('Boletins Nuppa Site'!H520&lt;&gt;0,'Boletins Nuppa Site'!H520,"NULL")</f>
        <v>72</v>
      </c>
      <c r="F520" s="19">
        <f>IF('Boletins Nuppa Site'!I520&lt;&gt;0,'Boletins Nuppa Site'!I520,"NULL")</f>
        <v>96</v>
      </c>
      <c r="G520" s="19">
        <f>IF('Boletins Nuppa Site'!J520&lt;&gt;0,'Boletins Nuppa Site'!J520,"NULL")</f>
        <v>82</v>
      </c>
      <c r="H520" s="19">
        <f>IF('Boletins Nuppa Site'!K520&lt;&gt;0,'Boletins Nuppa Site'!K520,"NULL")</f>
        <v>78</v>
      </c>
      <c r="J520" s="1" t="str">
        <f t="shared" si="8"/>
        <v>INSERT INTO COTACAO (blt_id, pap_id, cot_prc_comum, cot_prc_min, cot_prc_max, cot_prc_med, cot_prc_mediana) VALUES (14, 7, NULL, 72, 96, 82, 78);</v>
      </c>
    </row>
    <row r="521" spans="1:10" x14ac:dyDescent="0.3">
      <c r="A521" s="1">
        <v>520</v>
      </c>
      <c r="B521" s="1">
        <v>14</v>
      </c>
      <c r="C521" s="1">
        <v>8</v>
      </c>
      <c r="D521" s="19">
        <f>IF('Boletins Nuppa Site'!G521&lt;&gt;0,'Boletins Nuppa Site'!G521,"NULL")</f>
        <v>96</v>
      </c>
      <c r="E521" s="19">
        <f>IF('Boletins Nuppa Site'!H521&lt;&gt;0,'Boletins Nuppa Site'!H521,"NULL")</f>
        <v>96</v>
      </c>
      <c r="F521" s="19">
        <f>IF('Boletins Nuppa Site'!I521&lt;&gt;0,'Boletins Nuppa Site'!I521,"NULL")</f>
        <v>96</v>
      </c>
      <c r="G521" s="19">
        <f>IF('Boletins Nuppa Site'!J521&lt;&gt;0,'Boletins Nuppa Site'!J521,"NULL")</f>
        <v>96</v>
      </c>
      <c r="H521" s="19">
        <f>IF('Boletins Nuppa Site'!K521&lt;&gt;0,'Boletins Nuppa Site'!K521,"NULL")</f>
        <v>96</v>
      </c>
      <c r="J521" s="1" t="str">
        <f t="shared" si="8"/>
        <v>INSERT INTO COTACAO (blt_id, pap_id, cot_prc_comum, cot_prc_min, cot_prc_max, cot_prc_med, cot_prc_mediana) VALUES (14, 8, 96, 96, 96, 96, 96);</v>
      </c>
    </row>
    <row r="522" spans="1:10" x14ac:dyDescent="0.3">
      <c r="A522" s="1">
        <v>521</v>
      </c>
      <c r="B522" s="1">
        <v>14</v>
      </c>
      <c r="C522" s="1">
        <v>9</v>
      </c>
      <c r="D522" s="1" t="str">
        <f>IF('Boletins Nuppa Site'!G522&lt;&gt;0,'Boletins Nuppa Site'!G522,"NULL")</f>
        <v>NULL</v>
      </c>
      <c r="E522" s="19">
        <f>IF('Boletins Nuppa Site'!H522&lt;&gt;0,'Boletins Nuppa Site'!H522,"NULL")</f>
        <v>24</v>
      </c>
      <c r="F522" s="19">
        <f>IF('Boletins Nuppa Site'!I522&lt;&gt;0,'Boletins Nuppa Site'!I522,"NULL")</f>
        <v>36</v>
      </c>
      <c r="G522" s="19">
        <f>IF('Boletins Nuppa Site'!J522&lt;&gt;0,'Boletins Nuppa Site'!J522,"NULL")</f>
        <v>30</v>
      </c>
      <c r="H522" s="19">
        <f>IF('Boletins Nuppa Site'!K522&lt;&gt;0,'Boletins Nuppa Site'!K522,"NULL")</f>
        <v>30</v>
      </c>
      <c r="J522" s="1" t="str">
        <f t="shared" si="8"/>
        <v>INSERT INTO COTACAO (blt_id, pap_id, cot_prc_comum, cot_prc_min, cot_prc_max, cot_prc_med, cot_prc_mediana) VALUES (14, 9, NULL, 24, 36, 30, 30);</v>
      </c>
    </row>
    <row r="523" spans="1:10" x14ac:dyDescent="0.3">
      <c r="A523" s="1">
        <v>522</v>
      </c>
      <c r="B523" s="1">
        <v>14</v>
      </c>
      <c r="C523" s="1">
        <v>10</v>
      </c>
      <c r="D523" s="19">
        <f>IF('Boletins Nuppa Site'!G523&lt;&gt;0,'Boletins Nuppa Site'!G523,"NULL")</f>
        <v>96</v>
      </c>
      <c r="E523" s="19">
        <f>IF('Boletins Nuppa Site'!H523&lt;&gt;0,'Boletins Nuppa Site'!H523,"NULL")</f>
        <v>96</v>
      </c>
      <c r="F523" s="19">
        <f>IF('Boletins Nuppa Site'!I523&lt;&gt;0,'Boletins Nuppa Site'!I523,"NULL")</f>
        <v>108</v>
      </c>
      <c r="G523" s="19">
        <f>IF('Boletins Nuppa Site'!J523&lt;&gt;0,'Boletins Nuppa Site'!J523,"NULL")</f>
        <v>100</v>
      </c>
      <c r="H523" s="19">
        <f>IF('Boletins Nuppa Site'!K523&lt;&gt;0,'Boletins Nuppa Site'!K523,"NULL")</f>
        <v>96</v>
      </c>
      <c r="J523" s="1" t="str">
        <f t="shared" si="8"/>
        <v>INSERT INTO COTACAO (blt_id, pap_id, cot_prc_comum, cot_prc_min, cot_prc_max, cot_prc_med, cot_prc_mediana) VALUES (14, 10, 96, 96, 108, 100, 96);</v>
      </c>
    </row>
    <row r="524" spans="1:10" x14ac:dyDescent="0.3">
      <c r="A524" s="1">
        <v>523</v>
      </c>
      <c r="B524" s="1">
        <v>14</v>
      </c>
      <c r="C524" s="1">
        <v>11</v>
      </c>
      <c r="D524" s="19">
        <f>IF('Boletins Nuppa Site'!G524&lt;&gt;0,'Boletins Nuppa Site'!G524,"NULL")</f>
        <v>36</v>
      </c>
      <c r="E524" s="19">
        <f>IF('Boletins Nuppa Site'!H524&lt;&gt;0,'Boletins Nuppa Site'!H524,"NULL")</f>
        <v>24</v>
      </c>
      <c r="F524" s="19">
        <f>IF('Boletins Nuppa Site'!I524&lt;&gt;0,'Boletins Nuppa Site'!I524,"NULL")</f>
        <v>36</v>
      </c>
      <c r="G524" s="19">
        <f>IF('Boletins Nuppa Site'!J524&lt;&gt;0,'Boletins Nuppa Site'!J524,"NULL")</f>
        <v>32</v>
      </c>
      <c r="H524" s="19">
        <f>IF('Boletins Nuppa Site'!K524&lt;&gt;0,'Boletins Nuppa Site'!K524,"NULL")</f>
        <v>36</v>
      </c>
      <c r="J524" s="1" t="str">
        <f t="shared" si="8"/>
        <v>INSERT INTO COTACAO (blt_id, pap_id, cot_prc_comum, cot_prc_min, cot_prc_max, cot_prc_med, cot_prc_mediana) VALUES (14, 11, 36, 24, 36, 32, 36);</v>
      </c>
    </row>
    <row r="525" spans="1:10" x14ac:dyDescent="0.3">
      <c r="A525" s="1">
        <v>524</v>
      </c>
      <c r="B525" s="1">
        <v>14</v>
      </c>
      <c r="C525" s="1">
        <v>12</v>
      </c>
      <c r="D525" s="19">
        <f>IF('Boletins Nuppa Site'!G525&lt;&gt;0,'Boletins Nuppa Site'!G525,"NULL")</f>
        <v>84</v>
      </c>
      <c r="E525" s="19">
        <f>IF('Boletins Nuppa Site'!H525&lt;&gt;0,'Boletins Nuppa Site'!H525,"NULL")</f>
        <v>84</v>
      </c>
      <c r="F525" s="19">
        <f>IF('Boletins Nuppa Site'!I525&lt;&gt;0,'Boletins Nuppa Site'!I525,"NULL")</f>
        <v>84</v>
      </c>
      <c r="G525" s="19">
        <f>IF('Boletins Nuppa Site'!J525&lt;&gt;0,'Boletins Nuppa Site'!J525,"NULL")</f>
        <v>84</v>
      </c>
      <c r="H525" s="19">
        <f>IF('Boletins Nuppa Site'!K525&lt;&gt;0,'Boletins Nuppa Site'!K525,"NULL")</f>
        <v>84</v>
      </c>
      <c r="J525" s="1" t="str">
        <f t="shared" si="8"/>
        <v>INSERT INTO COTACAO (blt_id, pap_id, cot_prc_comum, cot_prc_min, cot_prc_max, cot_prc_med, cot_prc_mediana) VALUES (14, 12, 84, 84, 84, 84, 84);</v>
      </c>
    </row>
    <row r="526" spans="1:10" x14ac:dyDescent="0.3">
      <c r="A526" s="1">
        <v>525</v>
      </c>
      <c r="B526" s="1">
        <v>14</v>
      </c>
      <c r="C526" s="1">
        <v>13</v>
      </c>
      <c r="D526" s="19">
        <f>IF('Boletins Nuppa Site'!G526&lt;&gt;0,'Boletins Nuppa Site'!G526,"NULL")</f>
        <v>72</v>
      </c>
      <c r="E526" s="19">
        <f>IF('Boletins Nuppa Site'!H526&lt;&gt;0,'Boletins Nuppa Site'!H526,"NULL")</f>
        <v>72</v>
      </c>
      <c r="F526" s="19">
        <f>IF('Boletins Nuppa Site'!I526&lt;&gt;0,'Boletins Nuppa Site'!I526,"NULL")</f>
        <v>84</v>
      </c>
      <c r="G526" s="19">
        <f>IF('Boletins Nuppa Site'!J526&lt;&gt;0,'Boletins Nuppa Site'!J526,"NULL")</f>
        <v>76</v>
      </c>
      <c r="H526" s="19">
        <f>IF('Boletins Nuppa Site'!K526&lt;&gt;0,'Boletins Nuppa Site'!K526,"NULL")</f>
        <v>72</v>
      </c>
      <c r="J526" s="1" t="str">
        <f t="shared" si="8"/>
        <v>INSERT INTO COTACAO (blt_id, pap_id, cot_prc_comum, cot_prc_min, cot_prc_max, cot_prc_med, cot_prc_mediana) VALUES (14, 13, 72, 72, 84, 76, 72);</v>
      </c>
    </row>
    <row r="527" spans="1:10" x14ac:dyDescent="0.3">
      <c r="A527" s="1">
        <v>526</v>
      </c>
      <c r="B527" s="1">
        <v>14</v>
      </c>
      <c r="C527" s="1">
        <v>14</v>
      </c>
      <c r="D527" s="19">
        <f>IF('Boletins Nuppa Site'!G527&lt;&gt;0,'Boletins Nuppa Site'!G527,"NULL")</f>
        <v>60</v>
      </c>
      <c r="E527" s="19">
        <f>IF('Boletins Nuppa Site'!H527&lt;&gt;0,'Boletins Nuppa Site'!H527,"NULL")</f>
        <v>60</v>
      </c>
      <c r="F527" s="19">
        <f>IF('Boletins Nuppa Site'!I527&lt;&gt;0,'Boletins Nuppa Site'!I527,"NULL")</f>
        <v>96</v>
      </c>
      <c r="G527" s="19">
        <f>IF('Boletins Nuppa Site'!J527&lt;&gt;0,'Boletins Nuppa Site'!J527,"NULL")</f>
        <v>72</v>
      </c>
      <c r="H527" s="19">
        <f>IF('Boletins Nuppa Site'!K527&lt;&gt;0,'Boletins Nuppa Site'!K527,"NULL")</f>
        <v>60</v>
      </c>
      <c r="J527" s="1" t="str">
        <f t="shared" si="8"/>
        <v>INSERT INTO COTACAO (blt_id, pap_id, cot_prc_comum, cot_prc_min, cot_prc_max, cot_prc_med, cot_prc_mediana) VALUES (14, 14, 60, 60, 96, 72, 60);</v>
      </c>
    </row>
    <row r="528" spans="1:10" x14ac:dyDescent="0.3">
      <c r="A528" s="1">
        <v>527</v>
      </c>
      <c r="B528" s="1">
        <v>14</v>
      </c>
      <c r="C528" s="1">
        <v>15</v>
      </c>
      <c r="D528" s="1" t="str">
        <f>IF('Boletins Nuppa Site'!G528&lt;&gt;0,'Boletins Nuppa Site'!G528,"NULL")</f>
        <v>NULL</v>
      </c>
      <c r="E528" s="19">
        <f>IF('Boletins Nuppa Site'!H528&lt;&gt;0,'Boletins Nuppa Site'!H528,"NULL")</f>
        <v>48</v>
      </c>
      <c r="F528" s="19">
        <f>IF('Boletins Nuppa Site'!I528&lt;&gt;0,'Boletins Nuppa Site'!I528,"NULL")</f>
        <v>70</v>
      </c>
      <c r="G528" s="1" t="str">
        <f>IF('Boletins Nuppa Site'!J528&lt;&gt;0,'Boletins Nuppa Site'!J528,"NULL")</f>
        <v>59.33</v>
      </c>
      <c r="H528" s="19">
        <f>IF('Boletins Nuppa Site'!K528&lt;&gt;0,'Boletins Nuppa Site'!K528,"NULL")</f>
        <v>60</v>
      </c>
      <c r="J528" s="1" t="str">
        <f t="shared" si="8"/>
        <v>INSERT INTO COTACAO (blt_id, pap_id, cot_prc_comum, cot_prc_min, cot_prc_max, cot_prc_med, cot_prc_mediana) VALUES (14, 15, NULL, 48, 70, 59.33, 60);</v>
      </c>
    </row>
    <row r="529" spans="1:10" x14ac:dyDescent="0.3">
      <c r="A529" s="1">
        <v>528</v>
      </c>
      <c r="B529" s="1">
        <v>14</v>
      </c>
      <c r="C529" s="1">
        <v>16</v>
      </c>
      <c r="D529" s="19">
        <f>IF('Boletins Nuppa Site'!G529&lt;&gt;0,'Boletins Nuppa Site'!G529,"NULL")</f>
        <v>54</v>
      </c>
      <c r="E529" s="19">
        <f>IF('Boletins Nuppa Site'!H529&lt;&gt;0,'Boletins Nuppa Site'!H529,"NULL")</f>
        <v>48</v>
      </c>
      <c r="F529" s="19">
        <f>IF('Boletins Nuppa Site'!I529&lt;&gt;0,'Boletins Nuppa Site'!I529,"NULL")</f>
        <v>54</v>
      </c>
      <c r="G529" s="19">
        <f>IF('Boletins Nuppa Site'!J529&lt;&gt;0,'Boletins Nuppa Site'!J529,"NULL")</f>
        <v>52</v>
      </c>
      <c r="H529" s="19">
        <f>IF('Boletins Nuppa Site'!K529&lt;&gt;0,'Boletins Nuppa Site'!K529,"NULL")</f>
        <v>54</v>
      </c>
      <c r="J529" s="1" t="str">
        <f t="shared" si="8"/>
        <v>INSERT INTO COTACAO (blt_id, pap_id, cot_prc_comum, cot_prc_min, cot_prc_max, cot_prc_med, cot_prc_mediana) VALUES (14, 16, 54, 48, 54, 52, 54);</v>
      </c>
    </row>
    <row r="530" spans="1:10" x14ac:dyDescent="0.3">
      <c r="A530" s="1">
        <v>529</v>
      </c>
      <c r="B530" s="1">
        <v>14</v>
      </c>
      <c r="C530" s="1">
        <v>17</v>
      </c>
      <c r="D530" s="19">
        <f>IF('Boletins Nuppa Site'!G530&lt;&gt;0,'Boletins Nuppa Site'!G530,"NULL")</f>
        <v>5</v>
      </c>
      <c r="E530" s="19">
        <f>IF('Boletins Nuppa Site'!H530&lt;&gt;0,'Boletins Nuppa Site'!H530,"NULL")</f>
        <v>5</v>
      </c>
      <c r="F530" s="19">
        <f>IF('Boletins Nuppa Site'!I530&lt;&gt;0,'Boletins Nuppa Site'!I530,"NULL")</f>
        <v>5</v>
      </c>
      <c r="G530" s="19">
        <f>IF('Boletins Nuppa Site'!J530&lt;&gt;0,'Boletins Nuppa Site'!J530,"NULL")</f>
        <v>5</v>
      </c>
      <c r="H530" s="19">
        <f>IF('Boletins Nuppa Site'!K530&lt;&gt;0,'Boletins Nuppa Site'!K530,"NULL")</f>
        <v>5</v>
      </c>
      <c r="J530" s="1" t="str">
        <f t="shared" si="8"/>
        <v>INSERT INTO COTACAO (blt_id, pap_id, cot_prc_comum, cot_prc_min, cot_prc_max, cot_prc_med, cot_prc_mediana) VALUES (14, 17, 5, 5, 5, 5, 5);</v>
      </c>
    </row>
    <row r="531" spans="1:10" x14ac:dyDescent="0.3">
      <c r="A531" s="1">
        <v>530</v>
      </c>
      <c r="B531" s="1">
        <v>14</v>
      </c>
      <c r="C531" s="1">
        <v>18</v>
      </c>
      <c r="D531" s="1" t="str">
        <f>IF('Boletins Nuppa Site'!G531&lt;&gt;0,'Boletins Nuppa Site'!G531,"NULL")</f>
        <v>NULL</v>
      </c>
      <c r="E531" s="19">
        <f>IF('Boletins Nuppa Site'!H531&lt;&gt;0,'Boletins Nuppa Site'!H531,"NULL")</f>
        <v>25</v>
      </c>
      <c r="F531" s="19">
        <f>IF('Boletins Nuppa Site'!I531&lt;&gt;0,'Boletins Nuppa Site'!I531,"NULL")</f>
        <v>30</v>
      </c>
      <c r="G531" s="1" t="str">
        <f>IF('Boletins Nuppa Site'!J531&lt;&gt;0,'Boletins Nuppa Site'!J531,"NULL")</f>
        <v>27.67</v>
      </c>
      <c r="H531" s="19">
        <f>IF('Boletins Nuppa Site'!K531&lt;&gt;0,'Boletins Nuppa Site'!K531,"NULL")</f>
        <v>28</v>
      </c>
      <c r="J531" s="1" t="str">
        <f t="shared" si="8"/>
        <v>INSERT INTO COTACAO (blt_id, pap_id, cot_prc_comum, cot_prc_min, cot_prc_max, cot_prc_med, cot_prc_mediana) VALUES (14, 18, NULL, 25, 30, 27.67, 28);</v>
      </c>
    </row>
    <row r="532" spans="1:10" x14ac:dyDescent="0.3">
      <c r="A532" s="1">
        <v>531</v>
      </c>
      <c r="B532" s="1">
        <v>14</v>
      </c>
      <c r="C532" s="1">
        <v>19</v>
      </c>
      <c r="D532" s="19">
        <f>IF('Boletins Nuppa Site'!G532&lt;&gt;0,'Boletins Nuppa Site'!G532,"NULL")</f>
        <v>35</v>
      </c>
      <c r="E532" s="19">
        <f>IF('Boletins Nuppa Site'!H532&lt;&gt;0,'Boletins Nuppa Site'!H532,"NULL")</f>
        <v>30</v>
      </c>
      <c r="F532" s="19">
        <f>IF('Boletins Nuppa Site'!I532&lt;&gt;0,'Boletins Nuppa Site'!I532,"NULL")</f>
        <v>35</v>
      </c>
      <c r="G532" s="1" t="str">
        <f>IF('Boletins Nuppa Site'!J532&lt;&gt;0,'Boletins Nuppa Site'!J532,"NULL")</f>
        <v>33.33</v>
      </c>
      <c r="H532" s="19">
        <f>IF('Boletins Nuppa Site'!K532&lt;&gt;0,'Boletins Nuppa Site'!K532,"NULL")</f>
        <v>35</v>
      </c>
      <c r="J532" s="1" t="str">
        <f t="shared" si="8"/>
        <v>INSERT INTO COTACAO (blt_id, pap_id, cot_prc_comum, cot_prc_min, cot_prc_max, cot_prc_med, cot_prc_mediana) VALUES (14, 19, 35, 30, 35, 33.33, 35);</v>
      </c>
    </row>
    <row r="533" spans="1:10" x14ac:dyDescent="0.3">
      <c r="A533" s="1">
        <v>532</v>
      </c>
      <c r="B533" s="1">
        <v>14</v>
      </c>
      <c r="C533" s="1">
        <v>20</v>
      </c>
      <c r="D533" s="19">
        <f>IF('Boletins Nuppa Site'!G533&lt;&gt;0,'Boletins Nuppa Site'!G533,"NULL")</f>
        <v>110</v>
      </c>
      <c r="E533" s="19">
        <f>IF('Boletins Nuppa Site'!H533&lt;&gt;0,'Boletins Nuppa Site'!H533,"NULL")</f>
        <v>80</v>
      </c>
      <c r="F533" s="19">
        <f>IF('Boletins Nuppa Site'!I533&lt;&gt;0,'Boletins Nuppa Site'!I533,"NULL")</f>
        <v>110</v>
      </c>
      <c r="G533" s="19">
        <f>IF('Boletins Nuppa Site'!J533&lt;&gt;0,'Boletins Nuppa Site'!J533,"NULL")</f>
        <v>98</v>
      </c>
      <c r="H533" s="19">
        <f>IF('Boletins Nuppa Site'!K533&lt;&gt;0,'Boletins Nuppa Site'!K533,"NULL")</f>
        <v>100</v>
      </c>
      <c r="J533" s="1" t="str">
        <f t="shared" si="8"/>
        <v>INSERT INTO COTACAO (blt_id, pap_id, cot_prc_comum, cot_prc_min, cot_prc_max, cot_prc_med, cot_prc_mediana) VALUES (14, 20, 110, 80, 110, 98, 100);</v>
      </c>
    </row>
    <row r="534" spans="1:10" x14ac:dyDescent="0.3">
      <c r="A534" s="1">
        <v>533</v>
      </c>
      <c r="B534" s="1">
        <v>14</v>
      </c>
      <c r="C534" s="1">
        <v>21</v>
      </c>
      <c r="D534" s="19">
        <f>IF('Boletins Nuppa Site'!G534&lt;&gt;0,'Boletins Nuppa Site'!G534,"NULL")</f>
        <v>80</v>
      </c>
      <c r="E534" s="19">
        <f>IF('Boletins Nuppa Site'!H534&lt;&gt;0,'Boletins Nuppa Site'!H534,"NULL")</f>
        <v>70</v>
      </c>
      <c r="F534" s="19">
        <f>IF('Boletins Nuppa Site'!I534&lt;&gt;0,'Boletins Nuppa Site'!I534,"NULL")</f>
        <v>90</v>
      </c>
      <c r="G534" s="1" t="str">
        <f>IF('Boletins Nuppa Site'!J534&lt;&gt;0,'Boletins Nuppa Site'!J534,"NULL")</f>
        <v>78.75</v>
      </c>
      <c r="H534" s="19">
        <f>IF('Boletins Nuppa Site'!K534&lt;&gt;0,'Boletins Nuppa Site'!K534,"NULL")</f>
        <v>80</v>
      </c>
      <c r="J534" s="1" t="str">
        <f t="shared" si="8"/>
        <v>INSERT INTO COTACAO (blt_id, pap_id, cot_prc_comum, cot_prc_min, cot_prc_max, cot_prc_med, cot_prc_mediana) VALUES (14, 21, 80, 70, 90, 78.75, 80);</v>
      </c>
    </row>
    <row r="535" spans="1:10" x14ac:dyDescent="0.3">
      <c r="A535" s="1">
        <v>534</v>
      </c>
      <c r="B535" s="1">
        <v>14</v>
      </c>
      <c r="C535" s="1">
        <v>22</v>
      </c>
      <c r="D535" s="19">
        <f>IF('Boletins Nuppa Site'!G535&lt;&gt;0,'Boletins Nuppa Site'!G535,"NULL")</f>
        <v>70</v>
      </c>
      <c r="E535" s="19">
        <f>IF('Boletins Nuppa Site'!H535&lt;&gt;0,'Boletins Nuppa Site'!H535,"NULL")</f>
        <v>40</v>
      </c>
      <c r="F535" s="19">
        <f>IF('Boletins Nuppa Site'!I535&lt;&gt;0,'Boletins Nuppa Site'!I535,"NULL")</f>
        <v>75</v>
      </c>
      <c r="G535" s="1" t="str">
        <f>IF('Boletins Nuppa Site'!J535&lt;&gt;0,'Boletins Nuppa Site'!J535,"NULL")</f>
        <v>62.78</v>
      </c>
      <c r="H535" s="19">
        <f>IF('Boletins Nuppa Site'!K535&lt;&gt;0,'Boletins Nuppa Site'!K535,"NULL")</f>
        <v>70</v>
      </c>
      <c r="J535" s="1" t="str">
        <f t="shared" si="8"/>
        <v>INSERT INTO COTACAO (blt_id, pap_id, cot_prc_comum, cot_prc_min, cot_prc_max, cot_prc_med, cot_prc_mediana) VALUES (14, 22, 70, 40, 75, 62.78, 70);</v>
      </c>
    </row>
    <row r="536" spans="1:10" x14ac:dyDescent="0.3">
      <c r="A536" s="1">
        <v>535</v>
      </c>
      <c r="B536" s="1">
        <v>14</v>
      </c>
      <c r="C536" s="1">
        <v>23</v>
      </c>
      <c r="D536" s="19">
        <f>IF('Boletins Nuppa Site'!G536&lt;&gt;0,'Boletins Nuppa Site'!G536,"NULL")</f>
        <v>50</v>
      </c>
      <c r="E536" s="19">
        <f>IF('Boletins Nuppa Site'!H536&lt;&gt;0,'Boletins Nuppa Site'!H536,"NULL")</f>
        <v>35</v>
      </c>
      <c r="F536" s="19">
        <f>IF('Boletins Nuppa Site'!I536&lt;&gt;0,'Boletins Nuppa Site'!I536,"NULL")</f>
        <v>55</v>
      </c>
      <c r="G536" s="1" t="str">
        <f>IF('Boletins Nuppa Site'!J536&lt;&gt;0,'Boletins Nuppa Site'!J536,"NULL")</f>
        <v>44.38</v>
      </c>
      <c r="H536" s="19">
        <f>IF('Boletins Nuppa Site'!K536&lt;&gt;0,'Boletins Nuppa Site'!K536,"NULL")</f>
        <v>45</v>
      </c>
      <c r="J536" s="1" t="str">
        <f t="shared" si="8"/>
        <v>INSERT INTO COTACAO (blt_id, pap_id, cot_prc_comum, cot_prc_min, cot_prc_max, cot_prc_med, cot_prc_mediana) VALUES (14, 23, 50, 35, 55, 44.38, 45);</v>
      </c>
    </row>
    <row r="537" spans="1:10" x14ac:dyDescent="0.3">
      <c r="A537" s="1">
        <v>536</v>
      </c>
      <c r="B537" s="1">
        <v>14</v>
      </c>
      <c r="C537" s="1">
        <v>24</v>
      </c>
      <c r="D537" s="1" t="str">
        <f>IF('Boletins Nuppa Site'!G537&lt;&gt;0,'Boletins Nuppa Site'!G537,"NULL")</f>
        <v>NULL</v>
      </c>
      <c r="E537" s="19">
        <f>IF('Boletins Nuppa Site'!H537&lt;&gt;0,'Boletins Nuppa Site'!H537,"NULL")</f>
        <v>90</v>
      </c>
      <c r="F537" s="19">
        <f>IF('Boletins Nuppa Site'!I537&lt;&gt;0,'Boletins Nuppa Site'!I537,"NULL")</f>
        <v>115</v>
      </c>
      <c r="G537" s="19">
        <f>IF('Boletins Nuppa Site'!J537&lt;&gt;0,'Boletins Nuppa Site'!J537,"NULL")</f>
        <v>105</v>
      </c>
      <c r="H537" s="19">
        <f>IF('Boletins Nuppa Site'!K537&lt;&gt;0,'Boletins Nuppa Site'!K537,"NULL")</f>
        <v>110</v>
      </c>
      <c r="J537" s="1" t="str">
        <f t="shared" si="8"/>
        <v>INSERT INTO COTACAO (blt_id, pap_id, cot_prc_comum, cot_prc_min, cot_prc_max, cot_prc_med, cot_prc_mediana) VALUES (14, 24, NULL, 90, 115, 105, 110);</v>
      </c>
    </row>
    <row r="538" spans="1:10" x14ac:dyDescent="0.3">
      <c r="A538" s="1">
        <v>537</v>
      </c>
      <c r="B538" s="1">
        <v>14</v>
      </c>
      <c r="C538" s="1">
        <v>25</v>
      </c>
      <c r="D538" s="19">
        <f>IF('Boletins Nuppa Site'!G538&lt;&gt;0,'Boletins Nuppa Site'!G538,"NULL")</f>
        <v>150</v>
      </c>
      <c r="E538" s="19">
        <f>IF('Boletins Nuppa Site'!H538&lt;&gt;0,'Boletins Nuppa Site'!H538,"NULL")</f>
        <v>100</v>
      </c>
      <c r="F538" s="19">
        <f>IF('Boletins Nuppa Site'!I538&lt;&gt;0,'Boletins Nuppa Site'!I538,"NULL")</f>
        <v>150</v>
      </c>
      <c r="G538" s="1" t="str">
        <f>IF('Boletins Nuppa Site'!J538&lt;&gt;0,'Boletins Nuppa Site'!J538,"NULL")</f>
        <v>125.71</v>
      </c>
      <c r="H538" s="19">
        <f>IF('Boletins Nuppa Site'!K538&lt;&gt;0,'Boletins Nuppa Site'!K538,"NULL")</f>
        <v>130</v>
      </c>
      <c r="J538" s="1" t="str">
        <f t="shared" si="8"/>
        <v>INSERT INTO COTACAO (blt_id, pap_id, cot_prc_comum, cot_prc_min, cot_prc_max, cot_prc_med, cot_prc_mediana) VALUES (14, 25, 150, 100, 150, 125.71, 130);</v>
      </c>
    </row>
    <row r="539" spans="1:10" x14ac:dyDescent="0.3">
      <c r="A539" s="1">
        <v>538</v>
      </c>
      <c r="B539" s="1">
        <v>14</v>
      </c>
      <c r="C539" s="1">
        <v>26</v>
      </c>
      <c r="D539" s="19">
        <f>IF('Boletins Nuppa Site'!G539&lt;&gt;0,'Boletins Nuppa Site'!G539,"NULL")</f>
        <v>140</v>
      </c>
      <c r="E539" s="19">
        <f>IF('Boletins Nuppa Site'!H539&lt;&gt;0,'Boletins Nuppa Site'!H539,"NULL")</f>
        <v>80</v>
      </c>
      <c r="F539" s="19">
        <f>IF('Boletins Nuppa Site'!I539&lt;&gt;0,'Boletins Nuppa Site'!I539,"NULL")</f>
        <v>170</v>
      </c>
      <c r="G539" s="19">
        <f>IF('Boletins Nuppa Site'!J539&lt;&gt;0,'Boletins Nuppa Site'!J539,"NULL")</f>
        <v>130</v>
      </c>
      <c r="H539" s="19">
        <f>IF('Boletins Nuppa Site'!K539&lt;&gt;0,'Boletins Nuppa Site'!K539,"NULL")</f>
        <v>130</v>
      </c>
      <c r="J539" s="1" t="str">
        <f t="shared" si="8"/>
        <v>INSERT INTO COTACAO (blt_id, pap_id, cot_prc_comum, cot_prc_min, cot_prc_max, cot_prc_med, cot_prc_mediana) VALUES (14, 26, 140, 80, 170, 130, 130);</v>
      </c>
    </row>
    <row r="540" spans="1:10" x14ac:dyDescent="0.3">
      <c r="A540" s="1">
        <v>539</v>
      </c>
      <c r="B540" s="1">
        <v>14</v>
      </c>
      <c r="C540" s="1">
        <v>27</v>
      </c>
      <c r="D540" s="19">
        <f>IF('Boletins Nuppa Site'!G540&lt;&gt;0,'Boletins Nuppa Site'!G540,"NULL")</f>
        <v>60</v>
      </c>
      <c r="E540" s="19">
        <f>IF('Boletins Nuppa Site'!H540&lt;&gt;0,'Boletins Nuppa Site'!H540,"NULL")</f>
        <v>40</v>
      </c>
      <c r="F540" s="19">
        <f>IF('Boletins Nuppa Site'!I540&lt;&gt;0,'Boletins Nuppa Site'!I540,"NULL")</f>
        <v>80</v>
      </c>
      <c r="G540" s="1" t="str">
        <f>IF('Boletins Nuppa Site'!J540&lt;&gt;0,'Boletins Nuppa Site'!J540,"NULL")</f>
        <v>61.25</v>
      </c>
      <c r="H540" s="19">
        <f>IF('Boletins Nuppa Site'!K540&lt;&gt;0,'Boletins Nuppa Site'!K540,"NULL")</f>
        <v>60</v>
      </c>
      <c r="J540" s="1" t="str">
        <f t="shared" si="8"/>
        <v>INSERT INTO COTACAO (blt_id, pap_id, cot_prc_comum, cot_prc_min, cot_prc_max, cot_prc_med, cot_prc_mediana) VALUES (14, 27, 60, 40, 80, 61.25, 60);</v>
      </c>
    </row>
    <row r="541" spans="1:10" x14ac:dyDescent="0.3">
      <c r="A541" s="1">
        <v>540</v>
      </c>
      <c r="B541" s="1">
        <v>14</v>
      </c>
      <c r="C541" s="1">
        <v>28</v>
      </c>
      <c r="D541" s="19">
        <f>IF('Boletins Nuppa Site'!G541&lt;&gt;0,'Boletins Nuppa Site'!G541,"NULL")</f>
        <v>100</v>
      </c>
      <c r="E541" s="19">
        <f>IF('Boletins Nuppa Site'!H541&lt;&gt;0,'Boletins Nuppa Site'!H541,"NULL")</f>
        <v>60</v>
      </c>
      <c r="F541" s="19">
        <f>IF('Boletins Nuppa Site'!I541&lt;&gt;0,'Boletins Nuppa Site'!I541,"NULL")</f>
        <v>120</v>
      </c>
      <c r="G541" s="1" t="str">
        <f>IF('Boletins Nuppa Site'!J541&lt;&gt;0,'Boletins Nuppa Site'!J541,"NULL")</f>
        <v>98.57</v>
      </c>
      <c r="H541" s="19">
        <f>IF('Boletins Nuppa Site'!K541&lt;&gt;0,'Boletins Nuppa Site'!K541,"NULL")</f>
        <v>100</v>
      </c>
      <c r="J541" s="1" t="str">
        <f t="shared" si="8"/>
        <v>INSERT INTO COTACAO (blt_id, pap_id, cot_prc_comum, cot_prc_min, cot_prc_max, cot_prc_med, cot_prc_mediana) VALUES (14, 28, 100, 60, 120, 98.57, 100);</v>
      </c>
    </row>
    <row r="542" spans="1:10" x14ac:dyDescent="0.3">
      <c r="A542" s="1">
        <v>541</v>
      </c>
      <c r="B542" s="1">
        <v>14</v>
      </c>
      <c r="C542" s="1">
        <v>29</v>
      </c>
      <c r="D542" s="1" t="str">
        <f>IF('Boletins Nuppa Site'!G542&lt;&gt;0,'Boletins Nuppa Site'!G542,"NULL")</f>
        <v>NULL</v>
      </c>
      <c r="E542" s="19">
        <f>IF('Boletins Nuppa Site'!H542&lt;&gt;0,'Boletins Nuppa Site'!H542,"NULL")</f>
        <v>50</v>
      </c>
      <c r="F542" s="19">
        <f>IF('Boletins Nuppa Site'!I542&lt;&gt;0,'Boletins Nuppa Site'!I542,"NULL")</f>
        <v>78</v>
      </c>
      <c r="G542" s="1" t="str">
        <f>IF('Boletins Nuppa Site'!J542&lt;&gt;0,'Boletins Nuppa Site'!J542,"NULL")</f>
        <v>62.67</v>
      </c>
      <c r="H542" s="19">
        <f>IF('Boletins Nuppa Site'!K542&lt;&gt;0,'Boletins Nuppa Site'!K542,"NULL")</f>
        <v>60</v>
      </c>
      <c r="J542" s="1" t="str">
        <f t="shared" si="8"/>
        <v>INSERT INTO COTACAO (blt_id, pap_id, cot_prc_comum, cot_prc_min, cot_prc_max, cot_prc_med, cot_prc_mediana) VALUES (14, 29, NULL, 50, 78, 62.67, 60);</v>
      </c>
    </row>
    <row r="543" spans="1:10" x14ac:dyDescent="0.3">
      <c r="A543" s="1">
        <v>542</v>
      </c>
      <c r="B543" s="1">
        <v>14</v>
      </c>
      <c r="C543" s="1">
        <v>30</v>
      </c>
      <c r="D543" s="19">
        <f>IF('Boletins Nuppa Site'!G543&lt;&gt;0,'Boletins Nuppa Site'!G543,"NULL")</f>
        <v>70</v>
      </c>
      <c r="E543" s="19">
        <f>IF('Boletins Nuppa Site'!H543&lt;&gt;0,'Boletins Nuppa Site'!H543,"NULL")</f>
        <v>50</v>
      </c>
      <c r="F543" s="19">
        <f>IF('Boletins Nuppa Site'!I543&lt;&gt;0,'Boletins Nuppa Site'!I543,"NULL")</f>
        <v>75</v>
      </c>
      <c r="G543" s="1" t="str">
        <f>IF('Boletins Nuppa Site'!J543&lt;&gt;0,'Boletins Nuppa Site'!J543,"NULL")</f>
        <v>66.67</v>
      </c>
      <c r="H543" s="19">
        <f>IF('Boletins Nuppa Site'!K543&lt;&gt;0,'Boletins Nuppa Site'!K543,"NULL")</f>
        <v>70</v>
      </c>
      <c r="J543" s="1" t="str">
        <f t="shared" si="8"/>
        <v>INSERT INTO COTACAO (blt_id, pap_id, cot_prc_comum, cot_prc_min, cot_prc_max, cot_prc_med, cot_prc_mediana) VALUES (14, 30, 70, 50, 75, 66.67, 70);</v>
      </c>
    </row>
    <row r="544" spans="1:10" x14ac:dyDescent="0.3">
      <c r="A544" s="1">
        <v>543</v>
      </c>
      <c r="B544" s="1">
        <v>14</v>
      </c>
      <c r="C544" s="1">
        <v>31</v>
      </c>
      <c r="D544" s="19">
        <f>IF('Boletins Nuppa Site'!G544&lt;&gt;0,'Boletins Nuppa Site'!G544,"NULL")</f>
        <v>100</v>
      </c>
      <c r="E544" s="19">
        <f>IF('Boletins Nuppa Site'!H544&lt;&gt;0,'Boletins Nuppa Site'!H544,"NULL")</f>
        <v>70</v>
      </c>
      <c r="F544" s="19">
        <f>IF('Boletins Nuppa Site'!I544&lt;&gt;0,'Boletins Nuppa Site'!I544,"NULL")</f>
        <v>110</v>
      </c>
      <c r="G544" s="1" t="str">
        <f>IF('Boletins Nuppa Site'!J544&lt;&gt;0,'Boletins Nuppa Site'!J544,"NULL")</f>
        <v>93.13</v>
      </c>
      <c r="H544" s="19">
        <f>IF('Boletins Nuppa Site'!K544&lt;&gt;0,'Boletins Nuppa Site'!K544,"NULL")</f>
        <v>100</v>
      </c>
      <c r="J544" s="1" t="str">
        <f t="shared" si="8"/>
        <v>INSERT INTO COTACAO (blt_id, pap_id, cot_prc_comum, cot_prc_min, cot_prc_max, cot_prc_med, cot_prc_mediana) VALUES (14, 31, 100, 70, 110, 93.13, 100);</v>
      </c>
    </row>
    <row r="545" spans="1:10" x14ac:dyDescent="0.3">
      <c r="A545" s="1">
        <v>544</v>
      </c>
      <c r="B545" s="1">
        <v>14</v>
      </c>
      <c r="C545" s="1">
        <v>32</v>
      </c>
      <c r="D545" s="19">
        <f>IF('Boletins Nuppa Site'!G545&lt;&gt;0,'Boletins Nuppa Site'!G545,"NULL")</f>
        <v>70</v>
      </c>
      <c r="E545" s="19">
        <f>IF('Boletins Nuppa Site'!H545&lt;&gt;0,'Boletins Nuppa Site'!H545,"NULL")</f>
        <v>70</v>
      </c>
      <c r="F545" s="19">
        <f>IF('Boletins Nuppa Site'!I545&lt;&gt;0,'Boletins Nuppa Site'!I545,"NULL")</f>
        <v>80</v>
      </c>
      <c r="G545" s="1" t="str">
        <f>IF('Boletins Nuppa Site'!J545&lt;&gt;0,'Boletins Nuppa Site'!J545,"NULL")</f>
        <v>74.29</v>
      </c>
      <c r="H545" s="19">
        <f>IF('Boletins Nuppa Site'!K545&lt;&gt;0,'Boletins Nuppa Site'!K545,"NULL")</f>
        <v>75</v>
      </c>
      <c r="J545" s="1" t="str">
        <f t="shared" si="8"/>
        <v>INSERT INTO COTACAO (blt_id, pap_id, cot_prc_comum, cot_prc_min, cot_prc_max, cot_prc_med, cot_prc_mediana) VALUES (14, 32, 70, 70, 80, 74.29, 75);</v>
      </c>
    </row>
    <row r="546" spans="1:10" x14ac:dyDescent="0.3">
      <c r="A546" s="1">
        <v>545</v>
      </c>
      <c r="B546" s="1">
        <v>14</v>
      </c>
      <c r="C546" s="1">
        <v>33</v>
      </c>
      <c r="D546" s="19">
        <f>IF('Boletins Nuppa Site'!G546&lt;&gt;0,'Boletins Nuppa Site'!G546,"NULL")</f>
        <v>120</v>
      </c>
      <c r="E546" s="19">
        <f>IF('Boletins Nuppa Site'!H546&lt;&gt;0,'Boletins Nuppa Site'!H546,"NULL")</f>
        <v>100</v>
      </c>
      <c r="F546" s="19">
        <f>IF('Boletins Nuppa Site'!I546&lt;&gt;0,'Boletins Nuppa Site'!I546,"NULL")</f>
        <v>140</v>
      </c>
      <c r="G546" s="1" t="str">
        <f>IF('Boletins Nuppa Site'!J546&lt;&gt;0,'Boletins Nuppa Site'!J546,"NULL")</f>
        <v>117.14</v>
      </c>
      <c r="H546" s="19">
        <f>IF('Boletins Nuppa Site'!K546&lt;&gt;0,'Boletins Nuppa Site'!K546,"NULL")</f>
        <v>120</v>
      </c>
      <c r="J546" s="1" t="str">
        <f t="shared" si="8"/>
        <v>INSERT INTO COTACAO (blt_id, pap_id, cot_prc_comum, cot_prc_min, cot_prc_max, cot_prc_med, cot_prc_mediana) VALUES (14, 33, 120, 100, 140, 117.14, 120);</v>
      </c>
    </row>
    <row r="547" spans="1:10" x14ac:dyDescent="0.3">
      <c r="A547" s="1">
        <v>546</v>
      </c>
      <c r="B547" s="1">
        <v>14</v>
      </c>
      <c r="C547" s="1">
        <v>34</v>
      </c>
      <c r="D547" s="19">
        <f>IF('Boletins Nuppa Site'!G547&lt;&gt;0,'Boletins Nuppa Site'!G547,"NULL")</f>
        <v>90</v>
      </c>
      <c r="E547" s="19">
        <f>IF('Boletins Nuppa Site'!H547&lt;&gt;0,'Boletins Nuppa Site'!H547,"NULL")</f>
        <v>90</v>
      </c>
      <c r="F547" s="19">
        <f>IF('Boletins Nuppa Site'!I547&lt;&gt;0,'Boletins Nuppa Site'!I547,"NULL")</f>
        <v>120</v>
      </c>
      <c r="G547" s="1" t="str">
        <f>IF('Boletins Nuppa Site'!J547&lt;&gt;0,'Boletins Nuppa Site'!J547,"NULL")</f>
        <v>102.86</v>
      </c>
      <c r="H547" s="19">
        <f>IF('Boletins Nuppa Site'!K547&lt;&gt;0,'Boletins Nuppa Site'!K547,"NULL")</f>
        <v>100</v>
      </c>
      <c r="J547" s="1" t="str">
        <f t="shared" si="8"/>
        <v>INSERT INTO COTACAO (blt_id, pap_id, cot_prc_comum, cot_prc_min, cot_prc_max, cot_prc_med, cot_prc_mediana) VALUES (14, 34, 90, 90, 120, 102.86, 100);</v>
      </c>
    </row>
    <row r="548" spans="1:10" x14ac:dyDescent="0.3">
      <c r="A548" s="1">
        <v>547</v>
      </c>
      <c r="B548" s="1">
        <v>14</v>
      </c>
      <c r="C548" s="1">
        <v>35</v>
      </c>
      <c r="D548" s="19">
        <f>IF('Boletins Nuppa Site'!G548&lt;&gt;0,'Boletins Nuppa Site'!G548,"NULL")</f>
        <v>80</v>
      </c>
      <c r="E548" s="19">
        <f>IF('Boletins Nuppa Site'!H548&lt;&gt;0,'Boletins Nuppa Site'!H548,"NULL")</f>
        <v>70</v>
      </c>
      <c r="F548" s="19">
        <f>IF('Boletins Nuppa Site'!I548&lt;&gt;0,'Boletins Nuppa Site'!I548,"NULL")</f>
        <v>120</v>
      </c>
      <c r="G548" s="1" t="str">
        <f>IF('Boletins Nuppa Site'!J548&lt;&gt;0,'Boletins Nuppa Site'!J548,"NULL")</f>
        <v>92.14</v>
      </c>
      <c r="H548" s="19">
        <f>IF('Boletins Nuppa Site'!K548&lt;&gt;0,'Boletins Nuppa Site'!K548,"NULL")</f>
        <v>95</v>
      </c>
      <c r="J548" s="1" t="str">
        <f t="shared" si="8"/>
        <v>INSERT INTO COTACAO (blt_id, pap_id, cot_prc_comum, cot_prc_min, cot_prc_max, cot_prc_med, cot_prc_mediana) VALUES (14, 35, 80, 70, 120, 92.14, 95);</v>
      </c>
    </row>
    <row r="549" spans="1:10" x14ac:dyDescent="0.3">
      <c r="A549" s="1">
        <v>548</v>
      </c>
      <c r="B549" s="1">
        <v>14</v>
      </c>
      <c r="C549" s="1">
        <v>36</v>
      </c>
      <c r="D549" s="1" t="str">
        <f>IF('Boletins Nuppa Site'!G549&lt;&gt;0,'Boletins Nuppa Site'!G549,"NULL")</f>
        <v>NULL</v>
      </c>
      <c r="E549" s="19">
        <f>IF('Boletins Nuppa Site'!H549&lt;&gt;0,'Boletins Nuppa Site'!H549,"NULL")</f>
        <v>85</v>
      </c>
      <c r="F549" s="19">
        <f>IF('Boletins Nuppa Site'!I549&lt;&gt;0,'Boletins Nuppa Site'!I549,"NULL")</f>
        <v>85</v>
      </c>
      <c r="G549" s="19">
        <f>IF('Boletins Nuppa Site'!J549&lt;&gt;0,'Boletins Nuppa Site'!J549,"NULL")</f>
        <v>85</v>
      </c>
      <c r="H549" s="19">
        <f>IF('Boletins Nuppa Site'!K549&lt;&gt;0,'Boletins Nuppa Site'!K549,"NULL")</f>
        <v>85</v>
      </c>
      <c r="J549" s="1" t="str">
        <f t="shared" si="8"/>
        <v>INSERT INTO COTACAO (blt_id, pap_id, cot_prc_comum, cot_prc_min, cot_prc_max, cot_prc_med, cot_prc_mediana) VALUES (14, 36, NULL, 85, 85, 85, 85);</v>
      </c>
    </row>
    <row r="550" spans="1:10" x14ac:dyDescent="0.3">
      <c r="A550" s="1">
        <v>549</v>
      </c>
      <c r="B550" s="1">
        <v>14</v>
      </c>
      <c r="C550" s="1">
        <v>37</v>
      </c>
      <c r="D550" s="1" t="str">
        <f>IF('Boletins Nuppa Site'!G550&lt;&gt;0,'Boletins Nuppa Site'!G550,"NULL")</f>
        <v>NULL</v>
      </c>
      <c r="E550" s="19">
        <f>IF('Boletins Nuppa Site'!H550&lt;&gt;0,'Boletins Nuppa Site'!H550,"NULL")</f>
        <v>70</v>
      </c>
      <c r="F550" s="19">
        <f>IF('Boletins Nuppa Site'!I550&lt;&gt;0,'Boletins Nuppa Site'!I550,"NULL")</f>
        <v>80</v>
      </c>
      <c r="G550" s="19">
        <f>IF('Boletins Nuppa Site'!J550&lt;&gt;0,'Boletins Nuppa Site'!J550,"NULL")</f>
        <v>75</v>
      </c>
      <c r="H550" s="19">
        <f>IF('Boletins Nuppa Site'!K550&lt;&gt;0,'Boletins Nuppa Site'!K550,"NULL")</f>
        <v>75</v>
      </c>
      <c r="J550" s="1" t="str">
        <f t="shared" si="8"/>
        <v>INSERT INTO COTACAO (blt_id, pap_id, cot_prc_comum, cot_prc_min, cot_prc_max, cot_prc_med, cot_prc_mediana) VALUES (14, 37, NULL, 70, 80, 75, 75);</v>
      </c>
    </row>
    <row r="551" spans="1:10" x14ac:dyDescent="0.3">
      <c r="A551" s="1">
        <v>550</v>
      </c>
      <c r="B551" s="1">
        <v>14</v>
      </c>
      <c r="C551" s="1">
        <v>38</v>
      </c>
      <c r="D551" s="19">
        <f>IF('Boletins Nuppa Site'!G551&lt;&gt;0,'Boletins Nuppa Site'!G551,"NULL")</f>
        <v>45</v>
      </c>
      <c r="E551" s="19">
        <f>IF('Boletins Nuppa Site'!H551&lt;&gt;0,'Boletins Nuppa Site'!H551,"NULL")</f>
        <v>45</v>
      </c>
      <c r="F551" s="19">
        <f>IF('Boletins Nuppa Site'!I551&lt;&gt;0,'Boletins Nuppa Site'!I551,"NULL")</f>
        <v>45</v>
      </c>
      <c r="G551" s="19">
        <f>IF('Boletins Nuppa Site'!J551&lt;&gt;0,'Boletins Nuppa Site'!J551,"NULL")</f>
        <v>45</v>
      </c>
      <c r="H551" s="19">
        <f>IF('Boletins Nuppa Site'!K551&lt;&gt;0,'Boletins Nuppa Site'!K551,"NULL")</f>
        <v>45</v>
      </c>
      <c r="J551" s="1" t="str">
        <f t="shared" si="8"/>
        <v>INSERT INTO COTACAO (blt_id, pap_id, cot_prc_comum, cot_prc_min, cot_prc_max, cot_prc_med, cot_prc_mediana) VALUES (14, 38, 45, 45, 45, 45, 45);</v>
      </c>
    </row>
    <row r="552" spans="1:10" x14ac:dyDescent="0.3">
      <c r="A552" s="1">
        <v>551</v>
      </c>
      <c r="B552" s="1">
        <v>14</v>
      </c>
      <c r="C552" s="1">
        <v>39</v>
      </c>
      <c r="D552" s="1" t="str">
        <f>IF('Boletins Nuppa Site'!G552&lt;&gt;0,'Boletins Nuppa Site'!G552,"NULL")</f>
        <v>NULL</v>
      </c>
      <c r="E552" s="19">
        <f>IF('Boletins Nuppa Site'!H552&lt;&gt;0,'Boletins Nuppa Site'!H552,"NULL")</f>
        <v>60</v>
      </c>
      <c r="F552" s="19">
        <f>IF('Boletins Nuppa Site'!I552&lt;&gt;0,'Boletins Nuppa Site'!I552,"NULL")</f>
        <v>60</v>
      </c>
      <c r="G552" s="19">
        <f>IF('Boletins Nuppa Site'!J552&lt;&gt;0,'Boletins Nuppa Site'!J552,"NULL")</f>
        <v>60</v>
      </c>
      <c r="H552" s="19">
        <f>IF('Boletins Nuppa Site'!K552&lt;&gt;0,'Boletins Nuppa Site'!K552,"NULL")</f>
        <v>60</v>
      </c>
      <c r="J552" s="1" t="str">
        <f t="shared" si="8"/>
        <v>INSERT INTO COTACAO (blt_id, pap_id, cot_prc_comum, cot_prc_min, cot_prc_max, cot_prc_med, cot_prc_mediana) VALUES (14, 39, NULL, 60, 60, 60, 60);</v>
      </c>
    </row>
    <row r="553" spans="1:10" x14ac:dyDescent="0.3">
      <c r="A553" s="1">
        <v>552</v>
      </c>
      <c r="B553" s="1">
        <v>14</v>
      </c>
      <c r="C553" s="1">
        <v>40</v>
      </c>
      <c r="D553" s="1" t="str">
        <f>IF('Boletins Nuppa Site'!G553&lt;&gt;0,'Boletins Nuppa Site'!G553,"NULL")</f>
        <v>NULL</v>
      </c>
      <c r="E553" s="19">
        <f>IF('Boletins Nuppa Site'!H553&lt;&gt;0,'Boletins Nuppa Site'!H553,"NULL")</f>
        <v>60</v>
      </c>
      <c r="F553" s="19">
        <f>IF('Boletins Nuppa Site'!I553&lt;&gt;0,'Boletins Nuppa Site'!I553,"NULL")</f>
        <v>60</v>
      </c>
      <c r="G553" s="19">
        <f>IF('Boletins Nuppa Site'!J553&lt;&gt;0,'Boletins Nuppa Site'!J553,"NULL")</f>
        <v>60</v>
      </c>
      <c r="H553" s="19">
        <f>IF('Boletins Nuppa Site'!K553&lt;&gt;0,'Boletins Nuppa Site'!K553,"NULL")</f>
        <v>60</v>
      </c>
      <c r="J553" s="1" t="str">
        <f t="shared" si="8"/>
        <v>INSERT INTO COTACAO (blt_id, pap_id, cot_prc_comum, cot_prc_min, cot_prc_max, cot_prc_med, cot_prc_mediana) VALUES (14, 40, NULL, 60, 60, 60, 60);</v>
      </c>
    </row>
    <row r="554" spans="1:10" x14ac:dyDescent="0.3">
      <c r="A554" s="1">
        <v>553</v>
      </c>
      <c r="B554" s="1">
        <v>15</v>
      </c>
      <c r="C554" s="1">
        <v>1</v>
      </c>
      <c r="D554" s="1" t="str">
        <f>IF('Boletins Nuppa Site'!G554&lt;&gt;0,'Boletins Nuppa Site'!G554,"NULL")</f>
        <v>NULL</v>
      </c>
      <c r="E554" s="19">
        <f>IF('Boletins Nuppa Site'!H554&lt;&gt;0,'Boletins Nuppa Site'!H554,"NULL")</f>
        <v>48</v>
      </c>
      <c r="F554" s="19">
        <f>IF('Boletins Nuppa Site'!I554&lt;&gt;0,'Boletins Nuppa Site'!I554,"NULL")</f>
        <v>78</v>
      </c>
      <c r="G554" s="19">
        <f>IF('Boletins Nuppa Site'!J554&lt;&gt;0,'Boletins Nuppa Site'!J554,"NULL")</f>
        <v>60</v>
      </c>
      <c r="H554" s="19">
        <f>IF('Boletins Nuppa Site'!K554&lt;&gt;0,'Boletins Nuppa Site'!K554,"NULL")</f>
        <v>54</v>
      </c>
      <c r="J554" s="1" t="str">
        <f t="shared" si="8"/>
        <v>INSERT INTO COTACAO (blt_id, pap_id, cot_prc_comum, cot_prc_min, cot_prc_max, cot_prc_med, cot_prc_mediana) VALUES (15, 1, NULL, 48, 78, 60, 54);</v>
      </c>
    </row>
    <row r="555" spans="1:10" x14ac:dyDescent="0.3">
      <c r="A555" s="1">
        <v>554</v>
      </c>
      <c r="B555" s="1">
        <v>15</v>
      </c>
      <c r="C555" s="1">
        <v>2</v>
      </c>
      <c r="D555" s="19">
        <f>IF('Boletins Nuppa Site'!G555&lt;&gt;0,'Boletins Nuppa Site'!G555,"NULL")</f>
        <v>72</v>
      </c>
      <c r="E555" s="19">
        <f>IF('Boletins Nuppa Site'!H555&lt;&gt;0,'Boletins Nuppa Site'!H555,"NULL")</f>
        <v>72</v>
      </c>
      <c r="F555" s="19">
        <f>IF('Boletins Nuppa Site'!I555&lt;&gt;0,'Boletins Nuppa Site'!I555,"NULL")</f>
        <v>84</v>
      </c>
      <c r="G555" s="19">
        <f>IF('Boletins Nuppa Site'!J555&lt;&gt;0,'Boletins Nuppa Site'!J555,"NULL")</f>
        <v>76</v>
      </c>
      <c r="H555" s="19">
        <f>IF('Boletins Nuppa Site'!K555&lt;&gt;0,'Boletins Nuppa Site'!K555,"NULL")</f>
        <v>72</v>
      </c>
      <c r="J555" s="1" t="str">
        <f t="shared" si="8"/>
        <v>INSERT INTO COTACAO (blt_id, pap_id, cot_prc_comum, cot_prc_min, cot_prc_max, cot_prc_med, cot_prc_mediana) VALUES (15, 2, 72, 72, 84, 76, 72);</v>
      </c>
    </row>
    <row r="556" spans="1:10" x14ac:dyDescent="0.3">
      <c r="A556" s="1">
        <v>555</v>
      </c>
      <c r="B556" s="1">
        <v>15</v>
      </c>
      <c r="C556" s="1">
        <v>3</v>
      </c>
      <c r="D556" s="1" t="str">
        <f>IF('Boletins Nuppa Site'!G556&lt;&gt;0,'Boletins Nuppa Site'!G556,"NULL")</f>
        <v>NULL</v>
      </c>
      <c r="E556" s="19">
        <f>IF('Boletins Nuppa Site'!H556&lt;&gt;0,'Boletins Nuppa Site'!H556,"NULL")</f>
        <v>48</v>
      </c>
      <c r="F556" s="19">
        <f>IF('Boletins Nuppa Site'!I556&lt;&gt;0,'Boletins Nuppa Site'!I556,"NULL")</f>
        <v>84</v>
      </c>
      <c r="G556" s="19">
        <f>IF('Boletins Nuppa Site'!J556&lt;&gt;0,'Boletins Nuppa Site'!J556,"NULL")</f>
        <v>68</v>
      </c>
      <c r="H556" s="19">
        <f>IF('Boletins Nuppa Site'!K556&lt;&gt;0,'Boletins Nuppa Site'!K556,"NULL")</f>
        <v>72</v>
      </c>
      <c r="J556" s="1" t="str">
        <f t="shared" si="8"/>
        <v>INSERT INTO COTACAO (blt_id, pap_id, cot_prc_comum, cot_prc_min, cot_prc_max, cot_prc_med, cot_prc_mediana) VALUES (15, 3, NULL, 48, 84, 68, 72);</v>
      </c>
    </row>
    <row r="557" spans="1:10" x14ac:dyDescent="0.3">
      <c r="A557" s="1">
        <v>556</v>
      </c>
      <c r="B557" s="1">
        <v>15</v>
      </c>
      <c r="C557" s="1">
        <v>4</v>
      </c>
      <c r="D557" s="19">
        <f>IF('Boletins Nuppa Site'!G557&lt;&gt;0,'Boletins Nuppa Site'!G557,"NULL")</f>
        <v>30</v>
      </c>
      <c r="E557" s="19">
        <f>IF('Boletins Nuppa Site'!H557&lt;&gt;0,'Boletins Nuppa Site'!H557,"NULL")</f>
        <v>25</v>
      </c>
      <c r="F557" s="19">
        <f>IF('Boletins Nuppa Site'!I557&lt;&gt;0,'Boletins Nuppa Site'!I557,"NULL")</f>
        <v>30</v>
      </c>
      <c r="G557" s="1" t="str">
        <f>IF('Boletins Nuppa Site'!J557&lt;&gt;0,'Boletins Nuppa Site'!J557,"NULL")</f>
        <v>28.33</v>
      </c>
      <c r="H557" s="19">
        <f>IF('Boletins Nuppa Site'!K557&lt;&gt;0,'Boletins Nuppa Site'!K557,"NULL")</f>
        <v>30</v>
      </c>
      <c r="J557" s="1" t="str">
        <f t="shared" si="8"/>
        <v>INSERT INTO COTACAO (blt_id, pap_id, cot_prc_comum, cot_prc_min, cot_prc_max, cot_prc_med, cot_prc_mediana) VALUES (15, 4, 30, 25, 30, 28.33, 30);</v>
      </c>
    </row>
    <row r="558" spans="1:10" x14ac:dyDescent="0.3">
      <c r="A558" s="1">
        <v>557</v>
      </c>
      <c r="B558" s="1">
        <v>15</v>
      </c>
      <c r="C558" s="1">
        <v>5</v>
      </c>
      <c r="D558" s="19">
        <f>IF('Boletins Nuppa Site'!G558&lt;&gt;0,'Boletins Nuppa Site'!G558,"NULL")</f>
        <v>30</v>
      </c>
      <c r="E558" s="19">
        <f>IF('Boletins Nuppa Site'!H558&lt;&gt;0,'Boletins Nuppa Site'!H558,"NULL")</f>
        <v>25</v>
      </c>
      <c r="F558" s="19">
        <f>IF('Boletins Nuppa Site'!I558&lt;&gt;0,'Boletins Nuppa Site'!I558,"NULL")</f>
        <v>30</v>
      </c>
      <c r="G558" s="1" t="str">
        <f>IF('Boletins Nuppa Site'!J558&lt;&gt;0,'Boletins Nuppa Site'!J558,"NULL")</f>
        <v>28.33</v>
      </c>
      <c r="H558" s="19">
        <f>IF('Boletins Nuppa Site'!K558&lt;&gt;0,'Boletins Nuppa Site'!K558,"NULL")</f>
        <v>30</v>
      </c>
      <c r="J558" s="1" t="str">
        <f t="shared" si="8"/>
        <v>INSERT INTO COTACAO (blt_id, pap_id, cot_prc_comum, cot_prc_min, cot_prc_max, cot_prc_med, cot_prc_mediana) VALUES (15, 5, 30, 25, 30, 28.33, 30);</v>
      </c>
    </row>
    <row r="559" spans="1:10" x14ac:dyDescent="0.3">
      <c r="A559" s="1">
        <v>558</v>
      </c>
      <c r="B559" s="1">
        <v>15</v>
      </c>
      <c r="C559" s="1">
        <v>6</v>
      </c>
      <c r="D559" s="19">
        <f>IF('Boletins Nuppa Site'!G559&lt;&gt;0,'Boletins Nuppa Site'!G559,"NULL")</f>
        <v>60</v>
      </c>
      <c r="E559" s="19">
        <f>IF('Boletins Nuppa Site'!H559&lt;&gt;0,'Boletins Nuppa Site'!H559,"NULL")</f>
        <v>54</v>
      </c>
      <c r="F559" s="19">
        <f>IF('Boletins Nuppa Site'!I559&lt;&gt;0,'Boletins Nuppa Site'!I559,"NULL")</f>
        <v>60</v>
      </c>
      <c r="G559" s="19">
        <f>IF('Boletins Nuppa Site'!J559&lt;&gt;0,'Boletins Nuppa Site'!J559,"NULL")</f>
        <v>58</v>
      </c>
      <c r="H559" s="19">
        <f>IF('Boletins Nuppa Site'!K559&lt;&gt;0,'Boletins Nuppa Site'!K559,"NULL")</f>
        <v>60</v>
      </c>
      <c r="J559" s="1" t="str">
        <f t="shared" si="8"/>
        <v>INSERT INTO COTACAO (blt_id, pap_id, cot_prc_comum, cot_prc_min, cot_prc_max, cot_prc_med, cot_prc_mediana) VALUES (15, 6, 60, 54, 60, 58, 60);</v>
      </c>
    </row>
    <row r="560" spans="1:10" x14ac:dyDescent="0.3">
      <c r="A560" s="1">
        <v>559</v>
      </c>
      <c r="B560" s="1">
        <v>15</v>
      </c>
      <c r="C560" s="1">
        <v>7</v>
      </c>
      <c r="D560" s="19">
        <f>IF('Boletins Nuppa Site'!G560&lt;&gt;0,'Boletins Nuppa Site'!G560,"NULL")</f>
        <v>72</v>
      </c>
      <c r="E560" s="19">
        <f>IF('Boletins Nuppa Site'!H560&lt;&gt;0,'Boletins Nuppa Site'!H560,"NULL")</f>
        <v>72</v>
      </c>
      <c r="F560" s="19">
        <f>IF('Boletins Nuppa Site'!I560&lt;&gt;0,'Boletins Nuppa Site'!I560,"NULL")</f>
        <v>84</v>
      </c>
      <c r="G560" s="19">
        <f>IF('Boletins Nuppa Site'!J560&lt;&gt;0,'Boletins Nuppa Site'!J560,"NULL")</f>
        <v>76</v>
      </c>
      <c r="H560" s="19">
        <f>IF('Boletins Nuppa Site'!K560&lt;&gt;0,'Boletins Nuppa Site'!K560,"NULL")</f>
        <v>72</v>
      </c>
      <c r="J560" s="1" t="str">
        <f t="shared" si="8"/>
        <v>INSERT INTO COTACAO (blt_id, pap_id, cot_prc_comum, cot_prc_min, cot_prc_max, cot_prc_med, cot_prc_mediana) VALUES (15, 7, 72, 72, 84, 76, 72);</v>
      </c>
    </row>
    <row r="561" spans="1:10" x14ac:dyDescent="0.3">
      <c r="A561" s="1">
        <v>560</v>
      </c>
      <c r="B561" s="1">
        <v>15</v>
      </c>
      <c r="C561" s="1">
        <v>8</v>
      </c>
      <c r="D561" s="1" t="str">
        <f>IF('Boletins Nuppa Site'!G561&lt;&gt;0,'Boletins Nuppa Site'!G561,"NULL")</f>
        <v>NULL</v>
      </c>
      <c r="E561" s="19">
        <f>IF('Boletins Nuppa Site'!H561&lt;&gt;0,'Boletins Nuppa Site'!H561,"NULL")</f>
        <v>84</v>
      </c>
      <c r="F561" s="19">
        <f>IF('Boletins Nuppa Site'!I561&lt;&gt;0,'Boletins Nuppa Site'!I561,"NULL")</f>
        <v>96</v>
      </c>
      <c r="G561" s="1" t="str">
        <f>IF('Boletins Nuppa Site'!J561&lt;&gt;0,'Boletins Nuppa Site'!J561,"NULL")</f>
        <v>91.67</v>
      </c>
      <c r="H561" s="19">
        <f>IF('Boletins Nuppa Site'!K561&lt;&gt;0,'Boletins Nuppa Site'!K561,"NULL")</f>
        <v>95</v>
      </c>
      <c r="J561" s="1" t="str">
        <f t="shared" si="8"/>
        <v>INSERT INTO COTACAO (blt_id, pap_id, cot_prc_comum, cot_prc_min, cot_prc_max, cot_prc_med, cot_prc_mediana) VALUES (15, 8, NULL, 84, 96, 91.67, 95);</v>
      </c>
    </row>
    <row r="562" spans="1:10" x14ac:dyDescent="0.3">
      <c r="A562" s="1">
        <v>561</v>
      </c>
      <c r="B562" s="1">
        <v>15</v>
      </c>
      <c r="C562" s="1">
        <v>9</v>
      </c>
      <c r="D562" s="19">
        <f>IF('Boletins Nuppa Site'!G562&lt;&gt;0,'Boletins Nuppa Site'!G562,"NULL")</f>
        <v>30</v>
      </c>
      <c r="E562" s="19">
        <f>IF('Boletins Nuppa Site'!H562&lt;&gt;0,'Boletins Nuppa Site'!H562,"NULL")</f>
        <v>24</v>
      </c>
      <c r="F562" s="19">
        <f>IF('Boletins Nuppa Site'!I562&lt;&gt;0,'Boletins Nuppa Site'!I562,"NULL")</f>
        <v>30</v>
      </c>
      <c r="G562" s="19">
        <f>IF('Boletins Nuppa Site'!J562&lt;&gt;0,'Boletins Nuppa Site'!J562,"NULL")</f>
        <v>28</v>
      </c>
      <c r="H562" s="19">
        <f>IF('Boletins Nuppa Site'!K562&lt;&gt;0,'Boletins Nuppa Site'!K562,"NULL")</f>
        <v>30</v>
      </c>
      <c r="J562" s="1" t="str">
        <f t="shared" si="8"/>
        <v>INSERT INTO COTACAO (blt_id, pap_id, cot_prc_comum, cot_prc_min, cot_prc_max, cot_prc_med, cot_prc_mediana) VALUES (15, 9, 30, 24, 30, 28, 30);</v>
      </c>
    </row>
    <row r="563" spans="1:10" x14ac:dyDescent="0.3">
      <c r="A563" s="1">
        <v>562</v>
      </c>
      <c r="B563" s="1">
        <v>15</v>
      </c>
      <c r="C563" s="1">
        <v>10</v>
      </c>
      <c r="D563" s="1" t="str">
        <f>IF('Boletins Nuppa Site'!G563&lt;&gt;0,'Boletins Nuppa Site'!G563,"NULL")</f>
        <v>NULL</v>
      </c>
      <c r="E563" s="19">
        <f>IF('Boletins Nuppa Site'!H563&lt;&gt;0,'Boletins Nuppa Site'!H563,"NULL")</f>
        <v>95</v>
      </c>
      <c r="F563" s="19">
        <f>IF('Boletins Nuppa Site'!I563&lt;&gt;0,'Boletins Nuppa Site'!I563,"NULL")</f>
        <v>108</v>
      </c>
      <c r="G563" s="1" t="str">
        <f>IF('Boletins Nuppa Site'!J563&lt;&gt;0,'Boletins Nuppa Site'!J563,"NULL")</f>
        <v>99.67</v>
      </c>
      <c r="H563" s="19">
        <f>IF('Boletins Nuppa Site'!K563&lt;&gt;0,'Boletins Nuppa Site'!K563,"NULL")</f>
        <v>96</v>
      </c>
      <c r="J563" s="1" t="str">
        <f t="shared" si="8"/>
        <v>INSERT INTO COTACAO (blt_id, pap_id, cot_prc_comum, cot_prc_min, cot_prc_max, cot_prc_med, cot_prc_mediana) VALUES (15, 10, NULL, 95, 108, 99.67, 96);</v>
      </c>
    </row>
    <row r="564" spans="1:10" x14ac:dyDescent="0.3">
      <c r="A564" s="1">
        <v>563</v>
      </c>
      <c r="B564" s="1">
        <v>15</v>
      </c>
      <c r="C564" s="1">
        <v>11</v>
      </c>
      <c r="D564" s="19">
        <f>IF('Boletins Nuppa Site'!G564&lt;&gt;0,'Boletins Nuppa Site'!G564,"NULL")</f>
        <v>30</v>
      </c>
      <c r="E564" s="19">
        <f>IF('Boletins Nuppa Site'!H564&lt;&gt;0,'Boletins Nuppa Site'!H564,"NULL")</f>
        <v>25</v>
      </c>
      <c r="F564" s="19">
        <f>IF('Boletins Nuppa Site'!I564&lt;&gt;0,'Boletins Nuppa Site'!I564,"NULL")</f>
        <v>30</v>
      </c>
      <c r="G564" s="1" t="str">
        <f>IF('Boletins Nuppa Site'!J564&lt;&gt;0,'Boletins Nuppa Site'!J564,"NULL")</f>
        <v>28.33</v>
      </c>
      <c r="H564" s="19">
        <f>IF('Boletins Nuppa Site'!K564&lt;&gt;0,'Boletins Nuppa Site'!K564,"NULL")</f>
        <v>30</v>
      </c>
      <c r="J564" s="1" t="str">
        <f t="shared" si="8"/>
        <v>INSERT INTO COTACAO (blt_id, pap_id, cot_prc_comum, cot_prc_min, cot_prc_max, cot_prc_med, cot_prc_mediana) VALUES (15, 11, 30, 25, 30, 28.33, 30);</v>
      </c>
    </row>
    <row r="565" spans="1:10" x14ac:dyDescent="0.3">
      <c r="A565" s="1">
        <v>564</v>
      </c>
      <c r="B565" s="1">
        <v>15</v>
      </c>
      <c r="C565" s="1">
        <v>12</v>
      </c>
      <c r="D565" s="19">
        <f>IF('Boletins Nuppa Site'!G565&lt;&gt;0,'Boletins Nuppa Site'!G565,"NULL")</f>
        <v>84</v>
      </c>
      <c r="E565" s="19">
        <f>IF('Boletins Nuppa Site'!H565&lt;&gt;0,'Boletins Nuppa Site'!H565,"NULL")</f>
        <v>78</v>
      </c>
      <c r="F565" s="19">
        <f>IF('Boletins Nuppa Site'!I565&lt;&gt;0,'Boletins Nuppa Site'!I565,"NULL")</f>
        <v>84</v>
      </c>
      <c r="G565" s="19">
        <f>IF('Boletins Nuppa Site'!J565&lt;&gt;0,'Boletins Nuppa Site'!J565,"NULL")</f>
        <v>82</v>
      </c>
      <c r="H565" s="19">
        <f>IF('Boletins Nuppa Site'!K565&lt;&gt;0,'Boletins Nuppa Site'!K565,"NULL")</f>
        <v>84</v>
      </c>
      <c r="J565" s="1" t="str">
        <f t="shared" si="8"/>
        <v>INSERT INTO COTACAO (blt_id, pap_id, cot_prc_comum, cot_prc_min, cot_prc_max, cot_prc_med, cot_prc_mediana) VALUES (15, 12, 84, 78, 84, 82, 84);</v>
      </c>
    </row>
    <row r="566" spans="1:10" x14ac:dyDescent="0.3">
      <c r="A566" s="1">
        <v>565</v>
      </c>
      <c r="B566" s="1">
        <v>15</v>
      </c>
      <c r="C566" s="1">
        <v>13</v>
      </c>
      <c r="D566" s="19">
        <f>IF('Boletins Nuppa Site'!G566&lt;&gt;0,'Boletins Nuppa Site'!G566,"NULL")</f>
        <v>60</v>
      </c>
      <c r="E566" s="19">
        <f>IF('Boletins Nuppa Site'!H566&lt;&gt;0,'Boletins Nuppa Site'!H566,"NULL")</f>
        <v>60</v>
      </c>
      <c r="F566" s="19">
        <f>IF('Boletins Nuppa Site'!I566&lt;&gt;0,'Boletins Nuppa Site'!I566,"NULL")</f>
        <v>84</v>
      </c>
      <c r="G566" s="19">
        <f>IF('Boletins Nuppa Site'!J566&lt;&gt;0,'Boletins Nuppa Site'!J566,"NULL")</f>
        <v>68</v>
      </c>
      <c r="H566" s="19">
        <f>IF('Boletins Nuppa Site'!K566&lt;&gt;0,'Boletins Nuppa Site'!K566,"NULL")</f>
        <v>60</v>
      </c>
      <c r="J566" s="1" t="str">
        <f t="shared" si="8"/>
        <v>INSERT INTO COTACAO (blt_id, pap_id, cot_prc_comum, cot_prc_min, cot_prc_max, cot_prc_med, cot_prc_mediana) VALUES (15, 13, 60, 60, 84, 68, 60);</v>
      </c>
    </row>
    <row r="567" spans="1:10" x14ac:dyDescent="0.3">
      <c r="A567" s="1">
        <v>566</v>
      </c>
      <c r="B567" s="1">
        <v>15</v>
      </c>
      <c r="C567" s="1">
        <v>14</v>
      </c>
      <c r="D567" s="1" t="str">
        <f>IF('Boletins Nuppa Site'!G567&lt;&gt;0,'Boletins Nuppa Site'!G567,"NULL")</f>
        <v>NULL</v>
      </c>
      <c r="E567" s="19">
        <f>IF('Boletins Nuppa Site'!H567&lt;&gt;0,'Boletins Nuppa Site'!H567,"NULL")</f>
        <v>55</v>
      </c>
      <c r="F567" s="19">
        <f>IF('Boletins Nuppa Site'!I567&lt;&gt;0,'Boletins Nuppa Site'!I567,"NULL")</f>
        <v>84</v>
      </c>
      <c r="G567" s="1" t="str">
        <f>IF('Boletins Nuppa Site'!J567&lt;&gt;0,'Boletins Nuppa Site'!J567,"NULL")</f>
        <v>70.33</v>
      </c>
      <c r="H567" s="19">
        <f>IF('Boletins Nuppa Site'!K567&lt;&gt;0,'Boletins Nuppa Site'!K567,"NULL")</f>
        <v>72</v>
      </c>
      <c r="J567" s="1" t="str">
        <f t="shared" si="8"/>
        <v>INSERT INTO COTACAO (blt_id, pap_id, cot_prc_comum, cot_prc_min, cot_prc_max, cot_prc_med, cot_prc_mediana) VALUES (15, 14, NULL, 55, 84, 70.33, 72);</v>
      </c>
    </row>
    <row r="568" spans="1:10" x14ac:dyDescent="0.3">
      <c r="A568" s="1">
        <v>567</v>
      </c>
      <c r="B568" s="1">
        <v>15</v>
      </c>
      <c r="C568" s="1">
        <v>15</v>
      </c>
      <c r="D568" s="1" t="str">
        <f>IF('Boletins Nuppa Site'!G568&lt;&gt;0,'Boletins Nuppa Site'!G568,"NULL")</f>
        <v>NULL</v>
      </c>
      <c r="E568" s="19">
        <f>IF('Boletins Nuppa Site'!H568&lt;&gt;0,'Boletins Nuppa Site'!H568,"NULL")</f>
        <v>48</v>
      </c>
      <c r="F568" s="19">
        <f>IF('Boletins Nuppa Site'!I568&lt;&gt;0,'Boletins Nuppa Site'!I568,"NULL")</f>
        <v>70</v>
      </c>
      <c r="G568" s="19">
        <f>IF('Boletins Nuppa Site'!J568&lt;&gt;0,'Boletins Nuppa Site'!J568,"NULL")</f>
        <v>56</v>
      </c>
      <c r="H568" s="19">
        <f>IF('Boletins Nuppa Site'!K568&lt;&gt;0,'Boletins Nuppa Site'!K568,"NULL")</f>
        <v>50</v>
      </c>
      <c r="J568" s="1" t="str">
        <f t="shared" si="8"/>
        <v>INSERT INTO COTACAO (blt_id, pap_id, cot_prc_comum, cot_prc_min, cot_prc_max, cot_prc_med, cot_prc_mediana) VALUES (15, 15, NULL, 48, 70, 56, 50);</v>
      </c>
    </row>
    <row r="569" spans="1:10" x14ac:dyDescent="0.3">
      <c r="A569" s="1">
        <v>568</v>
      </c>
      <c r="B569" s="1">
        <v>15</v>
      </c>
      <c r="C569" s="1">
        <v>16</v>
      </c>
      <c r="D569" s="19">
        <f>IF('Boletins Nuppa Site'!G569&lt;&gt;0,'Boletins Nuppa Site'!G569,"NULL")</f>
        <v>54</v>
      </c>
      <c r="E569" s="19">
        <f>IF('Boletins Nuppa Site'!H569&lt;&gt;0,'Boletins Nuppa Site'!H569,"NULL")</f>
        <v>48</v>
      </c>
      <c r="F569" s="19">
        <f>IF('Boletins Nuppa Site'!I569&lt;&gt;0,'Boletins Nuppa Site'!I569,"NULL")</f>
        <v>54</v>
      </c>
      <c r="G569" s="19">
        <f>IF('Boletins Nuppa Site'!J569&lt;&gt;0,'Boletins Nuppa Site'!J569,"NULL")</f>
        <v>52</v>
      </c>
      <c r="H569" s="19">
        <f>IF('Boletins Nuppa Site'!K569&lt;&gt;0,'Boletins Nuppa Site'!K569,"NULL")</f>
        <v>54</v>
      </c>
      <c r="J569" s="1" t="str">
        <f t="shared" si="8"/>
        <v>INSERT INTO COTACAO (blt_id, pap_id, cot_prc_comum, cot_prc_min, cot_prc_max, cot_prc_med, cot_prc_mediana) VALUES (15, 16, 54, 48, 54, 52, 54);</v>
      </c>
    </row>
    <row r="570" spans="1:10" x14ac:dyDescent="0.3">
      <c r="A570" s="1">
        <v>569</v>
      </c>
      <c r="B570" s="1">
        <v>15</v>
      </c>
      <c r="C570" s="1">
        <v>17</v>
      </c>
      <c r="D570" s="19">
        <f>IF('Boletins Nuppa Site'!G570&lt;&gt;0,'Boletins Nuppa Site'!G570,"NULL")</f>
        <v>60</v>
      </c>
      <c r="E570" s="19">
        <f>IF('Boletins Nuppa Site'!H570&lt;&gt;0,'Boletins Nuppa Site'!H570,"NULL")</f>
        <v>60</v>
      </c>
      <c r="F570" s="19">
        <f>IF('Boletins Nuppa Site'!I570&lt;&gt;0,'Boletins Nuppa Site'!I570,"NULL")</f>
        <v>72</v>
      </c>
      <c r="G570" s="19">
        <f>IF('Boletins Nuppa Site'!J570&lt;&gt;0,'Boletins Nuppa Site'!J570,"NULL")</f>
        <v>64</v>
      </c>
      <c r="H570" s="19">
        <f>IF('Boletins Nuppa Site'!K570&lt;&gt;0,'Boletins Nuppa Site'!K570,"NULL")</f>
        <v>60</v>
      </c>
      <c r="J570" s="1" t="str">
        <f t="shared" si="8"/>
        <v>INSERT INTO COTACAO (blt_id, pap_id, cot_prc_comum, cot_prc_min, cot_prc_max, cot_prc_med, cot_prc_mediana) VALUES (15, 17, 60, 60, 72, 64, 60);</v>
      </c>
    </row>
    <row r="571" spans="1:10" x14ac:dyDescent="0.3">
      <c r="A571" s="1">
        <v>570</v>
      </c>
      <c r="B571" s="1">
        <v>15</v>
      </c>
      <c r="C571" s="1">
        <v>18</v>
      </c>
      <c r="D571" s="1" t="str">
        <f>IF('Boletins Nuppa Site'!G571&lt;&gt;0,'Boletins Nuppa Site'!G571,"NULL")</f>
        <v>NULL</v>
      </c>
      <c r="E571" s="19">
        <f>IF('Boletins Nuppa Site'!H571&lt;&gt;0,'Boletins Nuppa Site'!H571,"NULL")</f>
        <v>20</v>
      </c>
      <c r="F571" s="19">
        <f>IF('Boletins Nuppa Site'!I571&lt;&gt;0,'Boletins Nuppa Site'!I571,"NULL")</f>
        <v>30</v>
      </c>
      <c r="G571" s="19">
        <f>IF('Boletins Nuppa Site'!J571&lt;&gt;0,'Boletins Nuppa Site'!J571,"NULL")</f>
        <v>25</v>
      </c>
      <c r="H571" s="19">
        <f>IF('Boletins Nuppa Site'!K571&lt;&gt;0,'Boletins Nuppa Site'!K571,"NULL")</f>
        <v>25</v>
      </c>
      <c r="J571" s="1" t="str">
        <f t="shared" si="8"/>
        <v>INSERT INTO COTACAO (blt_id, pap_id, cot_prc_comum, cot_prc_min, cot_prc_max, cot_prc_med, cot_prc_mediana) VALUES (15, 18, NULL, 20, 30, 25, 25);</v>
      </c>
    </row>
    <row r="572" spans="1:10" x14ac:dyDescent="0.3">
      <c r="A572" s="1">
        <v>571</v>
      </c>
      <c r="B572" s="1">
        <v>15</v>
      </c>
      <c r="C572" s="1">
        <v>19</v>
      </c>
      <c r="D572" s="19">
        <f>IF('Boletins Nuppa Site'!G572&lt;&gt;0,'Boletins Nuppa Site'!G572,"NULL")</f>
        <v>30</v>
      </c>
      <c r="E572" s="19">
        <f>IF('Boletins Nuppa Site'!H572&lt;&gt;0,'Boletins Nuppa Site'!H572,"NULL")</f>
        <v>30</v>
      </c>
      <c r="F572" s="19">
        <f>IF('Boletins Nuppa Site'!I572&lt;&gt;0,'Boletins Nuppa Site'!I572,"NULL")</f>
        <v>35</v>
      </c>
      <c r="G572" s="1" t="str">
        <f>IF('Boletins Nuppa Site'!J572&lt;&gt;0,'Boletins Nuppa Site'!J572,"NULL")</f>
        <v>31.67</v>
      </c>
      <c r="H572" s="19">
        <f>IF('Boletins Nuppa Site'!K572&lt;&gt;0,'Boletins Nuppa Site'!K572,"NULL")</f>
        <v>30</v>
      </c>
      <c r="J572" s="1" t="str">
        <f t="shared" si="8"/>
        <v>INSERT INTO COTACAO (blt_id, pap_id, cot_prc_comum, cot_prc_min, cot_prc_max, cot_prc_med, cot_prc_mediana) VALUES (15, 19, 30, 30, 35, 31.67, 30);</v>
      </c>
    </row>
    <row r="573" spans="1:10" x14ac:dyDescent="0.3">
      <c r="A573" s="1">
        <v>572</v>
      </c>
      <c r="B573" s="1">
        <v>15</v>
      </c>
      <c r="C573" s="1">
        <v>20</v>
      </c>
      <c r="D573" s="1" t="str">
        <f>IF('Boletins Nuppa Site'!G573&lt;&gt;0,'Boletins Nuppa Site'!G573,"NULL")</f>
        <v>NULL</v>
      </c>
      <c r="E573" s="19">
        <f>IF('Boletins Nuppa Site'!H573&lt;&gt;0,'Boletins Nuppa Site'!H573,"NULL")</f>
        <v>90</v>
      </c>
      <c r="F573" s="19">
        <f>IF('Boletins Nuppa Site'!I573&lt;&gt;0,'Boletins Nuppa Site'!I573,"NULL")</f>
        <v>90</v>
      </c>
      <c r="G573" s="19">
        <f>IF('Boletins Nuppa Site'!J573&lt;&gt;0,'Boletins Nuppa Site'!J573,"NULL")</f>
        <v>90</v>
      </c>
      <c r="H573" s="19">
        <f>IF('Boletins Nuppa Site'!K573&lt;&gt;0,'Boletins Nuppa Site'!K573,"NULL")</f>
        <v>90</v>
      </c>
      <c r="J573" s="1" t="str">
        <f t="shared" si="8"/>
        <v>INSERT INTO COTACAO (blt_id, pap_id, cot_prc_comum, cot_prc_min, cot_prc_max, cot_prc_med, cot_prc_mediana) VALUES (15, 20, NULL, 90, 90, 90, 90);</v>
      </c>
    </row>
    <row r="574" spans="1:10" x14ac:dyDescent="0.3">
      <c r="A574" s="1">
        <v>573</v>
      </c>
      <c r="B574" s="1">
        <v>15</v>
      </c>
      <c r="C574" s="1">
        <v>21</v>
      </c>
      <c r="D574" s="19">
        <f>IF('Boletins Nuppa Site'!G574&lt;&gt;0,'Boletins Nuppa Site'!G574,"NULL")</f>
        <v>70</v>
      </c>
      <c r="E574" s="19">
        <f>IF('Boletins Nuppa Site'!H574&lt;&gt;0,'Boletins Nuppa Site'!H574,"NULL")</f>
        <v>60</v>
      </c>
      <c r="F574" s="19">
        <f>IF('Boletins Nuppa Site'!I574&lt;&gt;0,'Boletins Nuppa Site'!I574,"NULL")</f>
        <v>70</v>
      </c>
      <c r="G574" s="19">
        <f>IF('Boletins Nuppa Site'!J574&lt;&gt;0,'Boletins Nuppa Site'!J574,"NULL")</f>
        <v>65</v>
      </c>
      <c r="H574" s="19">
        <f>IF('Boletins Nuppa Site'!K574&lt;&gt;0,'Boletins Nuppa Site'!K574,"NULL")</f>
        <v>65</v>
      </c>
      <c r="J574" s="1" t="str">
        <f t="shared" si="8"/>
        <v>INSERT INTO COTACAO (blt_id, pap_id, cot_prc_comum, cot_prc_min, cot_prc_max, cot_prc_med, cot_prc_mediana) VALUES (15, 21, 70, 60, 70, 65, 65);</v>
      </c>
    </row>
    <row r="575" spans="1:10" x14ac:dyDescent="0.3">
      <c r="A575" s="1">
        <v>574</v>
      </c>
      <c r="B575" s="1">
        <v>15</v>
      </c>
      <c r="C575" s="1">
        <v>22</v>
      </c>
      <c r="D575" s="1" t="str">
        <f>IF('Boletins Nuppa Site'!G575&lt;&gt;0,'Boletins Nuppa Site'!G575,"NULL")</f>
        <v>NULL</v>
      </c>
      <c r="E575" s="19">
        <f>IF('Boletins Nuppa Site'!H575&lt;&gt;0,'Boletins Nuppa Site'!H575,"NULL")</f>
        <v>45</v>
      </c>
      <c r="F575" s="19">
        <f>IF('Boletins Nuppa Site'!I575&lt;&gt;0,'Boletins Nuppa Site'!I575,"NULL")</f>
        <v>70</v>
      </c>
      <c r="G575" s="19">
        <f>IF('Boletins Nuppa Site'!J575&lt;&gt;0,'Boletins Nuppa Site'!J575,"NULL")</f>
        <v>60</v>
      </c>
      <c r="H575" s="1" t="str">
        <f>IF('Boletins Nuppa Site'!K575&lt;&gt;0,'Boletins Nuppa Site'!K575,"NULL")</f>
        <v>62.5</v>
      </c>
      <c r="J575" s="1" t="str">
        <f t="shared" si="8"/>
        <v>INSERT INTO COTACAO (blt_id, pap_id, cot_prc_comum, cot_prc_min, cot_prc_max, cot_prc_med, cot_prc_mediana) VALUES (15, 22, NULL, 45, 70, 60, 62.5);</v>
      </c>
    </row>
    <row r="576" spans="1:10" x14ac:dyDescent="0.3">
      <c r="A576" s="1">
        <v>575</v>
      </c>
      <c r="B576" s="1">
        <v>15</v>
      </c>
      <c r="C576" s="1">
        <v>23</v>
      </c>
      <c r="D576" s="19">
        <f>IF('Boletins Nuppa Site'!G576&lt;&gt;0,'Boletins Nuppa Site'!G576,"NULL")</f>
        <v>40</v>
      </c>
      <c r="E576" s="19">
        <f>IF('Boletins Nuppa Site'!H576&lt;&gt;0,'Boletins Nuppa Site'!H576,"NULL")</f>
        <v>40</v>
      </c>
      <c r="F576" s="19">
        <f>IF('Boletins Nuppa Site'!I576&lt;&gt;0,'Boletins Nuppa Site'!I576,"NULL")</f>
        <v>50</v>
      </c>
      <c r="G576" s="1" t="str">
        <f>IF('Boletins Nuppa Site'!J576&lt;&gt;0,'Boletins Nuppa Site'!J576,"NULL")</f>
        <v>43.75</v>
      </c>
      <c r="H576" s="1" t="str">
        <f>IF('Boletins Nuppa Site'!K576&lt;&gt;0,'Boletins Nuppa Site'!K576,"NULL")</f>
        <v>42.5</v>
      </c>
      <c r="J576" s="1" t="str">
        <f t="shared" si="8"/>
        <v>INSERT INTO COTACAO (blt_id, pap_id, cot_prc_comum, cot_prc_min, cot_prc_max, cot_prc_med, cot_prc_mediana) VALUES (15, 23, 40, 40, 50, 43.75, 42.5);</v>
      </c>
    </row>
    <row r="577" spans="1:10" x14ac:dyDescent="0.3">
      <c r="A577" s="1">
        <v>576</v>
      </c>
      <c r="B577" s="1">
        <v>15</v>
      </c>
      <c r="C577" s="1">
        <v>24</v>
      </c>
      <c r="D577" s="1" t="str">
        <f>IF('Boletins Nuppa Site'!G577&lt;&gt;0,'Boletins Nuppa Site'!G577,"NULL")</f>
        <v>NULL</v>
      </c>
      <c r="E577" s="19">
        <f>IF('Boletins Nuppa Site'!H577&lt;&gt;0,'Boletins Nuppa Site'!H577,"NULL")</f>
        <v>90</v>
      </c>
      <c r="F577" s="19">
        <f>IF('Boletins Nuppa Site'!I577&lt;&gt;0,'Boletins Nuppa Site'!I577,"NULL")</f>
        <v>110</v>
      </c>
      <c r="G577" s="19">
        <f>IF('Boletins Nuppa Site'!J577&lt;&gt;0,'Boletins Nuppa Site'!J577,"NULL")</f>
        <v>100</v>
      </c>
      <c r="H577" s="19">
        <f>IF('Boletins Nuppa Site'!K577&lt;&gt;0,'Boletins Nuppa Site'!K577,"NULL")</f>
        <v>100</v>
      </c>
      <c r="J577" s="1" t="str">
        <f t="shared" si="8"/>
        <v>INSERT INTO COTACAO (blt_id, pap_id, cot_prc_comum, cot_prc_min, cot_prc_max, cot_prc_med, cot_prc_mediana) VALUES (15, 24, NULL, 90, 110, 100, 100);</v>
      </c>
    </row>
    <row r="578" spans="1:10" x14ac:dyDescent="0.3">
      <c r="A578" s="1">
        <v>577</v>
      </c>
      <c r="B578" s="1">
        <v>15</v>
      </c>
      <c r="C578" s="1">
        <v>25</v>
      </c>
      <c r="D578" s="1" t="str">
        <f>IF('Boletins Nuppa Site'!G578&lt;&gt;0,'Boletins Nuppa Site'!G578,"NULL")</f>
        <v>NULL</v>
      </c>
      <c r="E578" s="19">
        <f>IF('Boletins Nuppa Site'!H578&lt;&gt;0,'Boletins Nuppa Site'!H578,"NULL")</f>
        <v>100</v>
      </c>
      <c r="F578" s="19">
        <f>IF('Boletins Nuppa Site'!I578&lt;&gt;0,'Boletins Nuppa Site'!I578,"NULL")</f>
        <v>160</v>
      </c>
      <c r="G578" s="1" t="str">
        <f>IF('Boletins Nuppa Site'!J578&lt;&gt;0,'Boletins Nuppa Site'!J578,"NULL")</f>
        <v>132.5</v>
      </c>
      <c r="H578" s="19">
        <f>IF('Boletins Nuppa Site'!K578&lt;&gt;0,'Boletins Nuppa Site'!K578,"NULL")</f>
        <v>135</v>
      </c>
      <c r="J578" s="1" t="str">
        <f t="shared" ref="J578:J641" si="9">"INSERT INTO COTACAO (blt_id, pap_id, cot_prc_comum, cot_prc_min, cot_prc_max, cot_prc_med, cot_prc_mediana) VALUES ("&amp;B578&amp;", "&amp;C578&amp;", "&amp;D578&amp;", "&amp;E578&amp;", "&amp;F578&amp;", "&amp;G578&amp;", "&amp;H578&amp;");"</f>
        <v>INSERT INTO COTACAO (blt_id, pap_id, cot_prc_comum, cot_prc_min, cot_prc_max, cot_prc_med, cot_prc_mediana) VALUES (15, 25, NULL, 100, 160, 132.5, 135);</v>
      </c>
    </row>
    <row r="579" spans="1:10" x14ac:dyDescent="0.3">
      <c r="A579" s="1">
        <v>578</v>
      </c>
      <c r="B579" s="1">
        <v>15</v>
      </c>
      <c r="C579" s="1">
        <v>26</v>
      </c>
      <c r="D579" s="19">
        <f>IF('Boletins Nuppa Site'!G579&lt;&gt;0,'Boletins Nuppa Site'!G579,"NULL")</f>
        <v>160</v>
      </c>
      <c r="E579" s="19">
        <f>IF('Boletins Nuppa Site'!H579&lt;&gt;0,'Boletins Nuppa Site'!H579,"NULL")</f>
        <v>80</v>
      </c>
      <c r="F579" s="19">
        <f>IF('Boletins Nuppa Site'!I579&lt;&gt;0,'Boletins Nuppa Site'!I579,"NULL")</f>
        <v>170</v>
      </c>
      <c r="G579" s="19">
        <f>IF('Boletins Nuppa Site'!J579&lt;&gt;0,'Boletins Nuppa Site'!J579,"NULL")</f>
        <v>142</v>
      </c>
      <c r="H579" s="19">
        <f>IF('Boletins Nuppa Site'!K579&lt;&gt;0,'Boletins Nuppa Site'!K579,"NULL")</f>
        <v>160</v>
      </c>
      <c r="J579" s="1" t="str">
        <f t="shared" si="9"/>
        <v>INSERT INTO COTACAO (blt_id, pap_id, cot_prc_comum, cot_prc_min, cot_prc_max, cot_prc_med, cot_prc_mediana) VALUES (15, 26, 160, 80, 170, 142, 160);</v>
      </c>
    </row>
    <row r="580" spans="1:10" x14ac:dyDescent="0.3">
      <c r="A580" s="1">
        <v>579</v>
      </c>
      <c r="B580" s="1">
        <v>15</v>
      </c>
      <c r="C580" s="1">
        <v>27</v>
      </c>
      <c r="D580" s="19">
        <f>IF('Boletins Nuppa Site'!G580&lt;&gt;0,'Boletins Nuppa Site'!G580,"NULL")</f>
        <v>60</v>
      </c>
      <c r="E580" s="19">
        <f>IF('Boletins Nuppa Site'!H580&lt;&gt;0,'Boletins Nuppa Site'!H580,"NULL")</f>
        <v>45</v>
      </c>
      <c r="F580" s="19">
        <f>IF('Boletins Nuppa Site'!I580&lt;&gt;0,'Boletins Nuppa Site'!I580,"NULL")</f>
        <v>60</v>
      </c>
      <c r="G580" s="1" t="str">
        <f>IF('Boletins Nuppa Site'!J580&lt;&gt;0,'Boletins Nuppa Site'!J580,"NULL")</f>
        <v>56.25</v>
      </c>
      <c r="H580" s="19">
        <f>IF('Boletins Nuppa Site'!K580&lt;&gt;0,'Boletins Nuppa Site'!K580,"NULL")</f>
        <v>60</v>
      </c>
      <c r="J580" s="1" t="str">
        <f t="shared" si="9"/>
        <v>INSERT INTO COTACAO (blt_id, pap_id, cot_prc_comum, cot_prc_min, cot_prc_max, cot_prc_med, cot_prc_mediana) VALUES (15, 27, 60, 45, 60, 56.25, 60);</v>
      </c>
    </row>
    <row r="581" spans="1:10" x14ac:dyDescent="0.3">
      <c r="A581" s="1">
        <v>580</v>
      </c>
      <c r="B581" s="1">
        <v>15</v>
      </c>
      <c r="C581" s="1">
        <v>28</v>
      </c>
      <c r="D581" s="1" t="str">
        <f>IF('Boletins Nuppa Site'!G581&lt;&gt;0,'Boletins Nuppa Site'!G581,"NULL")</f>
        <v>NULL</v>
      </c>
      <c r="E581" s="19">
        <f>IF('Boletins Nuppa Site'!H581&lt;&gt;0,'Boletins Nuppa Site'!H581,"NULL")</f>
        <v>120</v>
      </c>
      <c r="F581" s="19">
        <f>IF('Boletins Nuppa Site'!I581&lt;&gt;0,'Boletins Nuppa Site'!I581,"NULL")</f>
        <v>120</v>
      </c>
      <c r="G581" s="19">
        <f>IF('Boletins Nuppa Site'!J581&lt;&gt;0,'Boletins Nuppa Site'!J581,"NULL")</f>
        <v>120</v>
      </c>
      <c r="H581" s="19">
        <f>IF('Boletins Nuppa Site'!K581&lt;&gt;0,'Boletins Nuppa Site'!K581,"NULL")</f>
        <v>120</v>
      </c>
      <c r="J581" s="1" t="str">
        <f t="shared" si="9"/>
        <v>INSERT INTO COTACAO (blt_id, pap_id, cot_prc_comum, cot_prc_min, cot_prc_max, cot_prc_med, cot_prc_mediana) VALUES (15, 28, NULL, 120, 120, 120, 120);</v>
      </c>
    </row>
    <row r="582" spans="1:10" x14ac:dyDescent="0.3">
      <c r="A582" s="1">
        <v>581</v>
      </c>
      <c r="B582" s="1">
        <v>15</v>
      </c>
      <c r="C582" s="1">
        <v>29</v>
      </c>
      <c r="D582" s="1" t="str">
        <f>IF('Boletins Nuppa Site'!G582&lt;&gt;0,'Boletins Nuppa Site'!G582,"NULL")</f>
        <v>NULL</v>
      </c>
      <c r="E582" s="1" t="str">
        <f>IF('Boletins Nuppa Site'!H582&lt;&gt;0,'Boletins Nuppa Site'!H582,"NULL")</f>
        <v>NULL</v>
      </c>
      <c r="F582" s="1" t="str">
        <f>IF('Boletins Nuppa Site'!I582&lt;&gt;0,'Boletins Nuppa Site'!I582,"NULL")</f>
        <v>NULL</v>
      </c>
      <c r="G582" s="1" t="str">
        <f>IF('Boletins Nuppa Site'!J582&lt;&gt;0,'Boletins Nuppa Site'!J582,"NULL")</f>
        <v>NULL</v>
      </c>
      <c r="H582" s="1" t="str">
        <f>IF('Boletins Nuppa Site'!K582&lt;&gt;0,'Boletins Nuppa Site'!K582,"NULL")</f>
        <v>NULL</v>
      </c>
      <c r="J582" s="1" t="str">
        <f t="shared" si="9"/>
        <v>INSERT INTO COTACAO (blt_id, pap_id, cot_prc_comum, cot_prc_min, cot_prc_max, cot_prc_med, cot_prc_mediana) VALUES (15, 29, NULL, NULL, NULL, NULL, NULL);</v>
      </c>
    </row>
    <row r="583" spans="1:10" x14ac:dyDescent="0.3">
      <c r="A583" s="1">
        <v>582</v>
      </c>
      <c r="B583" s="1">
        <v>15</v>
      </c>
      <c r="C583" s="1">
        <v>30</v>
      </c>
      <c r="D583" s="1" t="str">
        <f>IF('Boletins Nuppa Site'!G583&lt;&gt;0,'Boletins Nuppa Site'!G583,"NULL")</f>
        <v>NULL</v>
      </c>
      <c r="E583" s="19">
        <f>IF('Boletins Nuppa Site'!H583&lt;&gt;0,'Boletins Nuppa Site'!H583,"NULL")</f>
        <v>75</v>
      </c>
      <c r="F583" s="19">
        <f>IF('Boletins Nuppa Site'!I583&lt;&gt;0,'Boletins Nuppa Site'!I583,"NULL")</f>
        <v>75</v>
      </c>
      <c r="G583" s="19">
        <f>IF('Boletins Nuppa Site'!J583&lt;&gt;0,'Boletins Nuppa Site'!J583,"NULL")</f>
        <v>75</v>
      </c>
      <c r="H583" s="19">
        <f>IF('Boletins Nuppa Site'!K583&lt;&gt;0,'Boletins Nuppa Site'!K583,"NULL")</f>
        <v>75</v>
      </c>
      <c r="J583" s="1" t="str">
        <f t="shared" si="9"/>
        <v>INSERT INTO COTACAO (blt_id, pap_id, cot_prc_comum, cot_prc_min, cot_prc_max, cot_prc_med, cot_prc_mediana) VALUES (15, 30, NULL, 75, 75, 75, 75);</v>
      </c>
    </row>
    <row r="584" spans="1:10" x14ac:dyDescent="0.3">
      <c r="A584" s="1">
        <v>583</v>
      </c>
      <c r="B584" s="1">
        <v>15</v>
      </c>
      <c r="C584" s="1">
        <v>31</v>
      </c>
      <c r="D584" s="1" t="str">
        <f>IF('Boletins Nuppa Site'!G584&lt;&gt;0,'Boletins Nuppa Site'!G584,"NULL")</f>
        <v>NULL</v>
      </c>
      <c r="E584" s="19">
        <f>IF('Boletins Nuppa Site'!H584&lt;&gt;0,'Boletins Nuppa Site'!H584,"NULL")</f>
        <v>60</v>
      </c>
      <c r="F584" s="19">
        <f>IF('Boletins Nuppa Site'!I584&lt;&gt;0,'Boletins Nuppa Site'!I584,"NULL")</f>
        <v>90</v>
      </c>
      <c r="G584" s="1" t="str">
        <f>IF('Boletins Nuppa Site'!J584&lt;&gt;0,'Boletins Nuppa Site'!J584,"NULL")</f>
        <v>78.75</v>
      </c>
      <c r="H584" s="1" t="str">
        <f>IF('Boletins Nuppa Site'!K584&lt;&gt;0,'Boletins Nuppa Site'!K584,"NULL")</f>
        <v>82.5</v>
      </c>
      <c r="J584" s="1" t="str">
        <f t="shared" si="9"/>
        <v>INSERT INTO COTACAO (blt_id, pap_id, cot_prc_comum, cot_prc_min, cot_prc_max, cot_prc_med, cot_prc_mediana) VALUES (15, 31, NULL, 60, 90, 78.75, 82.5);</v>
      </c>
    </row>
    <row r="585" spans="1:10" x14ac:dyDescent="0.3">
      <c r="A585" s="1">
        <v>584</v>
      </c>
      <c r="B585" s="1">
        <v>15</v>
      </c>
      <c r="C585" s="1">
        <v>32</v>
      </c>
      <c r="D585" s="1" t="str">
        <f>IF('Boletins Nuppa Site'!G585&lt;&gt;0,'Boletins Nuppa Site'!G585,"NULL")</f>
        <v>NULL</v>
      </c>
      <c r="E585" s="19">
        <f>IF('Boletins Nuppa Site'!H585&lt;&gt;0,'Boletins Nuppa Site'!H585,"NULL")</f>
        <v>55</v>
      </c>
      <c r="F585" s="19">
        <f>IF('Boletins Nuppa Site'!I585&lt;&gt;0,'Boletins Nuppa Site'!I585,"NULL")</f>
        <v>75</v>
      </c>
      <c r="G585" s="19">
        <f>IF('Boletins Nuppa Site'!J585&lt;&gt;0,'Boletins Nuppa Site'!J585,"NULL")</f>
        <v>65</v>
      </c>
      <c r="H585" s="19">
        <f>IF('Boletins Nuppa Site'!K585&lt;&gt;0,'Boletins Nuppa Site'!K585,"NULL")</f>
        <v>65</v>
      </c>
      <c r="J585" s="1" t="str">
        <f t="shared" si="9"/>
        <v>INSERT INTO COTACAO (blt_id, pap_id, cot_prc_comum, cot_prc_min, cot_prc_max, cot_prc_med, cot_prc_mediana) VALUES (15, 32, NULL, 55, 75, 65, 65);</v>
      </c>
    </row>
    <row r="586" spans="1:10" x14ac:dyDescent="0.3">
      <c r="A586" s="1">
        <v>585</v>
      </c>
      <c r="B586" s="1">
        <v>15</v>
      </c>
      <c r="C586" s="1">
        <v>33</v>
      </c>
      <c r="D586" s="19">
        <f>IF('Boletins Nuppa Site'!G586&lt;&gt;0,'Boletins Nuppa Site'!G586,"NULL")</f>
        <v>120</v>
      </c>
      <c r="E586" s="19">
        <f>IF('Boletins Nuppa Site'!H586&lt;&gt;0,'Boletins Nuppa Site'!H586,"NULL")</f>
        <v>120</v>
      </c>
      <c r="F586" s="19">
        <f>IF('Boletins Nuppa Site'!I586&lt;&gt;0,'Boletins Nuppa Site'!I586,"NULL")</f>
        <v>120</v>
      </c>
      <c r="G586" s="19">
        <f>IF('Boletins Nuppa Site'!J586&lt;&gt;0,'Boletins Nuppa Site'!J586,"NULL")</f>
        <v>120</v>
      </c>
      <c r="H586" s="19">
        <f>IF('Boletins Nuppa Site'!K586&lt;&gt;0,'Boletins Nuppa Site'!K586,"NULL")</f>
        <v>120</v>
      </c>
      <c r="J586" s="1" t="str">
        <f t="shared" si="9"/>
        <v>INSERT INTO COTACAO (blt_id, pap_id, cot_prc_comum, cot_prc_min, cot_prc_max, cot_prc_med, cot_prc_mediana) VALUES (15, 33, 120, 120, 120, 120, 120);</v>
      </c>
    </row>
    <row r="587" spans="1:10" x14ac:dyDescent="0.3">
      <c r="A587" s="1">
        <v>586</v>
      </c>
      <c r="B587" s="1">
        <v>15</v>
      </c>
      <c r="C587" s="1">
        <v>34</v>
      </c>
      <c r="D587" s="1" t="str">
        <f>IF('Boletins Nuppa Site'!G587&lt;&gt;0,'Boletins Nuppa Site'!G587,"NULL")</f>
        <v>NULL</v>
      </c>
      <c r="E587" s="19">
        <f>IF('Boletins Nuppa Site'!H587&lt;&gt;0,'Boletins Nuppa Site'!H587,"NULL")</f>
        <v>110</v>
      </c>
      <c r="F587" s="19">
        <f>IF('Boletins Nuppa Site'!I587&lt;&gt;0,'Boletins Nuppa Site'!I587,"NULL")</f>
        <v>160</v>
      </c>
      <c r="G587" s="19">
        <f>IF('Boletins Nuppa Site'!J587&lt;&gt;0,'Boletins Nuppa Site'!J587,"NULL")</f>
        <v>140</v>
      </c>
      <c r="H587" s="19">
        <f>IF('Boletins Nuppa Site'!K587&lt;&gt;0,'Boletins Nuppa Site'!K587,"NULL")</f>
        <v>145</v>
      </c>
      <c r="J587" s="1" t="str">
        <f t="shared" si="9"/>
        <v>INSERT INTO COTACAO (blt_id, pap_id, cot_prc_comum, cot_prc_min, cot_prc_max, cot_prc_med, cot_prc_mediana) VALUES (15, 34, NULL, 110, 160, 140, 145);</v>
      </c>
    </row>
    <row r="588" spans="1:10" x14ac:dyDescent="0.3">
      <c r="A588" s="1">
        <v>587</v>
      </c>
      <c r="B588" s="1">
        <v>15</v>
      </c>
      <c r="C588" s="1">
        <v>35</v>
      </c>
      <c r="D588" s="1" t="str">
        <f>IF('Boletins Nuppa Site'!G588&lt;&gt;0,'Boletins Nuppa Site'!G588,"NULL")</f>
        <v>NULL</v>
      </c>
      <c r="E588" s="19">
        <f>IF('Boletins Nuppa Site'!H588&lt;&gt;0,'Boletins Nuppa Site'!H588,"NULL")</f>
        <v>110</v>
      </c>
      <c r="F588" s="19">
        <f>IF('Boletins Nuppa Site'!I588&lt;&gt;0,'Boletins Nuppa Site'!I588,"NULL")</f>
        <v>180</v>
      </c>
      <c r="G588" s="19">
        <f>IF('Boletins Nuppa Site'!J588&lt;&gt;0,'Boletins Nuppa Site'!J588,"NULL")</f>
        <v>145</v>
      </c>
      <c r="H588" s="19">
        <f>IF('Boletins Nuppa Site'!K588&lt;&gt;0,'Boletins Nuppa Site'!K588,"NULL")</f>
        <v>145</v>
      </c>
      <c r="J588" s="1" t="str">
        <f t="shared" si="9"/>
        <v>INSERT INTO COTACAO (blt_id, pap_id, cot_prc_comum, cot_prc_min, cot_prc_max, cot_prc_med, cot_prc_mediana) VALUES (15, 35, NULL, 110, 180, 145, 145);</v>
      </c>
    </row>
    <row r="589" spans="1:10" x14ac:dyDescent="0.3">
      <c r="A589" s="1">
        <v>588</v>
      </c>
      <c r="B589" s="1">
        <v>15</v>
      </c>
      <c r="C589" s="1">
        <v>36</v>
      </c>
      <c r="D589" s="1" t="str">
        <f>IF('Boletins Nuppa Site'!G589&lt;&gt;0,'Boletins Nuppa Site'!G589,"NULL")</f>
        <v>NULL</v>
      </c>
      <c r="E589" s="19">
        <f>IF('Boletins Nuppa Site'!H589&lt;&gt;0,'Boletins Nuppa Site'!H589,"NULL")</f>
        <v>110</v>
      </c>
      <c r="F589" s="19">
        <f>IF('Boletins Nuppa Site'!I589&lt;&gt;0,'Boletins Nuppa Site'!I589,"NULL")</f>
        <v>110</v>
      </c>
      <c r="G589" s="19">
        <f>IF('Boletins Nuppa Site'!J589&lt;&gt;0,'Boletins Nuppa Site'!J589,"NULL")</f>
        <v>110</v>
      </c>
      <c r="H589" s="19">
        <f>IF('Boletins Nuppa Site'!K589&lt;&gt;0,'Boletins Nuppa Site'!K589,"NULL")</f>
        <v>110</v>
      </c>
      <c r="J589" s="1" t="str">
        <f t="shared" si="9"/>
        <v>INSERT INTO COTACAO (blt_id, pap_id, cot_prc_comum, cot_prc_min, cot_prc_max, cot_prc_med, cot_prc_mediana) VALUES (15, 36, NULL, 110, 110, 110, 110);</v>
      </c>
    </row>
    <row r="590" spans="1:10" x14ac:dyDescent="0.3">
      <c r="A590" s="1">
        <v>589</v>
      </c>
      <c r="B590" s="1">
        <v>15</v>
      </c>
      <c r="C590" s="1">
        <v>37</v>
      </c>
      <c r="D590" s="19">
        <f>IF('Boletins Nuppa Site'!G590&lt;&gt;0,'Boletins Nuppa Site'!G590,"NULL")</f>
        <v>70</v>
      </c>
      <c r="E590" s="19">
        <f>IF('Boletins Nuppa Site'!H590&lt;&gt;0,'Boletins Nuppa Site'!H590,"NULL")</f>
        <v>70</v>
      </c>
      <c r="F590" s="19">
        <f>IF('Boletins Nuppa Site'!I590&lt;&gt;0,'Boletins Nuppa Site'!I590,"NULL")</f>
        <v>70</v>
      </c>
      <c r="G590" s="19">
        <f>IF('Boletins Nuppa Site'!J590&lt;&gt;0,'Boletins Nuppa Site'!J590,"NULL")</f>
        <v>70</v>
      </c>
      <c r="H590" s="19">
        <f>IF('Boletins Nuppa Site'!K590&lt;&gt;0,'Boletins Nuppa Site'!K590,"NULL")</f>
        <v>70</v>
      </c>
      <c r="J590" s="1" t="str">
        <f t="shared" si="9"/>
        <v>INSERT INTO COTACAO (blt_id, pap_id, cot_prc_comum, cot_prc_min, cot_prc_max, cot_prc_med, cot_prc_mediana) VALUES (15, 37, 70, 70, 70, 70, 70);</v>
      </c>
    </row>
    <row r="591" spans="1:10" x14ac:dyDescent="0.3">
      <c r="A591" s="1">
        <v>590</v>
      </c>
      <c r="B591" s="1">
        <v>15</v>
      </c>
      <c r="C591" s="1">
        <v>38</v>
      </c>
      <c r="D591" s="1" t="str">
        <f>IF('Boletins Nuppa Site'!G591&lt;&gt;0,'Boletins Nuppa Site'!G591,"NULL")</f>
        <v>NULL</v>
      </c>
      <c r="E591" s="19">
        <f>IF('Boletins Nuppa Site'!H591&lt;&gt;0,'Boletins Nuppa Site'!H591,"NULL")</f>
        <v>50</v>
      </c>
      <c r="F591" s="19">
        <f>IF('Boletins Nuppa Site'!I591&lt;&gt;0,'Boletins Nuppa Site'!I591,"NULL")</f>
        <v>60</v>
      </c>
      <c r="G591" s="19">
        <f>IF('Boletins Nuppa Site'!J591&lt;&gt;0,'Boletins Nuppa Site'!J591,"NULL")</f>
        <v>55</v>
      </c>
      <c r="H591" s="19">
        <f>IF('Boletins Nuppa Site'!K591&lt;&gt;0,'Boletins Nuppa Site'!K591,"NULL")</f>
        <v>55</v>
      </c>
      <c r="J591" s="1" t="str">
        <f t="shared" si="9"/>
        <v>INSERT INTO COTACAO (blt_id, pap_id, cot_prc_comum, cot_prc_min, cot_prc_max, cot_prc_med, cot_prc_mediana) VALUES (15, 38, NULL, 50, 60, 55, 55);</v>
      </c>
    </row>
    <row r="592" spans="1:10" x14ac:dyDescent="0.3">
      <c r="A592" s="1">
        <v>591</v>
      </c>
      <c r="B592" s="1">
        <v>15</v>
      </c>
      <c r="C592" s="1">
        <v>39</v>
      </c>
      <c r="D592" s="1" t="str">
        <f>IF('Boletins Nuppa Site'!G592&lt;&gt;0,'Boletins Nuppa Site'!G592,"NULL")</f>
        <v>NULL</v>
      </c>
      <c r="E592" s="19">
        <f>IF('Boletins Nuppa Site'!H592&lt;&gt;0,'Boletins Nuppa Site'!H592,"NULL")</f>
        <v>55</v>
      </c>
      <c r="F592" s="19">
        <f>IF('Boletins Nuppa Site'!I592&lt;&gt;0,'Boletins Nuppa Site'!I592,"NULL")</f>
        <v>55</v>
      </c>
      <c r="G592" s="19">
        <f>IF('Boletins Nuppa Site'!J592&lt;&gt;0,'Boletins Nuppa Site'!J592,"NULL")</f>
        <v>55</v>
      </c>
      <c r="H592" s="19">
        <f>IF('Boletins Nuppa Site'!K592&lt;&gt;0,'Boletins Nuppa Site'!K592,"NULL")</f>
        <v>55</v>
      </c>
      <c r="J592" s="1" t="str">
        <f t="shared" si="9"/>
        <v>INSERT INTO COTACAO (blt_id, pap_id, cot_prc_comum, cot_prc_min, cot_prc_max, cot_prc_med, cot_prc_mediana) VALUES (15, 39, NULL, 55, 55, 55, 55);</v>
      </c>
    </row>
    <row r="593" spans="1:10" x14ac:dyDescent="0.3">
      <c r="A593" s="1">
        <v>592</v>
      </c>
      <c r="B593" s="1">
        <v>15</v>
      </c>
      <c r="C593" s="1">
        <v>40</v>
      </c>
      <c r="D593" s="1" t="str">
        <f>IF('Boletins Nuppa Site'!G593&lt;&gt;0,'Boletins Nuppa Site'!G593,"NULL")</f>
        <v>NULL</v>
      </c>
      <c r="E593" s="19">
        <f>IF('Boletins Nuppa Site'!H593&lt;&gt;0,'Boletins Nuppa Site'!H593,"NULL")</f>
        <v>40</v>
      </c>
      <c r="F593" s="19">
        <f>IF('Boletins Nuppa Site'!I593&lt;&gt;0,'Boletins Nuppa Site'!I593,"NULL")</f>
        <v>55</v>
      </c>
      <c r="G593" s="1" t="str">
        <f>IF('Boletins Nuppa Site'!J593&lt;&gt;0,'Boletins Nuppa Site'!J593,"NULL")</f>
        <v>47.5</v>
      </c>
      <c r="H593" s="1" t="str">
        <f>IF('Boletins Nuppa Site'!K593&lt;&gt;0,'Boletins Nuppa Site'!K593,"NULL")</f>
        <v>47.5</v>
      </c>
      <c r="J593" s="1" t="str">
        <f t="shared" si="9"/>
        <v>INSERT INTO COTACAO (blt_id, pap_id, cot_prc_comum, cot_prc_min, cot_prc_max, cot_prc_med, cot_prc_mediana) VALUES (15, 40, NULL, 40, 55, 47.5, 47.5);</v>
      </c>
    </row>
    <row r="594" spans="1:10" x14ac:dyDescent="0.3">
      <c r="A594" s="1">
        <v>593</v>
      </c>
      <c r="B594" s="1">
        <v>16</v>
      </c>
      <c r="C594" s="1">
        <v>1</v>
      </c>
      <c r="D594" s="1" t="str">
        <f>IF('Boletins Nuppa Site'!G594&lt;&gt;0,'Boletins Nuppa Site'!G594,"NULL")</f>
        <v>NULL</v>
      </c>
      <c r="E594" s="19">
        <f>IF('Boletins Nuppa Site'!H594&lt;&gt;0,'Boletins Nuppa Site'!H594,"NULL")</f>
        <v>60</v>
      </c>
      <c r="F594" s="19">
        <f>IF('Boletins Nuppa Site'!I594&lt;&gt;0,'Boletins Nuppa Site'!I594,"NULL")</f>
        <v>72</v>
      </c>
      <c r="G594" s="19">
        <f>IF('Boletins Nuppa Site'!J594&lt;&gt;0,'Boletins Nuppa Site'!J594,"NULL")</f>
        <v>66</v>
      </c>
      <c r="H594" s="19">
        <f>IF('Boletins Nuppa Site'!K594&lt;&gt;0,'Boletins Nuppa Site'!K594,"NULL")</f>
        <v>66</v>
      </c>
      <c r="J594" s="1" t="str">
        <f t="shared" si="9"/>
        <v>INSERT INTO COTACAO (blt_id, pap_id, cot_prc_comum, cot_prc_min, cot_prc_max, cot_prc_med, cot_prc_mediana) VALUES (16, 1, NULL, 60, 72, 66, 66);</v>
      </c>
    </row>
    <row r="595" spans="1:10" x14ac:dyDescent="0.3">
      <c r="A595" s="1">
        <v>594</v>
      </c>
      <c r="B595" s="1">
        <v>16</v>
      </c>
      <c r="C595" s="1">
        <v>2</v>
      </c>
      <c r="D595" s="19">
        <f>IF('Boletins Nuppa Site'!G595&lt;&gt;0,'Boletins Nuppa Site'!G595,"NULL")</f>
        <v>84</v>
      </c>
      <c r="E595" s="19">
        <f>IF('Boletins Nuppa Site'!H595&lt;&gt;0,'Boletins Nuppa Site'!H595,"NULL")</f>
        <v>72</v>
      </c>
      <c r="F595" s="19">
        <f>IF('Boletins Nuppa Site'!I595&lt;&gt;0,'Boletins Nuppa Site'!I595,"NULL")</f>
        <v>84</v>
      </c>
      <c r="G595" s="19">
        <f>IF('Boletins Nuppa Site'!J595&lt;&gt;0,'Boletins Nuppa Site'!J595,"NULL")</f>
        <v>80</v>
      </c>
      <c r="H595" s="19">
        <f>IF('Boletins Nuppa Site'!K595&lt;&gt;0,'Boletins Nuppa Site'!K595,"NULL")</f>
        <v>84</v>
      </c>
      <c r="J595" s="1" t="str">
        <f t="shared" si="9"/>
        <v>INSERT INTO COTACAO (blt_id, pap_id, cot_prc_comum, cot_prc_min, cot_prc_max, cot_prc_med, cot_prc_mediana) VALUES (16, 2, 84, 72, 84, 80, 84);</v>
      </c>
    </row>
    <row r="596" spans="1:10" x14ac:dyDescent="0.3">
      <c r="A596" s="1">
        <v>595</v>
      </c>
      <c r="B596" s="1">
        <v>16</v>
      </c>
      <c r="C596" s="1">
        <v>3</v>
      </c>
      <c r="D596" s="1" t="str">
        <f>IF('Boletins Nuppa Site'!G596&lt;&gt;0,'Boletins Nuppa Site'!G596,"NULL")</f>
        <v>NULL</v>
      </c>
      <c r="E596" s="19">
        <f>IF('Boletins Nuppa Site'!H596&lt;&gt;0,'Boletins Nuppa Site'!H596,"NULL")</f>
        <v>42</v>
      </c>
      <c r="F596" s="19">
        <f>IF('Boletins Nuppa Site'!I596&lt;&gt;0,'Boletins Nuppa Site'!I596,"NULL")</f>
        <v>54</v>
      </c>
      <c r="G596" s="19">
        <f>IF('Boletins Nuppa Site'!J596&lt;&gt;0,'Boletins Nuppa Site'!J596,"NULL")</f>
        <v>47</v>
      </c>
      <c r="H596" s="19">
        <f>IF('Boletins Nuppa Site'!K596&lt;&gt;0,'Boletins Nuppa Site'!K596,"NULL")</f>
        <v>45</v>
      </c>
      <c r="J596" s="1" t="str">
        <f t="shared" si="9"/>
        <v>INSERT INTO COTACAO (blt_id, pap_id, cot_prc_comum, cot_prc_min, cot_prc_max, cot_prc_med, cot_prc_mediana) VALUES (16, 3, NULL, 42, 54, 47, 45);</v>
      </c>
    </row>
    <row r="597" spans="1:10" x14ac:dyDescent="0.3">
      <c r="A597" s="1">
        <v>596</v>
      </c>
      <c r="B597" s="1">
        <v>16</v>
      </c>
      <c r="C597" s="1">
        <v>4</v>
      </c>
      <c r="D597" s="19">
        <f>IF('Boletins Nuppa Site'!G597&lt;&gt;0,'Boletins Nuppa Site'!G597,"NULL")</f>
        <v>24</v>
      </c>
      <c r="E597" s="19">
        <f>IF('Boletins Nuppa Site'!H597&lt;&gt;0,'Boletins Nuppa Site'!H597,"NULL")</f>
        <v>20</v>
      </c>
      <c r="F597" s="19">
        <f>IF('Boletins Nuppa Site'!I597&lt;&gt;0,'Boletins Nuppa Site'!I597,"NULL")</f>
        <v>33</v>
      </c>
      <c r="G597" s="1" t="str">
        <f>IF('Boletins Nuppa Site'!J597&lt;&gt;0,'Boletins Nuppa Site'!J597,"NULL")</f>
        <v>25.25</v>
      </c>
      <c r="H597" s="19">
        <f>IF('Boletins Nuppa Site'!K597&lt;&gt;0,'Boletins Nuppa Site'!K597,"NULL")</f>
        <v>24</v>
      </c>
      <c r="J597" s="1" t="str">
        <f t="shared" si="9"/>
        <v>INSERT INTO COTACAO (blt_id, pap_id, cot_prc_comum, cot_prc_min, cot_prc_max, cot_prc_med, cot_prc_mediana) VALUES (16, 4, 24, 20, 33, 25.25, 24);</v>
      </c>
    </row>
    <row r="598" spans="1:10" x14ac:dyDescent="0.3">
      <c r="A598" s="1">
        <v>597</v>
      </c>
      <c r="B598" s="1">
        <v>16</v>
      </c>
      <c r="C598" s="1">
        <v>5</v>
      </c>
      <c r="D598" s="1" t="str">
        <f>IF('Boletins Nuppa Site'!G598&lt;&gt;0,'Boletins Nuppa Site'!G598,"NULL")</f>
        <v>NULL</v>
      </c>
      <c r="E598" s="19">
        <f>IF('Boletins Nuppa Site'!H598&lt;&gt;0,'Boletins Nuppa Site'!H598,"NULL")</f>
        <v>20</v>
      </c>
      <c r="F598" s="19">
        <f>IF('Boletins Nuppa Site'!I598&lt;&gt;0,'Boletins Nuppa Site'!I598,"NULL")</f>
        <v>33</v>
      </c>
      <c r="G598" s="1" t="str">
        <f>IF('Boletins Nuppa Site'!J598&lt;&gt;0,'Boletins Nuppa Site'!J598,"NULL")</f>
        <v>25.67</v>
      </c>
      <c r="H598" s="19">
        <f>IF('Boletins Nuppa Site'!K598&lt;&gt;0,'Boletins Nuppa Site'!K598,"NULL")</f>
        <v>24</v>
      </c>
      <c r="J598" s="1" t="str">
        <f t="shared" si="9"/>
        <v>INSERT INTO COTACAO (blt_id, pap_id, cot_prc_comum, cot_prc_min, cot_prc_max, cot_prc_med, cot_prc_mediana) VALUES (16, 5, NULL, 20, 33, 25.67, 24);</v>
      </c>
    </row>
    <row r="599" spans="1:10" x14ac:dyDescent="0.3">
      <c r="A599" s="1">
        <v>598</v>
      </c>
      <c r="B599" s="1">
        <v>16</v>
      </c>
      <c r="C599" s="1">
        <v>6</v>
      </c>
      <c r="D599" s="19">
        <f>IF('Boletins Nuppa Site'!G599&lt;&gt;0,'Boletins Nuppa Site'!G599,"NULL")</f>
        <v>60</v>
      </c>
      <c r="E599" s="19">
        <f>IF('Boletins Nuppa Site'!H599&lt;&gt;0,'Boletins Nuppa Site'!H599,"NULL")</f>
        <v>60</v>
      </c>
      <c r="F599" s="19">
        <f>IF('Boletins Nuppa Site'!I599&lt;&gt;0,'Boletins Nuppa Site'!I599,"NULL")</f>
        <v>60</v>
      </c>
      <c r="G599" s="19">
        <f>IF('Boletins Nuppa Site'!J599&lt;&gt;0,'Boletins Nuppa Site'!J599,"NULL")</f>
        <v>60</v>
      </c>
      <c r="H599" s="19">
        <f>IF('Boletins Nuppa Site'!K599&lt;&gt;0,'Boletins Nuppa Site'!K599,"NULL")</f>
        <v>60</v>
      </c>
      <c r="J599" s="1" t="str">
        <f t="shared" si="9"/>
        <v>INSERT INTO COTACAO (blt_id, pap_id, cot_prc_comum, cot_prc_min, cot_prc_max, cot_prc_med, cot_prc_mediana) VALUES (16, 6, 60, 60, 60, 60, 60);</v>
      </c>
    </row>
    <row r="600" spans="1:10" x14ac:dyDescent="0.3">
      <c r="A600" s="1">
        <v>599</v>
      </c>
      <c r="B600" s="1">
        <v>16</v>
      </c>
      <c r="C600" s="1">
        <v>7</v>
      </c>
      <c r="D600" s="19">
        <f>IF('Boletins Nuppa Site'!G600&lt;&gt;0,'Boletins Nuppa Site'!G600,"NULL")</f>
        <v>72</v>
      </c>
      <c r="E600" s="19">
        <f>IF('Boletins Nuppa Site'!H600&lt;&gt;0,'Boletins Nuppa Site'!H600,"NULL")</f>
        <v>72</v>
      </c>
      <c r="F600" s="19">
        <f>IF('Boletins Nuppa Site'!I600&lt;&gt;0,'Boletins Nuppa Site'!I600,"NULL")</f>
        <v>84</v>
      </c>
      <c r="G600" s="19">
        <f>IF('Boletins Nuppa Site'!J600&lt;&gt;0,'Boletins Nuppa Site'!J600,"NULL")</f>
        <v>76</v>
      </c>
      <c r="H600" s="19">
        <f>IF('Boletins Nuppa Site'!K600&lt;&gt;0,'Boletins Nuppa Site'!K600,"NULL")</f>
        <v>72</v>
      </c>
      <c r="J600" s="1" t="str">
        <f t="shared" si="9"/>
        <v>INSERT INTO COTACAO (blt_id, pap_id, cot_prc_comum, cot_prc_min, cot_prc_max, cot_prc_med, cot_prc_mediana) VALUES (16, 7, 72, 72, 84, 76, 72);</v>
      </c>
    </row>
    <row r="601" spans="1:10" x14ac:dyDescent="0.3">
      <c r="A601" s="1">
        <v>600</v>
      </c>
      <c r="B601" s="1">
        <v>16</v>
      </c>
      <c r="C601" s="1">
        <v>8</v>
      </c>
      <c r="D601" s="1" t="str">
        <f>IF('Boletins Nuppa Site'!G601&lt;&gt;0,'Boletins Nuppa Site'!G601,"NULL")</f>
        <v>NULL</v>
      </c>
      <c r="E601" s="19">
        <f>IF('Boletins Nuppa Site'!H601&lt;&gt;0,'Boletins Nuppa Site'!H601,"NULL")</f>
        <v>84</v>
      </c>
      <c r="F601" s="19">
        <f>IF('Boletins Nuppa Site'!I601&lt;&gt;0,'Boletins Nuppa Site'!I601,"NULL")</f>
        <v>96</v>
      </c>
      <c r="G601" s="1" t="str">
        <f>IF('Boletins Nuppa Site'!J601&lt;&gt;0,'Boletins Nuppa Site'!J601,"NULL")</f>
        <v>91.67</v>
      </c>
      <c r="H601" s="19">
        <f>IF('Boletins Nuppa Site'!K601&lt;&gt;0,'Boletins Nuppa Site'!K601,"NULL")</f>
        <v>95</v>
      </c>
      <c r="J601" s="1" t="str">
        <f t="shared" si="9"/>
        <v>INSERT INTO COTACAO (blt_id, pap_id, cot_prc_comum, cot_prc_min, cot_prc_max, cot_prc_med, cot_prc_mediana) VALUES (16, 8, NULL, 84, 96, 91.67, 95);</v>
      </c>
    </row>
    <row r="602" spans="1:10" x14ac:dyDescent="0.3">
      <c r="A602" s="1">
        <v>601</v>
      </c>
      <c r="B602" s="1">
        <v>16</v>
      </c>
      <c r="C602" s="1">
        <v>9</v>
      </c>
      <c r="D602" s="19">
        <f>IF('Boletins Nuppa Site'!G602&lt;&gt;0,'Boletins Nuppa Site'!G602,"NULL")</f>
        <v>24</v>
      </c>
      <c r="E602" s="19">
        <f>IF('Boletins Nuppa Site'!H602&lt;&gt;0,'Boletins Nuppa Site'!H602,"NULL")</f>
        <v>6</v>
      </c>
      <c r="F602" s="19">
        <f>IF('Boletins Nuppa Site'!I602&lt;&gt;0,'Boletins Nuppa Site'!I602,"NULL")</f>
        <v>30</v>
      </c>
      <c r="G602" s="19">
        <f>IF('Boletins Nuppa Site'!J602&lt;&gt;0,'Boletins Nuppa Site'!J602,"NULL")</f>
        <v>21</v>
      </c>
      <c r="H602" s="19">
        <f>IF('Boletins Nuppa Site'!K602&lt;&gt;0,'Boletins Nuppa Site'!K602,"NULL")</f>
        <v>24</v>
      </c>
      <c r="J602" s="1" t="str">
        <f t="shared" si="9"/>
        <v>INSERT INTO COTACAO (blt_id, pap_id, cot_prc_comum, cot_prc_min, cot_prc_max, cot_prc_med, cot_prc_mediana) VALUES (16, 9, 24, 6, 30, 21, 24);</v>
      </c>
    </row>
    <row r="603" spans="1:10" x14ac:dyDescent="0.3">
      <c r="A603" s="1">
        <v>602</v>
      </c>
      <c r="B603" s="1">
        <v>16</v>
      </c>
      <c r="C603" s="1">
        <v>10</v>
      </c>
      <c r="D603" s="19">
        <f>IF('Boletins Nuppa Site'!G603&lt;&gt;0,'Boletins Nuppa Site'!G603,"NULL")</f>
        <v>96</v>
      </c>
      <c r="E603" s="19">
        <f>IF('Boletins Nuppa Site'!H603&lt;&gt;0,'Boletins Nuppa Site'!H603,"NULL")</f>
        <v>90</v>
      </c>
      <c r="F603" s="19">
        <f>IF('Boletins Nuppa Site'!I603&lt;&gt;0,'Boletins Nuppa Site'!I603,"NULL")</f>
        <v>96</v>
      </c>
      <c r="G603" s="19">
        <f>IF('Boletins Nuppa Site'!J603&lt;&gt;0,'Boletins Nuppa Site'!J603,"NULL")</f>
        <v>94</v>
      </c>
      <c r="H603" s="19">
        <f>IF('Boletins Nuppa Site'!K603&lt;&gt;0,'Boletins Nuppa Site'!K603,"NULL")</f>
        <v>96</v>
      </c>
      <c r="J603" s="1" t="str">
        <f t="shared" si="9"/>
        <v>INSERT INTO COTACAO (blt_id, pap_id, cot_prc_comum, cot_prc_min, cot_prc_max, cot_prc_med, cot_prc_mediana) VALUES (16, 10, 96, 90, 96, 94, 96);</v>
      </c>
    </row>
    <row r="604" spans="1:10" x14ac:dyDescent="0.3">
      <c r="A604" s="1">
        <v>603</v>
      </c>
      <c r="B604" s="1">
        <v>16</v>
      </c>
      <c r="C604" s="1">
        <v>11</v>
      </c>
      <c r="D604" s="1" t="str">
        <f>IF('Boletins Nuppa Site'!G604&lt;&gt;0,'Boletins Nuppa Site'!G604,"NULL")</f>
        <v>NULL</v>
      </c>
      <c r="E604" s="19">
        <f>IF('Boletins Nuppa Site'!H604&lt;&gt;0,'Boletins Nuppa Site'!H604,"NULL")</f>
        <v>20</v>
      </c>
      <c r="F604" s="19">
        <f>IF('Boletins Nuppa Site'!I604&lt;&gt;0,'Boletins Nuppa Site'!I604,"NULL")</f>
        <v>33</v>
      </c>
      <c r="G604" s="1" t="str">
        <f>IF('Boletins Nuppa Site'!J604&lt;&gt;0,'Boletins Nuppa Site'!J604,"NULL")</f>
        <v>27.67</v>
      </c>
      <c r="H604" s="19">
        <f>IF('Boletins Nuppa Site'!K604&lt;&gt;0,'Boletins Nuppa Site'!K604,"NULL")</f>
        <v>30</v>
      </c>
      <c r="J604" s="1" t="str">
        <f t="shared" si="9"/>
        <v>INSERT INTO COTACAO (blt_id, pap_id, cot_prc_comum, cot_prc_min, cot_prc_max, cot_prc_med, cot_prc_mediana) VALUES (16, 11, NULL, 20, 33, 27.67, 30);</v>
      </c>
    </row>
    <row r="605" spans="1:10" x14ac:dyDescent="0.3">
      <c r="A605" s="1">
        <v>604</v>
      </c>
      <c r="B605" s="1">
        <v>16</v>
      </c>
      <c r="C605" s="1">
        <v>12</v>
      </c>
      <c r="D605" s="19">
        <f>IF('Boletins Nuppa Site'!G605&lt;&gt;0,'Boletins Nuppa Site'!G605,"NULL")</f>
        <v>78</v>
      </c>
      <c r="E605" s="19">
        <f>IF('Boletins Nuppa Site'!H605&lt;&gt;0,'Boletins Nuppa Site'!H605,"NULL")</f>
        <v>78</v>
      </c>
      <c r="F605" s="19">
        <f>IF('Boletins Nuppa Site'!I605&lt;&gt;0,'Boletins Nuppa Site'!I605,"NULL")</f>
        <v>84</v>
      </c>
      <c r="G605" s="19">
        <f>IF('Boletins Nuppa Site'!J605&lt;&gt;0,'Boletins Nuppa Site'!J605,"NULL")</f>
        <v>80</v>
      </c>
      <c r="H605" s="19">
        <f>IF('Boletins Nuppa Site'!K605&lt;&gt;0,'Boletins Nuppa Site'!K605,"NULL")</f>
        <v>78</v>
      </c>
      <c r="J605" s="1" t="str">
        <f t="shared" si="9"/>
        <v>INSERT INTO COTACAO (blt_id, pap_id, cot_prc_comum, cot_prc_min, cot_prc_max, cot_prc_med, cot_prc_mediana) VALUES (16, 12, 78, 78, 84, 80, 78);</v>
      </c>
    </row>
    <row r="606" spans="1:10" x14ac:dyDescent="0.3">
      <c r="A606" s="1">
        <v>605</v>
      </c>
      <c r="B606" s="1">
        <v>16</v>
      </c>
      <c r="C606" s="1">
        <v>13</v>
      </c>
      <c r="D606" s="19">
        <f>IF('Boletins Nuppa Site'!G606&lt;&gt;0,'Boletins Nuppa Site'!G606,"NULL")</f>
        <v>72</v>
      </c>
      <c r="E606" s="19">
        <f>IF('Boletins Nuppa Site'!H606&lt;&gt;0,'Boletins Nuppa Site'!H606,"NULL")</f>
        <v>72</v>
      </c>
      <c r="F606" s="19">
        <f>IF('Boletins Nuppa Site'!I606&lt;&gt;0,'Boletins Nuppa Site'!I606,"NULL")</f>
        <v>78</v>
      </c>
      <c r="G606" s="19">
        <f>IF('Boletins Nuppa Site'!J606&lt;&gt;0,'Boletins Nuppa Site'!J606,"NULL")</f>
        <v>74</v>
      </c>
      <c r="H606" s="19">
        <f>IF('Boletins Nuppa Site'!K606&lt;&gt;0,'Boletins Nuppa Site'!K606,"NULL")</f>
        <v>72</v>
      </c>
      <c r="J606" s="1" t="str">
        <f t="shared" si="9"/>
        <v>INSERT INTO COTACAO (blt_id, pap_id, cot_prc_comum, cot_prc_min, cot_prc_max, cot_prc_med, cot_prc_mediana) VALUES (16, 13, 72, 72, 78, 74, 72);</v>
      </c>
    </row>
    <row r="607" spans="1:10" x14ac:dyDescent="0.3">
      <c r="A607" s="1">
        <v>606</v>
      </c>
      <c r="B607" s="1">
        <v>16</v>
      </c>
      <c r="C607" s="1">
        <v>14</v>
      </c>
      <c r="D607" s="1" t="str">
        <f>IF('Boletins Nuppa Site'!G607&lt;&gt;0,'Boletins Nuppa Site'!G607,"NULL")</f>
        <v>NULL</v>
      </c>
      <c r="E607" s="19">
        <f>IF('Boletins Nuppa Site'!H607&lt;&gt;0,'Boletins Nuppa Site'!H607,"NULL")</f>
        <v>55</v>
      </c>
      <c r="F607" s="19">
        <f>IF('Boletins Nuppa Site'!I607&lt;&gt;0,'Boletins Nuppa Site'!I607,"NULL")</f>
        <v>86</v>
      </c>
      <c r="G607" s="19">
        <f>IF('Boletins Nuppa Site'!J607&lt;&gt;0,'Boletins Nuppa Site'!J607,"NULL")</f>
        <v>75</v>
      </c>
      <c r="H607" s="19">
        <f>IF('Boletins Nuppa Site'!K607&lt;&gt;0,'Boletins Nuppa Site'!K607,"NULL")</f>
        <v>84</v>
      </c>
      <c r="J607" s="1" t="str">
        <f t="shared" si="9"/>
        <v>INSERT INTO COTACAO (blt_id, pap_id, cot_prc_comum, cot_prc_min, cot_prc_max, cot_prc_med, cot_prc_mediana) VALUES (16, 14, NULL, 55, 86, 75, 84);</v>
      </c>
    </row>
    <row r="608" spans="1:10" x14ac:dyDescent="0.3">
      <c r="A608" s="1">
        <v>607</v>
      </c>
      <c r="B608" s="1">
        <v>16</v>
      </c>
      <c r="C608" s="1">
        <v>15</v>
      </c>
      <c r="D608" s="19">
        <f>IF('Boletins Nuppa Site'!G608&lt;&gt;0,'Boletins Nuppa Site'!G608,"NULL")</f>
        <v>60</v>
      </c>
      <c r="E608" s="19">
        <f>IF('Boletins Nuppa Site'!H608&lt;&gt;0,'Boletins Nuppa Site'!H608,"NULL")</f>
        <v>50</v>
      </c>
      <c r="F608" s="19">
        <f>IF('Boletins Nuppa Site'!I608&lt;&gt;0,'Boletins Nuppa Site'!I608,"NULL")</f>
        <v>72</v>
      </c>
      <c r="G608" s="1" t="str">
        <f>IF('Boletins Nuppa Site'!J608&lt;&gt;0,'Boletins Nuppa Site'!J608,"NULL")</f>
        <v>60.5</v>
      </c>
      <c r="H608" s="19">
        <f>IF('Boletins Nuppa Site'!K608&lt;&gt;0,'Boletins Nuppa Site'!K608,"NULL")</f>
        <v>60</v>
      </c>
      <c r="J608" s="1" t="str">
        <f t="shared" si="9"/>
        <v>INSERT INTO COTACAO (blt_id, pap_id, cot_prc_comum, cot_prc_min, cot_prc_max, cot_prc_med, cot_prc_mediana) VALUES (16, 15, 60, 50, 72, 60.5, 60);</v>
      </c>
    </row>
    <row r="609" spans="1:10" x14ac:dyDescent="0.3">
      <c r="A609" s="1">
        <v>608</v>
      </c>
      <c r="B609" s="1">
        <v>16</v>
      </c>
      <c r="C609" s="1">
        <v>16</v>
      </c>
      <c r="D609" s="19">
        <f>IF('Boletins Nuppa Site'!G609&lt;&gt;0,'Boletins Nuppa Site'!G609,"NULL")</f>
        <v>54</v>
      </c>
      <c r="E609" s="19">
        <f>IF('Boletins Nuppa Site'!H609&lt;&gt;0,'Boletins Nuppa Site'!H609,"NULL")</f>
        <v>48</v>
      </c>
      <c r="F609" s="19">
        <f>IF('Boletins Nuppa Site'!I609&lt;&gt;0,'Boletins Nuppa Site'!I609,"NULL")</f>
        <v>54</v>
      </c>
      <c r="G609" s="19">
        <f>IF('Boletins Nuppa Site'!J609&lt;&gt;0,'Boletins Nuppa Site'!J609,"NULL")</f>
        <v>52</v>
      </c>
      <c r="H609" s="19">
        <f>IF('Boletins Nuppa Site'!K609&lt;&gt;0,'Boletins Nuppa Site'!K609,"NULL")</f>
        <v>54</v>
      </c>
      <c r="J609" s="1" t="str">
        <f t="shared" si="9"/>
        <v>INSERT INTO COTACAO (blt_id, pap_id, cot_prc_comum, cot_prc_min, cot_prc_max, cot_prc_med, cot_prc_mediana) VALUES (16, 16, 54, 48, 54, 52, 54);</v>
      </c>
    </row>
    <row r="610" spans="1:10" x14ac:dyDescent="0.3">
      <c r="A610" s="1">
        <v>609</v>
      </c>
      <c r="B610" s="1">
        <v>16</v>
      </c>
      <c r="C610" s="1">
        <v>17</v>
      </c>
      <c r="D610" s="19">
        <f>IF('Boletins Nuppa Site'!G610&lt;&gt;0,'Boletins Nuppa Site'!G610,"NULL")</f>
        <v>5</v>
      </c>
      <c r="E610" s="19">
        <f>IF('Boletins Nuppa Site'!H610&lt;&gt;0,'Boletins Nuppa Site'!H610,"NULL")</f>
        <v>5</v>
      </c>
      <c r="F610" s="19">
        <f>IF('Boletins Nuppa Site'!I610&lt;&gt;0,'Boletins Nuppa Site'!I610,"NULL")</f>
        <v>5</v>
      </c>
      <c r="G610" s="19">
        <f>IF('Boletins Nuppa Site'!J610&lt;&gt;0,'Boletins Nuppa Site'!J610,"NULL")</f>
        <v>5</v>
      </c>
      <c r="H610" s="19">
        <f>IF('Boletins Nuppa Site'!K610&lt;&gt;0,'Boletins Nuppa Site'!K610,"NULL")</f>
        <v>5</v>
      </c>
      <c r="J610" s="1" t="str">
        <f t="shared" si="9"/>
        <v>INSERT INTO COTACAO (blt_id, pap_id, cot_prc_comum, cot_prc_min, cot_prc_max, cot_prc_med, cot_prc_mediana) VALUES (16, 17, 5, 5, 5, 5, 5);</v>
      </c>
    </row>
    <row r="611" spans="1:10" x14ac:dyDescent="0.3">
      <c r="A611" s="1">
        <v>610</v>
      </c>
      <c r="B611" s="1">
        <v>16</v>
      </c>
      <c r="C611" s="1">
        <v>18</v>
      </c>
      <c r="D611" s="19">
        <f>IF('Boletins Nuppa Site'!G611&lt;&gt;0,'Boletins Nuppa Site'!G611,"NULL")</f>
        <v>25</v>
      </c>
      <c r="E611" s="19">
        <f>IF('Boletins Nuppa Site'!H611&lt;&gt;0,'Boletins Nuppa Site'!H611,"NULL")</f>
        <v>25</v>
      </c>
      <c r="F611" s="19">
        <f>IF('Boletins Nuppa Site'!I611&lt;&gt;0,'Boletins Nuppa Site'!I611,"NULL")</f>
        <v>28</v>
      </c>
      <c r="G611" s="19">
        <f>IF('Boletins Nuppa Site'!J611&lt;&gt;0,'Boletins Nuppa Site'!J611,"NULL")</f>
        <v>26</v>
      </c>
      <c r="H611" s="19">
        <f>IF('Boletins Nuppa Site'!K611&lt;&gt;0,'Boletins Nuppa Site'!K611,"NULL")</f>
        <v>25</v>
      </c>
      <c r="J611" s="1" t="str">
        <f t="shared" si="9"/>
        <v>INSERT INTO COTACAO (blt_id, pap_id, cot_prc_comum, cot_prc_min, cot_prc_max, cot_prc_med, cot_prc_mediana) VALUES (16, 18, 25, 25, 28, 26, 25);</v>
      </c>
    </row>
    <row r="612" spans="1:10" x14ac:dyDescent="0.3">
      <c r="A612" s="1">
        <v>611</v>
      </c>
      <c r="B612" s="1">
        <v>16</v>
      </c>
      <c r="C612" s="1">
        <v>19</v>
      </c>
      <c r="D612" s="19">
        <f>IF('Boletins Nuppa Site'!G612&lt;&gt;0,'Boletins Nuppa Site'!G612,"NULL")</f>
        <v>30</v>
      </c>
      <c r="E612" s="19">
        <f>IF('Boletins Nuppa Site'!H612&lt;&gt;0,'Boletins Nuppa Site'!H612,"NULL")</f>
        <v>30</v>
      </c>
      <c r="F612" s="19">
        <f>IF('Boletins Nuppa Site'!I612&lt;&gt;0,'Boletins Nuppa Site'!I612,"NULL")</f>
        <v>35</v>
      </c>
      <c r="G612" s="1" t="str">
        <f>IF('Boletins Nuppa Site'!J612&lt;&gt;0,'Boletins Nuppa Site'!J612,"NULL")</f>
        <v>31.67</v>
      </c>
      <c r="H612" s="19">
        <f>IF('Boletins Nuppa Site'!K612&lt;&gt;0,'Boletins Nuppa Site'!K612,"NULL")</f>
        <v>30</v>
      </c>
      <c r="J612" s="1" t="str">
        <f t="shared" si="9"/>
        <v>INSERT INTO COTACAO (blt_id, pap_id, cot_prc_comum, cot_prc_min, cot_prc_max, cot_prc_med, cot_prc_mediana) VALUES (16, 19, 30, 30, 35, 31.67, 30);</v>
      </c>
    </row>
    <row r="613" spans="1:10" x14ac:dyDescent="0.3">
      <c r="A613" s="1">
        <v>612</v>
      </c>
      <c r="B613" s="1">
        <v>16</v>
      </c>
      <c r="C613" s="1">
        <v>20</v>
      </c>
      <c r="D613" s="1" t="str">
        <f>IF('Boletins Nuppa Site'!G613&lt;&gt;0,'Boletins Nuppa Site'!G613,"NULL")</f>
        <v>NULL</v>
      </c>
      <c r="E613" s="19">
        <f>IF('Boletins Nuppa Site'!H613&lt;&gt;0,'Boletins Nuppa Site'!H613,"NULL")</f>
        <v>85</v>
      </c>
      <c r="F613" s="19">
        <f>IF('Boletins Nuppa Site'!I613&lt;&gt;0,'Boletins Nuppa Site'!I613,"NULL")</f>
        <v>90</v>
      </c>
      <c r="G613" s="1" t="str">
        <f>IF('Boletins Nuppa Site'!J613&lt;&gt;0,'Boletins Nuppa Site'!J613,"NULL")</f>
        <v>87.5</v>
      </c>
      <c r="H613" s="1" t="str">
        <f>IF('Boletins Nuppa Site'!K613&lt;&gt;0,'Boletins Nuppa Site'!K613,"NULL")</f>
        <v>87.5</v>
      </c>
      <c r="J613" s="1" t="str">
        <f t="shared" si="9"/>
        <v>INSERT INTO COTACAO (blt_id, pap_id, cot_prc_comum, cot_prc_min, cot_prc_max, cot_prc_med, cot_prc_mediana) VALUES (16, 20, NULL, 85, 90, 87.5, 87.5);</v>
      </c>
    </row>
    <row r="614" spans="1:10" x14ac:dyDescent="0.3">
      <c r="A614" s="1">
        <v>613</v>
      </c>
      <c r="B614" s="1">
        <v>16</v>
      </c>
      <c r="C614" s="1">
        <v>21</v>
      </c>
      <c r="D614" s="19">
        <f>IF('Boletins Nuppa Site'!G614&lt;&gt;0,'Boletins Nuppa Site'!G614,"NULL")</f>
        <v>50</v>
      </c>
      <c r="E614" s="19">
        <f>IF('Boletins Nuppa Site'!H614&lt;&gt;0,'Boletins Nuppa Site'!H614,"NULL")</f>
        <v>50</v>
      </c>
      <c r="F614" s="19">
        <f>IF('Boletins Nuppa Site'!I614&lt;&gt;0,'Boletins Nuppa Site'!I614,"NULL")</f>
        <v>80</v>
      </c>
      <c r="G614" s="19">
        <f>IF('Boletins Nuppa Site'!J614&lt;&gt;0,'Boletins Nuppa Site'!J614,"NULL")</f>
        <v>60</v>
      </c>
      <c r="H614" s="19">
        <f>IF('Boletins Nuppa Site'!K614&lt;&gt;0,'Boletins Nuppa Site'!K614,"NULL")</f>
        <v>55</v>
      </c>
      <c r="J614" s="1" t="str">
        <f t="shared" si="9"/>
        <v>INSERT INTO COTACAO (blt_id, pap_id, cot_prc_comum, cot_prc_min, cot_prc_max, cot_prc_med, cot_prc_mediana) VALUES (16, 21, 50, 50, 80, 60, 55);</v>
      </c>
    </row>
    <row r="615" spans="1:10" x14ac:dyDescent="0.3">
      <c r="A615" s="1">
        <v>614</v>
      </c>
      <c r="B615" s="1">
        <v>16</v>
      </c>
      <c r="C615" s="1">
        <v>22</v>
      </c>
      <c r="D615" s="19">
        <f>IF('Boletins Nuppa Site'!G615&lt;&gt;0,'Boletins Nuppa Site'!G615,"NULL")</f>
        <v>70</v>
      </c>
      <c r="E615" s="19">
        <f>IF('Boletins Nuppa Site'!H615&lt;&gt;0,'Boletins Nuppa Site'!H615,"NULL")</f>
        <v>45</v>
      </c>
      <c r="F615" s="19">
        <f>IF('Boletins Nuppa Site'!I615&lt;&gt;0,'Boletins Nuppa Site'!I615,"NULL")</f>
        <v>70</v>
      </c>
      <c r="G615" s="1" t="str">
        <f>IF('Boletins Nuppa Site'!J615&lt;&gt;0,'Boletins Nuppa Site'!J615,"NULL")</f>
        <v>58.75</v>
      </c>
      <c r="H615" s="19">
        <f>IF('Boletins Nuppa Site'!K615&lt;&gt;0,'Boletins Nuppa Site'!K615,"NULL")</f>
        <v>60</v>
      </c>
      <c r="J615" s="1" t="str">
        <f t="shared" si="9"/>
        <v>INSERT INTO COTACAO (blt_id, pap_id, cot_prc_comum, cot_prc_min, cot_prc_max, cot_prc_med, cot_prc_mediana) VALUES (16, 22, 70, 45, 70, 58.75, 60);</v>
      </c>
    </row>
    <row r="616" spans="1:10" x14ac:dyDescent="0.3">
      <c r="A616" s="1">
        <v>615</v>
      </c>
      <c r="B616" s="1">
        <v>16</v>
      </c>
      <c r="C616" s="1">
        <v>23</v>
      </c>
      <c r="D616" s="1" t="str">
        <f>IF('Boletins Nuppa Site'!G616&lt;&gt;0,'Boletins Nuppa Site'!G616,"NULL")</f>
        <v>NULL</v>
      </c>
      <c r="E616" s="19">
        <f>IF('Boletins Nuppa Site'!H616&lt;&gt;0,'Boletins Nuppa Site'!H616,"NULL")</f>
        <v>35</v>
      </c>
      <c r="F616" s="19">
        <f>IF('Boletins Nuppa Site'!I616&lt;&gt;0,'Boletins Nuppa Site'!I616,"NULL")</f>
        <v>60</v>
      </c>
      <c r="G616" s="1" t="str">
        <f>IF('Boletins Nuppa Site'!J616&lt;&gt;0,'Boletins Nuppa Site'!J616,"NULL")</f>
        <v>47.5</v>
      </c>
      <c r="H616" s="1" t="str">
        <f>IF('Boletins Nuppa Site'!K616&lt;&gt;0,'Boletins Nuppa Site'!K616,"NULL")</f>
        <v>47.5</v>
      </c>
      <c r="J616" s="1" t="str">
        <f t="shared" si="9"/>
        <v>INSERT INTO COTACAO (blt_id, pap_id, cot_prc_comum, cot_prc_min, cot_prc_max, cot_prc_med, cot_prc_mediana) VALUES (16, 23, NULL, 35, 60, 47.5, 47.5);</v>
      </c>
    </row>
    <row r="617" spans="1:10" x14ac:dyDescent="0.3">
      <c r="A617" s="1">
        <v>616</v>
      </c>
      <c r="B617" s="1">
        <v>16</v>
      </c>
      <c r="C617" s="1">
        <v>24</v>
      </c>
      <c r="D617" s="19">
        <f>IF('Boletins Nuppa Site'!G617&lt;&gt;0,'Boletins Nuppa Site'!G617,"NULL")</f>
        <v>110</v>
      </c>
      <c r="E617" s="19">
        <f>IF('Boletins Nuppa Site'!H617&lt;&gt;0,'Boletins Nuppa Site'!H617,"NULL")</f>
        <v>110</v>
      </c>
      <c r="F617" s="19">
        <f>IF('Boletins Nuppa Site'!I617&lt;&gt;0,'Boletins Nuppa Site'!I617,"NULL")</f>
        <v>110</v>
      </c>
      <c r="G617" s="19">
        <f>IF('Boletins Nuppa Site'!J617&lt;&gt;0,'Boletins Nuppa Site'!J617,"NULL")</f>
        <v>110</v>
      </c>
      <c r="H617" s="19">
        <f>IF('Boletins Nuppa Site'!K617&lt;&gt;0,'Boletins Nuppa Site'!K617,"NULL")</f>
        <v>110</v>
      </c>
      <c r="J617" s="1" t="str">
        <f t="shared" si="9"/>
        <v>INSERT INTO COTACAO (blt_id, pap_id, cot_prc_comum, cot_prc_min, cot_prc_max, cot_prc_med, cot_prc_mediana) VALUES (16, 24, 110, 110, 110, 110, 110);</v>
      </c>
    </row>
    <row r="618" spans="1:10" x14ac:dyDescent="0.3">
      <c r="A618" s="1">
        <v>617</v>
      </c>
      <c r="B618" s="1">
        <v>16</v>
      </c>
      <c r="C618" s="1">
        <v>25</v>
      </c>
      <c r="D618" s="1" t="str">
        <f>IF('Boletins Nuppa Site'!G618&lt;&gt;0,'Boletins Nuppa Site'!G618,"NULL")</f>
        <v>NULL</v>
      </c>
      <c r="E618" s="19">
        <f>IF('Boletins Nuppa Site'!H618&lt;&gt;0,'Boletins Nuppa Site'!H618,"NULL")</f>
        <v>90</v>
      </c>
      <c r="F618" s="19">
        <f>IF('Boletins Nuppa Site'!I618&lt;&gt;0,'Boletins Nuppa Site'!I618,"NULL")</f>
        <v>160</v>
      </c>
      <c r="G618" s="1" t="str">
        <f>IF('Boletins Nuppa Site'!J618&lt;&gt;0,'Boletins Nuppa Site'!J618,"NULL")</f>
        <v>127.5</v>
      </c>
      <c r="H618" s="19">
        <f>IF('Boletins Nuppa Site'!K618&lt;&gt;0,'Boletins Nuppa Site'!K618,"NULL")</f>
        <v>130</v>
      </c>
      <c r="J618" s="1" t="str">
        <f t="shared" si="9"/>
        <v>INSERT INTO COTACAO (blt_id, pap_id, cot_prc_comum, cot_prc_min, cot_prc_max, cot_prc_med, cot_prc_mediana) VALUES (16, 25, NULL, 90, 160, 127.5, 130);</v>
      </c>
    </row>
    <row r="619" spans="1:10" x14ac:dyDescent="0.3">
      <c r="A619" s="1">
        <v>618</v>
      </c>
      <c r="B619" s="1">
        <v>16</v>
      </c>
      <c r="C619" s="1">
        <v>26</v>
      </c>
      <c r="D619" s="1" t="str">
        <f>IF('Boletins Nuppa Site'!G619&lt;&gt;0,'Boletins Nuppa Site'!G619,"NULL")</f>
        <v>NULL</v>
      </c>
      <c r="E619" s="19">
        <f>IF('Boletins Nuppa Site'!H619&lt;&gt;0,'Boletins Nuppa Site'!H619,"NULL")</f>
        <v>100</v>
      </c>
      <c r="F619" s="19">
        <f>IF('Boletins Nuppa Site'!I619&lt;&gt;0,'Boletins Nuppa Site'!I619,"NULL")</f>
        <v>170</v>
      </c>
      <c r="G619" s="1" t="str">
        <f>IF('Boletins Nuppa Site'!J619&lt;&gt;0,'Boletins Nuppa Site'!J619,"NULL")</f>
        <v>137.5</v>
      </c>
      <c r="H619" s="19">
        <f>IF('Boletins Nuppa Site'!K619&lt;&gt;0,'Boletins Nuppa Site'!K619,"NULL")</f>
        <v>140</v>
      </c>
      <c r="J619" s="1" t="str">
        <f t="shared" si="9"/>
        <v>INSERT INTO COTACAO (blt_id, pap_id, cot_prc_comum, cot_prc_min, cot_prc_max, cot_prc_med, cot_prc_mediana) VALUES (16, 26, NULL, 100, 170, 137.5, 140);</v>
      </c>
    </row>
    <row r="620" spans="1:10" x14ac:dyDescent="0.3">
      <c r="A620" s="1">
        <v>619</v>
      </c>
      <c r="B620" s="1">
        <v>16</v>
      </c>
      <c r="C620" s="1">
        <v>27</v>
      </c>
      <c r="D620" s="19">
        <f>IF('Boletins Nuppa Site'!G620&lt;&gt;0,'Boletins Nuppa Site'!G620,"NULL")</f>
        <v>60</v>
      </c>
      <c r="E620" s="19">
        <f>IF('Boletins Nuppa Site'!H620&lt;&gt;0,'Boletins Nuppa Site'!H620,"NULL")</f>
        <v>50</v>
      </c>
      <c r="F620" s="19">
        <f>IF('Boletins Nuppa Site'!I620&lt;&gt;0,'Boletins Nuppa Site'!I620,"NULL")</f>
        <v>60</v>
      </c>
      <c r="G620" s="1" t="str">
        <f>IF('Boletins Nuppa Site'!J620&lt;&gt;0,'Boletins Nuppa Site'!J620,"NULL")</f>
        <v>57.5</v>
      </c>
      <c r="H620" s="19">
        <f>IF('Boletins Nuppa Site'!K620&lt;&gt;0,'Boletins Nuppa Site'!K620,"NULL")</f>
        <v>60</v>
      </c>
      <c r="J620" s="1" t="str">
        <f t="shared" si="9"/>
        <v>INSERT INTO COTACAO (blt_id, pap_id, cot_prc_comum, cot_prc_min, cot_prc_max, cot_prc_med, cot_prc_mediana) VALUES (16, 27, 60, 50, 60, 57.5, 60);</v>
      </c>
    </row>
    <row r="621" spans="1:10" x14ac:dyDescent="0.3">
      <c r="A621" s="1">
        <v>620</v>
      </c>
      <c r="B621" s="1">
        <v>16</v>
      </c>
      <c r="C621" s="1">
        <v>28</v>
      </c>
      <c r="D621" s="1" t="str">
        <f>IF('Boletins Nuppa Site'!G621&lt;&gt;0,'Boletins Nuppa Site'!G621,"NULL")</f>
        <v>NULL</v>
      </c>
      <c r="E621" s="19">
        <f>IF('Boletins Nuppa Site'!H621&lt;&gt;0,'Boletins Nuppa Site'!H621,"NULL")</f>
        <v>60</v>
      </c>
      <c r="F621" s="19">
        <f>IF('Boletins Nuppa Site'!I621&lt;&gt;0,'Boletins Nuppa Site'!I621,"NULL")</f>
        <v>110</v>
      </c>
      <c r="G621" s="19">
        <f>IF('Boletins Nuppa Site'!J621&lt;&gt;0,'Boletins Nuppa Site'!J621,"NULL")</f>
        <v>90</v>
      </c>
      <c r="H621" s="19">
        <f>IF('Boletins Nuppa Site'!K621&lt;&gt;0,'Boletins Nuppa Site'!K621,"NULL")</f>
        <v>95</v>
      </c>
      <c r="J621" s="1" t="str">
        <f t="shared" si="9"/>
        <v>INSERT INTO COTACAO (blt_id, pap_id, cot_prc_comum, cot_prc_min, cot_prc_max, cot_prc_med, cot_prc_mediana) VALUES (16, 28, NULL, 60, 110, 90, 95);</v>
      </c>
    </row>
    <row r="622" spans="1:10" x14ac:dyDescent="0.3">
      <c r="A622" s="1">
        <v>621</v>
      </c>
      <c r="B622" s="1">
        <v>16</v>
      </c>
      <c r="C622" s="1">
        <v>29</v>
      </c>
      <c r="D622" s="1" t="str">
        <f>IF('Boletins Nuppa Site'!G622&lt;&gt;0,'Boletins Nuppa Site'!G622,"NULL")</f>
        <v>NULL</v>
      </c>
      <c r="E622" s="19">
        <f>IF('Boletins Nuppa Site'!H622&lt;&gt;0,'Boletins Nuppa Site'!H622,"NULL")</f>
        <v>80</v>
      </c>
      <c r="F622" s="19">
        <f>IF('Boletins Nuppa Site'!I622&lt;&gt;0,'Boletins Nuppa Site'!I622,"NULL")</f>
        <v>80</v>
      </c>
      <c r="G622" s="19">
        <f>IF('Boletins Nuppa Site'!J622&lt;&gt;0,'Boletins Nuppa Site'!J622,"NULL")</f>
        <v>80</v>
      </c>
      <c r="H622" s="19">
        <f>IF('Boletins Nuppa Site'!K622&lt;&gt;0,'Boletins Nuppa Site'!K622,"NULL")</f>
        <v>80</v>
      </c>
      <c r="J622" s="1" t="str">
        <f t="shared" si="9"/>
        <v>INSERT INTO COTACAO (blt_id, pap_id, cot_prc_comum, cot_prc_min, cot_prc_max, cot_prc_med, cot_prc_mediana) VALUES (16, 29, NULL, 80, 80, 80, 80);</v>
      </c>
    </row>
    <row r="623" spans="1:10" x14ac:dyDescent="0.3">
      <c r="A623" s="1">
        <v>622</v>
      </c>
      <c r="B623" s="1">
        <v>16</v>
      </c>
      <c r="C623" s="1">
        <v>30</v>
      </c>
      <c r="D623" s="19">
        <f>IF('Boletins Nuppa Site'!G623&lt;&gt;0,'Boletins Nuppa Site'!G623,"NULL")</f>
        <v>60</v>
      </c>
      <c r="E623" s="19">
        <f>IF('Boletins Nuppa Site'!H623&lt;&gt;0,'Boletins Nuppa Site'!H623,"NULL")</f>
        <v>60</v>
      </c>
      <c r="F623" s="19">
        <f>IF('Boletins Nuppa Site'!I623&lt;&gt;0,'Boletins Nuppa Site'!I623,"NULL")</f>
        <v>60</v>
      </c>
      <c r="G623" s="19">
        <f>IF('Boletins Nuppa Site'!J623&lt;&gt;0,'Boletins Nuppa Site'!J623,"NULL")</f>
        <v>60</v>
      </c>
      <c r="H623" s="19">
        <f>IF('Boletins Nuppa Site'!K623&lt;&gt;0,'Boletins Nuppa Site'!K623,"NULL")</f>
        <v>60</v>
      </c>
      <c r="J623" s="1" t="str">
        <f t="shared" si="9"/>
        <v>INSERT INTO COTACAO (blt_id, pap_id, cot_prc_comum, cot_prc_min, cot_prc_max, cot_prc_med, cot_prc_mediana) VALUES (16, 30, 60, 60, 60, 60, 60);</v>
      </c>
    </row>
    <row r="624" spans="1:10" x14ac:dyDescent="0.3">
      <c r="A624" s="1">
        <v>623</v>
      </c>
      <c r="B624" s="1">
        <v>16</v>
      </c>
      <c r="C624" s="1">
        <v>31</v>
      </c>
      <c r="D624" s="19">
        <f>IF('Boletins Nuppa Site'!G624&lt;&gt;0,'Boletins Nuppa Site'!G624,"NULL")</f>
        <v>90</v>
      </c>
      <c r="E624" s="19">
        <f>IF('Boletins Nuppa Site'!H624&lt;&gt;0,'Boletins Nuppa Site'!H624,"NULL")</f>
        <v>80</v>
      </c>
      <c r="F624" s="19">
        <f>IF('Boletins Nuppa Site'!I624&lt;&gt;0,'Boletins Nuppa Site'!I624,"NULL")</f>
        <v>90</v>
      </c>
      <c r="G624" s="1" t="str">
        <f>IF('Boletins Nuppa Site'!J624&lt;&gt;0,'Boletins Nuppa Site'!J624,"NULL")</f>
        <v>87.5</v>
      </c>
      <c r="H624" s="19">
        <f>IF('Boletins Nuppa Site'!K624&lt;&gt;0,'Boletins Nuppa Site'!K624,"NULL")</f>
        <v>90</v>
      </c>
      <c r="J624" s="1" t="str">
        <f t="shared" si="9"/>
        <v>INSERT INTO COTACAO (blt_id, pap_id, cot_prc_comum, cot_prc_min, cot_prc_max, cot_prc_med, cot_prc_mediana) VALUES (16, 31, 90, 80, 90, 87.5, 90);</v>
      </c>
    </row>
    <row r="625" spans="1:10" x14ac:dyDescent="0.3">
      <c r="A625" s="1">
        <v>624</v>
      </c>
      <c r="B625" s="1">
        <v>16</v>
      </c>
      <c r="C625" s="1">
        <v>32</v>
      </c>
      <c r="D625" s="19">
        <f>IF('Boletins Nuppa Site'!G625&lt;&gt;0,'Boletins Nuppa Site'!G625,"NULL")</f>
        <v>60</v>
      </c>
      <c r="E625" s="19">
        <f>IF('Boletins Nuppa Site'!H625&lt;&gt;0,'Boletins Nuppa Site'!H625,"NULL")</f>
        <v>50</v>
      </c>
      <c r="F625" s="19">
        <f>IF('Boletins Nuppa Site'!I625&lt;&gt;0,'Boletins Nuppa Site'!I625,"NULL")</f>
        <v>60</v>
      </c>
      <c r="G625" s="19">
        <f>IF('Boletins Nuppa Site'!J625&lt;&gt;0,'Boletins Nuppa Site'!J625,"NULL")</f>
        <v>55</v>
      </c>
      <c r="H625" s="19">
        <f>IF('Boletins Nuppa Site'!K625&lt;&gt;0,'Boletins Nuppa Site'!K625,"NULL")</f>
        <v>55</v>
      </c>
      <c r="J625" s="1" t="str">
        <f t="shared" si="9"/>
        <v>INSERT INTO COTACAO (blt_id, pap_id, cot_prc_comum, cot_prc_min, cot_prc_max, cot_prc_med, cot_prc_mediana) VALUES (16, 32, 60, 50, 60, 55, 55);</v>
      </c>
    </row>
    <row r="626" spans="1:10" x14ac:dyDescent="0.3">
      <c r="A626" s="1">
        <v>625</v>
      </c>
      <c r="B626" s="1">
        <v>16</v>
      </c>
      <c r="C626" s="1">
        <v>33</v>
      </c>
      <c r="D626" s="19">
        <f>IF('Boletins Nuppa Site'!G626&lt;&gt;0,'Boletins Nuppa Site'!G626,"NULL")</f>
        <v>110</v>
      </c>
      <c r="E626" s="19">
        <f>IF('Boletins Nuppa Site'!H626&lt;&gt;0,'Boletins Nuppa Site'!H626,"NULL")</f>
        <v>90</v>
      </c>
      <c r="F626" s="19">
        <f>IF('Boletins Nuppa Site'!I626&lt;&gt;0,'Boletins Nuppa Site'!I626,"NULL")</f>
        <v>120</v>
      </c>
      <c r="G626" s="1" t="str">
        <f>IF('Boletins Nuppa Site'!J626&lt;&gt;0,'Boletins Nuppa Site'!J626,"NULL")</f>
        <v>107.5</v>
      </c>
      <c r="H626" s="19">
        <f>IF('Boletins Nuppa Site'!K626&lt;&gt;0,'Boletins Nuppa Site'!K626,"NULL")</f>
        <v>110</v>
      </c>
      <c r="J626" s="1" t="str">
        <f t="shared" si="9"/>
        <v>INSERT INTO COTACAO (blt_id, pap_id, cot_prc_comum, cot_prc_min, cot_prc_max, cot_prc_med, cot_prc_mediana) VALUES (16, 33, 110, 90, 120, 107.5, 110);</v>
      </c>
    </row>
    <row r="627" spans="1:10" x14ac:dyDescent="0.3">
      <c r="A627" s="1">
        <v>626</v>
      </c>
      <c r="B627" s="1">
        <v>16</v>
      </c>
      <c r="C627" s="1">
        <v>34</v>
      </c>
      <c r="D627" s="1" t="str">
        <f>IF('Boletins Nuppa Site'!G627&lt;&gt;0,'Boletins Nuppa Site'!G627,"NULL")</f>
        <v>NULL</v>
      </c>
      <c r="E627" s="19">
        <f>IF('Boletins Nuppa Site'!H627&lt;&gt;0,'Boletins Nuppa Site'!H627,"NULL")</f>
        <v>100</v>
      </c>
      <c r="F627" s="19">
        <f>IF('Boletins Nuppa Site'!I627&lt;&gt;0,'Boletins Nuppa Site'!I627,"NULL")</f>
        <v>150</v>
      </c>
      <c r="G627" s="19">
        <f>IF('Boletins Nuppa Site'!J627&lt;&gt;0,'Boletins Nuppa Site'!J627,"NULL")</f>
        <v>125</v>
      </c>
      <c r="H627" s="19">
        <f>IF('Boletins Nuppa Site'!K627&lt;&gt;0,'Boletins Nuppa Site'!K627,"NULL")</f>
        <v>125</v>
      </c>
      <c r="J627" s="1" t="str">
        <f t="shared" si="9"/>
        <v>INSERT INTO COTACAO (blt_id, pap_id, cot_prc_comum, cot_prc_min, cot_prc_max, cot_prc_med, cot_prc_mediana) VALUES (16, 34, NULL, 100, 150, 125, 125);</v>
      </c>
    </row>
    <row r="628" spans="1:10" x14ac:dyDescent="0.3">
      <c r="A628" s="1">
        <v>627</v>
      </c>
      <c r="B628" s="1">
        <v>16</v>
      </c>
      <c r="C628" s="1">
        <v>35</v>
      </c>
      <c r="D628" s="1" t="str">
        <f>IF('Boletins Nuppa Site'!G628&lt;&gt;0,'Boletins Nuppa Site'!G628,"NULL")</f>
        <v>NULL</v>
      </c>
      <c r="E628" s="19">
        <f>IF('Boletins Nuppa Site'!H628&lt;&gt;0,'Boletins Nuppa Site'!H628,"NULL")</f>
        <v>180</v>
      </c>
      <c r="F628" s="19">
        <f>IF('Boletins Nuppa Site'!I628&lt;&gt;0,'Boletins Nuppa Site'!I628,"NULL")</f>
        <v>200</v>
      </c>
      <c r="G628" s="19">
        <f>IF('Boletins Nuppa Site'!J628&lt;&gt;0,'Boletins Nuppa Site'!J628,"NULL")</f>
        <v>190</v>
      </c>
      <c r="H628" s="19">
        <f>IF('Boletins Nuppa Site'!K628&lt;&gt;0,'Boletins Nuppa Site'!K628,"NULL")</f>
        <v>190</v>
      </c>
      <c r="J628" s="1" t="str">
        <f t="shared" si="9"/>
        <v>INSERT INTO COTACAO (blt_id, pap_id, cot_prc_comum, cot_prc_min, cot_prc_max, cot_prc_med, cot_prc_mediana) VALUES (16, 35, NULL, 180, 200, 190, 190);</v>
      </c>
    </row>
    <row r="629" spans="1:10" x14ac:dyDescent="0.3">
      <c r="A629" s="1">
        <v>628</v>
      </c>
      <c r="B629" s="1">
        <v>16</v>
      </c>
      <c r="C629" s="1">
        <v>36</v>
      </c>
      <c r="D629" s="1" t="str">
        <f>IF('Boletins Nuppa Site'!G629&lt;&gt;0,'Boletins Nuppa Site'!G629,"NULL")</f>
        <v>NULL</v>
      </c>
      <c r="E629" s="19">
        <f>IF('Boletins Nuppa Site'!H629&lt;&gt;0,'Boletins Nuppa Site'!H629,"NULL")</f>
        <v>90</v>
      </c>
      <c r="F629" s="19">
        <f>IF('Boletins Nuppa Site'!I629&lt;&gt;0,'Boletins Nuppa Site'!I629,"NULL")</f>
        <v>90</v>
      </c>
      <c r="G629" s="19">
        <f>IF('Boletins Nuppa Site'!J629&lt;&gt;0,'Boletins Nuppa Site'!J629,"NULL")</f>
        <v>90</v>
      </c>
      <c r="H629" s="19">
        <f>IF('Boletins Nuppa Site'!K629&lt;&gt;0,'Boletins Nuppa Site'!K629,"NULL")</f>
        <v>90</v>
      </c>
      <c r="J629" s="1" t="str">
        <f t="shared" si="9"/>
        <v>INSERT INTO COTACAO (blt_id, pap_id, cot_prc_comum, cot_prc_min, cot_prc_max, cot_prc_med, cot_prc_mediana) VALUES (16, 36, NULL, 90, 90, 90, 90);</v>
      </c>
    </row>
    <row r="630" spans="1:10" x14ac:dyDescent="0.3">
      <c r="A630" s="1">
        <v>629</v>
      </c>
      <c r="B630" s="1">
        <v>16</v>
      </c>
      <c r="C630" s="1">
        <v>37</v>
      </c>
      <c r="D630" s="1" t="str">
        <f>IF('Boletins Nuppa Site'!G630&lt;&gt;0,'Boletins Nuppa Site'!G630,"NULL")</f>
        <v>NULL</v>
      </c>
      <c r="E630" s="19">
        <f>IF('Boletins Nuppa Site'!H630&lt;&gt;0,'Boletins Nuppa Site'!H630,"NULL")</f>
        <v>70</v>
      </c>
      <c r="F630" s="19">
        <f>IF('Boletins Nuppa Site'!I630&lt;&gt;0,'Boletins Nuppa Site'!I630,"NULL")</f>
        <v>80</v>
      </c>
      <c r="G630" s="19">
        <f>IF('Boletins Nuppa Site'!J630&lt;&gt;0,'Boletins Nuppa Site'!J630,"NULL")</f>
        <v>75</v>
      </c>
      <c r="H630" s="19">
        <f>IF('Boletins Nuppa Site'!K630&lt;&gt;0,'Boletins Nuppa Site'!K630,"NULL")</f>
        <v>75</v>
      </c>
      <c r="J630" s="1" t="str">
        <f t="shared" si="9"/>
        <v>INSERT INTO COTACAO (blt_id, pap_id, cot_prc_comum, cot_prc_min, cot_prc_max, cot_prc_med, cot_prc_mediana) VALUES (16, 37, NULL, 70, 80, 75, 75);</v>
      </c>
    </row>
    <row r="631" spans="1:10" x14ac:dyDescent="0.3">
      <c r="A631" s="1">
        <v>630</v>
      </c>
      <c r="B631" s="1">
        <v>16</v>
      </c>
      <c r="C631" s="1">
        <v>38</v>
      </c>
      <c r="D631" s="1" t="str">
        <f>IF('Boletins Nuppa Site'!G631&lt;&gt;0,'Boletins Nuppa Site'!G631,"NULL")</f>
        <v>NULL</v>
      </c>
      <c r="E631" s="19">
        <f>IF('Boletins Nuppa Site'!H631&lt;&gt;0,'Boletins Nuppa Site'!H631,"NULL")</f>
        <v>50</v>
      </c>
      <c r="F631" s="19">
        <f>IF('Boletins Nuppa Site'!I631&lt;&gt;0,'Boletins Nuppa Site'!I631,"NULL")</f>
        <v>70</v>
      </c>
      <c r="G631" s="19">
        <f>IF('Boletins Nuppa Site'!J631&lt;&gt;0,'Boletins Nuppa Site'!J631,"NULL")</f>
        <v>60</v>
      </c>
      <c r="H631" s="19">
        <f>IF('Boletins Nuppa Site'!K631&lt;&gt;0,'Boletins Nuppa Site'!K631,"NULL")</f>
        <v>60</v>
      </c>
      <c r="J631" s="1" t="str">
        <f t="shared" si="9"/>
        <v>INSERT INTO COTACAO (blt_id, pap_id, cot_prc_comum, cot_prc_min, cot_prc_max, cot_prc_med, cot_prc_mediana) VALUES (16, 38, NULL, 50, 70, 60, 60);</v>
      </c>
    </row>
    <row r="632" spans="1:10" x14ac:dyDescent="0.3">
      <c r="A632" s="1">
        <v>631</v>
      </c>
      <c r="B632" s="1">
        <v>16</v>
      </c>
      <c r="C632" s="1">
        <v>39</v>
      </c>
      <c r="D632" s="1" t="str">
        <f>IF('Boletins Nuppa Site'!G632&lt;&gt;0,'Boletins Nuppa Site'!G632,"NULL")</f>
        <v>NULL</v>
      </c>
      <c r="E632" s="19">
        <f>IF('Boletins Nuppa Site'!H632&lt;&gt;0,'Boletins Nuppa Site'!H632,"NULL")</f>
        <v>55</v>
      </c>
      <c r="F632" s="19">
        <f>IF('Boletins Nuppa Site'!I632&lt;&gt;0,'Boletins Nuppa Site'!I632,"NULL")</f>
        <v>55</v>
      </c>
      <c r="G632" s="19">
        <f>IF('Boletins Nuppa Site'!J632&lt;&gt;0,'Boletins Nuppa Site'!J632,"NULL")</f>
        <v>55</v>
      </c>
      <c r="H632" s="19">
        <f>IF('Boletins Nuppa Site'!K632&lt;&gt;0,'Boletins Nuppa Site'!K632,"NULL")</f>
        <v>55</v>
      </c>
      <c r="J632" s="1" t="str">
        <f t="shared" si="9"/>
        <v>INSERT INTO COTACAO (blt_id, pap_id, cot_prc_comum, cot_prc_min, cot_prc_max, cot_prc_med, cot_prc_mediana) VALUES (16, 39, NULL, 55, 55, 55, 55);</v>
      </c>
    </row>
    <row r="633" spans="1:10" x14ac:dyDescent="0.3">
      <c r="A633" s="1">
        <v>632</v>
      </c>
      <c r="B633" s="1">
        <v>16</v>
      </c>
      <c r="C633" s="1">
        <v>40</v>
      </c>
      <c r="D633" s="1" t="str">
        <f>IF('Boletins Nuppa Site'!G633&lt;&gt;0,'Boletins Nuppa Site'!G633,"NULL")</f>
        <v>NULL</v>
      </c>
      <c r="E633" s="19">
        <f>IF('Boletins Nuppa Site'!H633&lt;&gt;0,'Boletins Nuppa Site'!H633,"NULL")</f>
        <v>55</v>
      </c>
      <c r="F633" s="19">
        <f>IF('Boletins Nuppa Site'!I633&lt;&gt;0,'Boletins Nuppa Site'!I633,"NULL")</f>
        <v>60</v>
      </c>
      <c r="G633" s="1" t="str">
        <f>IF('Boletins Nuppa Site'!J633&lt;&gt;0,'Boletins Nuppa Site'!J633,"NULL")</f>
        <v>57.5</v>
      </c>
      <c r="H633" s="1" t="str">
        <f>IF('Boletins Nuppa Site'!K633&lt;&gt;0,'Boletins Nuppa Site'!K633,"NULL")</f>
        <v>57.5</v>
      </c>
      <c r="J633" s="1" t="str">
        <f t="shared" si="9"/>
        <v>INSERT INTO COTACAO (blt_id, pap_id, cot_prc_comum, cot_prc_min, cot_prc_max, cot_prc_med, cot_prc_mediana) VALUES (16, 40, NULL, 55, 60, 57.5, 57.5);</v>
      </c>
    </row>
    <row r="634" spans="1:10" x14ac:dyDescent="0.3">
      <c r="A634" s="1">
        <v>633</v>
      </c>
      <c r="B634" s="1">
        <v>17</v>
      </c>
      <c r="C634" s="1">
        <v>1</v>
      </c>
      <c r="D634" s="19">
        <f>IF('Boletins Nuppa Site'!G634&lt;&gt;0,'Boletins Nuppa Site'!G634,"NULL")</f>
        <v>60</v>
      </c>
      <c r="E634" s="19">
        <f>IF('Boletins Nuppa Site'!H634&lt;&gt;0,'Boletins Nuppa Site'!H634,"NULL")</f>
        <v>60</v>
      </c>
      <c r="F634" s="19">
        <f>IF('Boletins Nuppa Site'!I634&lt;&gt;0,'Boletins Nuppa Site'!I634,"NULL")</f>
        <v>80</v>
      </c>
      <c r="G634" s="1" t="str">
        <f>IF('Boletins Nuppa Site'!J634&lt;&gt;0,'Boletins Nuppa Site'!J634,"NULL")</f>
        <v>66.67</v>
      </c>
      <c r="H634" s="19">
        <f>IF('Boletins Nuppa Site'!K634&lt;&gt;0,'Boletins Nuppa Site'!K634,"NULL")</f>
        <v>60</v>
      </c>
      <c r="J634" s="1" t="str">
        <f t="shared" si="9"/>
        <v>INSERT INTO COTACAO (blt_id, pap_id, cot_prc_comum, cot_prc_min, cot_prc_max, cot_prc_med, cot_prc_mediana) VALUES (17, 1, 60, 60, 80, 66.67, 60);</v>
      </c>
    </row>
    <row r="635" spans="1:10" x14ac:dyDescent="0.3">
      <c r="A635" s="1">
        <v>634</v>
      </c>
      <c r="B635" s="1">
        <v>17</v>
      </c>
      <c r="C635" s="1">
        <v>2</v>
      </c>
      <c r="D635" s="19">
        <f>IF('Boletins Nuppa Site'!G635&lt;&gt;0,'Boletins Nuppa Site'!G635,"NULL")</f>
        <v>84</v>
      </c>
      <c r="E635" s="19">
        <f>IF('Boletins Nuppa Site'!H635&lt;&gt;0,'Boletins Nuppa Site'!H635,"NULL")</f>
        <v>72</v>
      </c>
      <c r="F635" s="19">
        <f>IF('Boletins Nuppa Site'!I635&lt;&gt;0,'Boletins Nuppa Site'!I635,"NULL")</f>
        <v>84</v>
      </c>
      <c r="G635" s="19">
        <f>IF('Boletins Nuppa Site'!J635&lt;&gt;0,'Boletins Nuppa Site'!J635,"NULL")</f>
        <v>80</v>
      </c>
      <c r="H635" s="19">
        <f>IF('Boletins Nuppa Site'!K635&lt;&gt;0,'Boletins Nuppa Site'!K635,"NULL")</f>
        <v>84</v>
      </c>
      <c r="J635" s="1" t="str">
        <f t="shared" si="9"/>
        <v>INSERT INTO COTACAO (blt_id, pap_id, cot_prc_comum, cot_prc_min, cot_prc_max, cot_prc_med, cot_prc_mediana) VALUES (17, 2, 84, 72, 84, 80, 84);</v>
      </c>
    </row>
    <row r="636" spans="1:10" x14ac:dyDescent="0.3">
      <c r="A636" s="1">
        <v>635</v>
      </c>
      <c r="B636" s="1">
        <v>17</v>
      </c>
      <c r="C636" s="1">
        <v>3</v>
      </c>
      <c r="D636" s="1" t="str">
        <f>IF('Boletins Nuppa Site'!G636&lt;&gt;0,'Boletins Nuppa Site'!G636,"NULL")</f>
        <v>NULL</v>
      </c>
      <c r="E636" s="19">
        <f>IF('Boletins Nuppa Site'!H636&lt;&gt;0,'Boletins Nuppa Site'!H636,"NULL")</f>
        <v>36</v>
      </c>
      <c r="F636" s="19">
        <f>IF('Boletins Nuppa Site'!I636&lt;&gt;0,'Boletins Nuppa Site'!I636,"NULL")</f>
        <v>48</v>
      </c>
      <c r="G636" s="19">
        <f>IF('Boletins Nuppa Site'!J636&lt;&gt;0,'Boletins Nuppa Site'!J636,"NULL")</f>
        <v>42</v>
      </c>
      <c r="H636" s="19">
        <f>IF('Boletins Nuppa Site'!K636&lt;&gt;0,'Boletins Nuppa Site'!K636,"NULL")</f>
        <v>42</v>
      </c>
      <c r="J636" s="1" t="str">
        <f t="shared" si="9"/>
        <v>INSERT INTO COTACAO (blt_id, pap_id, cot_prc_comum, cot_prc_min, cot_prc_max, cot_prc_med, cot_prc_mediana) VALUES (17, 3, NULL, 36, 48, 42, 42);</v>
      </c>
    </row>
    <row r="637" spans="1:10" x14ac:dyDescent="0.3">
      <c r="A637" s="1">
        <v>636</v>
      </c>
      <c r="B637" s="1">
        <v>17</v>
      </c>
      <c r="C637" s="1">
        <v>4</v>
      </c>
      <c r="D637" s="19">
        <f>IF('Boletins Nuppa Site'!G637&lt;&gt;0,'Boletins Nuppa Site'!G637,"NULL")</f>
        <v>30</v>
      </c>
      <c r="E637" s="19">
        <f>IF('Boletins Nuppa Site'!H637&lt;&gt;0,'Boletins Nuppa Site'!H637,"NULL")</f>
        <v>30</v>
      </c>
      <c r="F637" s="19">
        <f>IF('Boletins Nuppa Site'!I637&lt;&gt;0,'Boletins Nuppa Site'!I637,"NULL")</f>
        <v>30</v>
      </c>
      <c r="G637" s="19">
        <f>IF('Boletins Nuppa Site'!J637&lt;&gt;0,'Boletins Nuppa Site'!J637,"NULL")</f>
        <v>30</v>
      </c>
      <c r="H637" s="19">
        <f>IF('Boletins Nuppa Site'!K637&lt;&gt;0,'Boletins Nuppa Site'!K637,"NULL")</f>
        <v>30</v>
      </c>
      <c r="J637" s="1" t="str">
        <f t="shared" si="9"/>
        <v>INSERT INTO COTACAO (blt_id, pap_id, cot_prc_comum, cot_prc_min, cot_prc_max, cot_prc_med, cot_prc_mediana) VALUES (17, 4, 30, 30, 30, 30, 30);</v>
      </c>
    </row>
    <row r="638" spans="1:10" x14ac:dyDescent="0.3">
      <c r="A638" s="1">
        <v>637</v>
      </c>
      <c r="B638" s="1">
        <v>17</v>
      </c>
      <c r="C638" s="1">
        <v>5</v>
      </c>
      <c r="D638" s="19">
        <f>IF('Boletins Nuppa Site'!G638&lt;&gt;0,'Boletins Nuppa Site'!G638,"NULL")</f>
        <v>30</v>
      </c>
      <c r="E638" s="19">
        <f>IF('Boletins Nuppa Site'!H638&lt;&gt;0,'Boletins Nuppa Site'!H638,"NULL")</f>
        <v>24</v>
      </c>
      <c r="F638" s="19">
        <f>IF('Boletins Nuppa Site'!I638&lt;&gt;0,'Boletins Nuppa Site'!I638,"NULL")</f>
        <v>30</v>
      </c>
      <c r="G638" s="19">
        <f>IF('Boletins Nuppa Site'!J638&lt;&gt;0,'Boletins Nuppa Site'!J638,"NULL")</f>
        <v>28</v>
      </c>
      <c r="H638" s="19">
        <f>IF('Boletins Nuppa Site'!K638&lt;&gt;0,'Boletins Nuppa Site'!K638,"NULL")</f>
        <v>30</v>
      </c>
      <c r="J638" s="1" t="str">
        <f t="shared" si="9"/>
        <v>INSERT INTO COTACAO (blt_id, pap_id, cot_prc_comum, cot_prc_min, cot_prc_max, cot_prc_med, cot_prc_mediana) VALUES (17, 5, 30, 24, 30, 28, 30);</v>
      </c>
    </row>
    <row r="639" spans="1:10" x14ac:dyDescent="0.3">
      <c r="A639" s="1">
        <v>638</v>
      </c>
      <c r="B639" s="1">
        <v>17</v>
      </c>
      <c r="C639" s="1">
        <v>6</v>
      </c>
      <c r="D639" s="19">
        <f>IF('Boletins Nuppa Site'!G639&lt;&gt;0,'Boletins Nuppa Site'!G639,"NULL")</f>
        <v>60</v>
      </c>
      <c r="E639" s="19">
        <f>IF('Boletins Nuppa Site'!H639&lt;&gt;0,'Boletins Nuppa Site'!H639,"NULL")</f>
        <v>60</v>
      </c>
      <c r="F639" s="19">
        <f>IF('Boletins Nuppa Site'!I639&lt;&gt;0,'Boletins Nuppa Site'!I639,"NULL")</f>
        <v>60</v>
      </c>
      <c r="G639" s="19">
        <f>IF('Boletins Nuppa Site'!J639&lt;&gt;0,'Boletins Nuppa Site'!J639,"NULL")</f>
        <v>60</v>
      </c>
      <c r="H639" s="19">
        <f>IF('Boletins Nuppa Site'!K639&lt;&gt;0,'Boletins Nuppa Site'!K639,"NULL")</f>
        <v>60</v>
      </c>
      <c r="J639" s="1" t="str">
        <f t="shared" si="9"/>
        <v>INSERT INTO COTACAO (blt_id, pap_id, cot_prc_comum, cot_prc_min, cot_prc_max, cot_prc_med, cot_prc_mediana) VALUES (17, 6, 60, 60, 60, 60, 60);</v>
      </c>
    </row>
    <row r="640" spans="1:10" x14ac:dyDescent="0.3">
      <c r="A640" s="1">
        <v>639</v>
      </c>
      <c r="B640" s="1">
        <v>17</v>
      </c>
      <c r="C640" s="1">
        <v>7</v>
      </c>
      <c r="D640" s="19">
        <f>IF('Boletins Nuppa Site'!G640&lt;&gt;0,'Boletins Nuppa Site'!G640,"NULL")</f>
        <v>72</v>
      </c>
      <c r="E640" s="19">
        <f>IF('Boletins Nuppa Site'!H640&lt;&gt;0,'Boletins Nuppa Site'!H640,"NULL")</f>
        <v>72</v>
      </c>
      <c r="F640" s="19">
        <f>IF('Boletins Nuppa Site'!I640&lt;&gt;0,'Boletins Nuppa Site'!I640,"NULL")</f>
        <v>78</v>
      </c>
      <c r="G640" s="19">
        <f>IF('Boletins Nuppa Site'!J640&lt;&gt;0,'Boletins Nuppa Site'!J640,"NULL")</f>
        <v>74</v>
      </c>
      <c r="H640" s="19">
        <f>IF('Boletins Nuppa Site'!K640&lt;&gt;0,'Boletins Nuppa Site'!K640,"NULL")</f>
        <v>72</v>
      </c>
      <c r="J640" s="1" t="str">
        <f t="shared" si="9"/>
        <v>INSERT INTO COTACAO (blt_id, pap_id, cot_prc_comum, cot_prc_min, cot_prc_max, cot_prc_med, cot_prc_mediana) VALUES (17, 7, 72, 72, 78, 74, 72);</v>
      </c>
    </row>
    <row r="641" spans="1:10" x14ac:dyDescent="0.3">
      <c r="A641" s="1">
        <v>640</v>
      </c>
      <c r="B641" s="1">
        <v>17</v>
      </c>
      <c r="C641" s="1">
        <v>8</v>
      </c>
      <c r="D641" s="19">
        <f>IF('Boletins Nuppa Site'!G641&lt;&gt;0,'Boletins Nuppa Site'!G641,"NULL")</f>
        <v>96</v>
      </c>
      <c r="E641" s="19">
        <f>IF('Boletins Nuppa Site'!H641&lt;&gt;0,'Boletins Nuppa Site'!H641,"NULL")</f>
        <v>72</v>
      </c>
      <c r="F641" s="19">
        <f>IF('Boletins Nuppa Site'!I641&lt;&gt;0,'Boletins Nuppa Site'!I641,"NULL")</f>
        <v>96</v>
      </c>
      <c r="G641" s="19">
        <f>IF('Boletins Nuppa Site'!J641&lt;&gt;0,'Boletins Nuppa Site'!J641,"NULL")</f>
        <v>88</v>
      </c>
      <c r="H641" s="19">
        <f>IF('Boletins Nuppa Site'!K641&lt;&gt;0,'Boletins Nuppa Site'!K641,"NULL")</f>
        <v>96</v>
      </c>
      <c r="J641" s="1" t="str">
        <f t="shared" si="9"/>
        <v>INSERT INTO COTACAO (blt_id, pap_id, cot_prc_comum, cot_prc_min, cot_prc_max, cot_prc_med, cot_prc_mediana) VALUES (17, 8, 96, 72, 96, 88, 96);</v>
      </c>
    </row>
    <row r="642" spans="1:10" x14ac:dyDescent="0.3">
      <c r="A642" s="1">
        <v>641</v>
      </c>
      <c r="B642" s="1">
        <v>17</v>
      </c>
      <c r="C642" s="1">
        <v>9</v>
      </c>
      <c r="D642" s="19">
        <f>IF('Boletins Nuppa Site'!G642&lt;&gt;0,'Boletins Nuppa Site'!G642,"NULL")</f>
        <v>24</v>
      </c>
      <c r="E642" s="19">
        <f>IF('Boletins Nuppa Site'!H642&lt;&gt;0,'Boletins Nuppa Site'!H642,"NULL")</f>
        <v>24</v>
      </c>
      <c r="F642" s="19">
        <f>IF('Boletins Nuppa Site'!I642&lt;&gt;0,'Boletins Nuppa Site'!I642,"NULL")</f>
        <v>30</v>
      </c>
      <c r="G642" s="19">
        <f>IF('Boletins Nuppa Site'!J642&lt;&gt;0,'Boletins Nuppa Site'!J642,"NULL")</f>
        <v>26</v>
      </c>
      <c r="H642" s="19">
        <f>IF('Boletins Nuppa Site'!K642&lt;&gt;0,'Boletins Nuppa Site'!K642,"NULL")</f>
        <v>24</v>
      </c>
      <c r="J642" s="1" t="str">
        <f t="shared" ref="J642:J705" si="10">"INSERT INTO COTACAO (blt_id, pap_id, cot_prc_comum, cot_prc_min, cot_prc_max, cot_prc_med, cot_prc_mediana) VALUES ("&amp;B642&amp;", "&amp;C642&amp;", "&amp;D642&amp;", "&amp;E642&amp;", "&amp;F642&amp;", "&amp;G642&amp;", "&amp;H642&amp;");"</f>
        <v>INSERT INTO COTACAO (blt_id, pap_id, cot_prc_comum, cot_prc_min, cot_prc_max, cot_prc_med, cot_prc_mediana) VALUES (17, 9, 24, 24, 30, 26, 24);</v>
      </c>
    </row>
    <row r="643" spans="1:10" x14ac:dyDescent="0.3">
      <c r="A643" s="1">
        <v>642</v>
      </c>
      <c r="B643" s="1">
        <v>17</v>
      </c>
      <c r="C643" s="1">
        <v>10</v>
      </c>
      <c r="D643" s="19">
        <f>IF('Boletins Nuppa Site'!G643&lt;&gt;0,'Boletins Nuppa Site'!G643,"NULL")</f>
        <v>72</v>
      </c>
      <c r="E643" s="19">
        <f>IF('Boletins Nuppa Site'!H643&lt;&gt;0,'Boletins Nuppa Site'!H643,"NULL")</f>
        <v>72</v>
      </c>
      <c r="F643" s="19">
        <f>IF('Boletins Nuppa Site'!I643&lt;&gt;0,'Boletins Nuppa Site'!I643,"NULL")</f>
        <v>84</v>
      </c>
      <c r="G643" s="19">
        <f>IF('Boletins Nuppa Site'!J643&lt;&gt;0,'Boletins Nuppa Site'!J643,"NULL")</f>
        <v>76</v>
      </c>
      <c r="H643" s="19">
        <f>IF('Boletins Nuppa Site'!K643&lt;&gt;0,'Boletins Nuppa Site'!K643,"NULL")</f>
        <v>72</v>
      </c>
      <c r="J643" s="1" t="str">
        <f t="shared" si="10"/>
        <v>INSERT INTO COTACAO (blt_id, pap_id, cot_prc_comum, cot_prc_min, cot_prc_max, cot_prc_med, cot_prc_mediana) VALUES (17, 10, 72, 72, 84, 76, 72);</v>
      </c>
    </row>
    <row r="644" spans="1:10" x14ac:dyDescent="0.3">
      <c r="A644" s="1">
        <v>643</v>
      </c>
      <c r="B644" s="1">
        <v>17</v>
      </c>
      <c r="C644" s="1">
        <v>11</v>
      </c>
      <c r="D644" s="19">
        <f>IF('Boletins Nuppa Site'!G644&lt;&gt;0,'Boletins Nuppa Site'!G644,"NULL")</f>
        <v>30</v>
      </c>
      <c r="E644" s="19">
        <f>IF('Boletins Nuppa Site'!H644&lt;&gt;0,'Boletins Nuppa Site'!H644,"NULL")</f>
        <v>30</v>
      </c>
      <c r="F644" s="19">
        <f>IF('Boletins Nuppa Site'!I644&lt;&gt;0,'Boletins Nuppa Site'!I644,"NULL")</f>
        <v>30</v>
      </c>
      <c r="G644" s="19">
        <f>IF('Boletins Nuppa Site'!J644&lt;&gt;0,'Boletins Nuppa Site'!J644,"NULL")</f>
        <v>30</v>
      </c>
      <c r="H644" s="19">
        <f>IF('Boletins Nuppa Site'!K644&lt;&gt;0,'Boletins Nuppa Site'!K644,"NULL")</f>
        <v>30</v>
      </c>
      <c r="J644" s="1" t="str">
        <f t="shared" si="10"/>
        <v>INSERT INTO COTACAO (blt_id, pap_id, cot_prc_comum, cot_prc_min, cot_prc_max, cot_prc_med, cot_prc_mediana) VALUES (17, 11, 30, 30, 30, 30, 30);</v>
      </c>
    </row>
    <row r="645" spans="1:10" x14ac:dyDescent="0.3">
      <c r="A645" s="1">
        <v>644</v>
      </c>
      <c r="B645" s="1">
        <v>17</v>
      </c>
      <c r="C645" s="1">
        <v>12</v>
      </c>
      <c r="D645" s="1" t="str">
        <f>IF('Boletins Nuppa Site'!G645&lt;&gt;0,'Boletins Nuppa Site'!G645,"NULL")</f>
        <v>NULL</v>
      </c>
      <c r="E645" s="19">
        <f>IF('Boletins Nuppa Site'!H645&lt;&gt;0,'Boletins Nuppa Site'!H645,"NULL")</f>
        <v>78</v>
      </c>
      <c r="F645" s="19">
        <f>IF('Boletins Nuppa Site'!I645&lt;&gt;0,'Boletins Nuppa Site'!I645,"NULL")</f>
        <v>96</v>
      </c>
      <c r="G645" s="19">
        <f>IF('Boletins Nuppa Site'!J645&lt;&gt;0,'Boletins Nuppa Site'!J645,"NULL")</f>
        <v>86</v>
      </c>
      <c r="H645" s="19">
        <f>IF('Boletins Nuppa Site'!K645&lt;&gt;0,'Boletins Nuppa Site'!K645,"NULL")</f>
        <v>84</v>
      </c>
      <c r="J645" s="1" t="str">
        <f t="shared" si="10"/>
        <v>INSERT INTO COTACAO (blt_id, pap_id, cot_prc_comum, cot_prc_min, cot_prc_max, cot_prc_med, cot_prc_mediana) VALUES (17, 12, NULL, 78, 96, 86, 84);</v>
      </c>
    </row>
    <row r="646" spans="1:10" x14ac:dyDescent="0.3">
      <c r="A646" s="1">
        <v>645</v>
      </c>
      <c r="B646" s="1">
        <v>17</v>
      </c>
      <c r="C646" s="1">
        <v>13</v>
      </c>
      <c r="D646" s="19">
        <f>IF('Boletins Nuppa Site'!G646&lt;&gt;0,'Boletins Nuppa Site'!G646,"NULL")</f>
        <v>60</v>
      </c>
      <c r="E646" s="19">
        <f>IF('Boletins Nuppa Site'!H646&lt;&gt;0,'Boletins Nuppa Site'!H646,"NULL")</f>
        <v>60</v>
      </c>
      <c r="F646" s="19">
        <f>IF('Boletins Nuppa Site'!I646&lt;&gt;0,'Boletins Nuppa Site'!I646,"NULL")</f>
        <v>78</v>
      </c>
      <c r="G646" s="19">
        <f>IF('Boletins Nuppa Site'!J646&lt;&gt;0,'Boletins Nuppa Site'!J646,"NULL")</f>
        <v>66</v>
      </c>
      <c r="H646" s="19">
        <f>IF('Boletins Nuppa Site'!K646&lt;&gt;0,'Boletins Nuppa Site'!K646,"NULL")</f>
        <v>60</v>
      </c>
      <c r="J646" s="1" t="str">
        <f t="shared" si="10"/>
        <v>INSERT INTO COTACAO (blt_id, pap_id, cot_prc_comum, cot_prc_min, cot_prc_max, cot_prc_med, cot_prc_mediana) VALUES (17, 13, 60, 60, 78, 66, 60);</v>
      </c>
    </row>
    <row r="647" spans="1:10" x14ac:dyDescent="0.3">
      <c r="A647" s="1">
        <v>646</v>
      </c>
      <c r="B647" s="1">
        <v>17</v>
      </c>
      <c r="C647" s="1">
        <v>14</v>
      </c>
      <c r="D647" s="19">
        <f>IF('Boletins Nuppa Site'!G647&lt;&gt;0,'Boletins Nuppa Site'!G647,"NULL")</f>
        <v>84</v>
      </c>
      <c r="E647" s="19">
        <f>IF('Boletins Nuppa Site'!H647&lt;&gt;0,'Boletins Nuppa Site'!H647,"NULL")</f>
        <v>84</v>
      </c>
      <c r="F647" s="19">
        <f>IF('Boletins Nuppa Site'!I647&lt;&gt;0,'Boletins Nuppa Site'!I647,"NULL")</f>
        <v>96</v>
      </c>
      <c r="G647" s="19">
        <f>IF('Boletins Nuppa Site'!J647&lt;&gt;0,'Boletins Nuppa Site'!J647,"NULL")</f>
        <v>88</v>
      </c>
      <c r="H647" s="19">
        <f>IF('Boletins Nuppa Site'!K647&lt;&gt;0,'Boletins Nuppa Site'!K647,"NULL")</f>
        <v>84</v>
      </c>
      <c r="J647" s="1" t="str">
        <f t="shared" si="10"/>
        <v>INSERT INTO COTACAO (blt_id, pap_id, cot_prc_comum, cot_prc_min, cot_prc_max, cot_prc_med, cot_prc_mediana) VALUES (17, 14, 84, 84, 96, 88, 84);</v>
      </c>
    </row>
    <row r="648" spans="1:10" x14ac:dyDescent="0.3">
      <c r="A648" s="1">
        <v>647</v>
      </c>
      <c r="B648" s="1">
        <v>17</v>
      </c>
      <c r="C648" s="1">
        <v>15</v>
      </c>
      <c r="D648" s="19">
        <f>IF('Boletins Nuppa Site'!G648&lt;&gt;0,'Boletins Nuppa Site'!G648,"NULL")</f>
        <v>60</v>
      </c>
      <c r="E648" s="19">
        <f>IF('Boletins Nuppa Site'!H648&lt;&gt;0,'Boletins Nuppa Site'!H648,"NULL")</f>
        <v>60</v>
      </c>
      <c r="F648" s="19">
        <f>IF('Boletins Nuppa Site'!I648&lt;&gt;0,'Boletins Nuppa Site'!I648,"NULL")</f>
        <v>70</v>
      </c>
      <c r="G648" s="1" t="str">
        <f>IF('Boletins Nuppa Site'!J648&lt;&gt;0,'Boletins Nuppa Site'!J648,"NULL")</f>
        <v>63.33</v>
      </c>
      <c r="H648" s="19">
        <f>IF('Boletins Nuppa Site'!K648&lt;&gt;0,'Boletins Nuppa Site'!K648,"NULL")</f>
        <v>60</v>
      </c>
      <c r="J648" s="1" t="str">
        <f t="shared" si="10"/>
        <v>INSERT INTO COTACAO (blt_id, pap_id, cot_prc_comum, cot_prc_min, cot_prc_max, cot_prc_med, cot_prc_mediana) VALUES (17, 15, 60, 60, 70, 63.33, 60);</v>
      </c>
    </row>
    <row r="649" spans="1:10" x14ac:dyDescent="0.3">
      <c r="A649" s="1">
        <v>648</v>
      </c>
      <c r="B649" s="1">
        <v>17</v>
      </c>
      <c r="C649" s="1">
        <v>16</v>
      </c>
      <c r="D649" s="19">
        <f>IF('Boletins Nuppa Site'!G649&lt;&gt;0,'Boletins Nuppa Site'!G649,"NULL")</f>
        <v>54</v>
      </c>
      <c r="E649" s="19">
        <f>IF('Boletins Nuppa Site'!H649&lt;&gt;0,'Boletins Nuppa Site'!H649,"NULL")</f>
        <v>48</v>
      </c>
      <c r="F649" s="19">
        <f>IF('Boletins Nuppa Site'!I649&lt;&gt;0,'Boletins Nuppa Site'!I649,"NULL")</f>
        <v>54</v>
      </c>
      <c r="G649" s="19">
        <f>IF('Boletins Nuppa Site'!J649&lt;&gt;0,'Boletins Nuppa Site'!J649,"NULL")</f>
        <v>52</v>
      </c>
      <c r="H649" s="19">
        <f>IF('Boletins Nuppa Site'!K649&lt;&gt;0,'Boletins Nuppa Site'!K649,"NULL")</f>
        <v>54</v>
      </c>
      <c r="J649" s="1" t="str">
        <f t="shared" si="10"/>
        <v>INSERT INTO COTACAO (blt_id, pap_id, cot_prc_comum, cot_prc_min, cot_prc_max, cot_prc_med, cot_prc_mediana) VALUES (17, 16, 54, 48, 54, 52, 54);</v>
      </c>
    </row>
    <row r="650" spans="1:10" x14ac:dyDescent="0.3">
      <c r="A650" s="1">
        <v>649</v>
      </c>
      <c r="B650" s="1">
        <v>17</v>
      </c>
      <c r="C650" s="1">
        <v>17</v>
      </c>
      <c r="D650" s="19">
        <f>IF('Boletins Nuppa Site'!G650&lt;&gt;0,'Boletins Nuppa Site'!G650,"NULL")</f>
        <v>5</v>
      </c>
      <c r="E650" s="19">
        <f>IF('Boletins Nuppa Site'!H650&lt;&gt;0,'Boletins Nuppa Site'!H650,"NULL")</f>
        <v>5</v>
      </c>
      <c r="F650" s="19">
        <f>IF('Boletins Nuppa Site'!I650&lt;&gt;0,'Boletins Nuppa Site'!I650,"NULL")</f>
        <v>6</v>
      </c>
      <c r="G650" s="1" t="str">
        <f>IF('Boletins Nuppa Site'!J650&lt;&gt;0,'Boletins Nuppa Site'!J650,"NULL")</f>
        <v>53.33</v>
      </c>
      <c r="H650" s="19">
        <f>IF('Boletins Nuppa Site'!K650&lt;&gt;0,'Boletins Nuppa Site'!K650,"NULL")</f>
        <v>5</v>
      </c>
      <c r="J650" s="1" t="str">
        <f t="shared" si="10"/>
        <v>INSERT INTO COTACAO (blt_id, pap_id, cot_prc_comum, cot_prc_min, cot_prc_max, cot_prc_med, cot_prc_mediana) VALUES (17, 17, 5, 5, 6, 53.33, 5);</v>
      </c>
    </row>
    <row r="651" spans="1:10" x14ac:dyDescent="0.3">
      <c r="A651" s="1">
        <v>650</v>
      </c>
      <c r="B651" s="1">
        <v>17</v>
      </c>
      <c r="C651" s="1">
        <v>18</v>
      </c>
      <c r="D651" s="19">
        <f>IF('Boletins Nuppa Site'!G651&lt;&gt;0,'Boletins Nuppa Site'!G651,"NULL")</f>
        <v>25</v>
      </c>
      <c r="E651" s="19">
        <f>IF('Boletins Nuppa Site'!H651&lt;&gt;0,'Boletins Nuppa Site'!H651,"NULL")</f>
        <v>20</v>
      </c>
      <c r="F651" s="19">
        <f>IF('Boletins Nuppa Site'!I651&lt;&gt;0,'Boletins Nuppa Site'!I651,"NULL")</f>
        <v>25</v>
      </c>
      <c r="G651" s="1" t="str">
        <f>IF('Boletins Nuppa Site'!J651&lt;&gt;0,'Boletins Nuppa Site'!J651,"NULL")</f>
        <v>23.33</v>
      </c>
      <c r="H651" s="19">
        <f>IF('Boletins Nuppa Site'!K651&lt;&gt;0,'Boletins Nuppa Site'!K651,"NULL")</f>
        <v>25</v>
      </c>
      <c r="J651" s="1" t="str">
        <f t="shared" si="10"/>
        <v>INSERT INTO COTACAO (blt_id, pap_id, cot_prc_comum, cot_prc_min, cot_prc_max, cot_prc_med, cot_prc_mediana) VALUES (17, 18, 25, 20, 25, 23.33, 25);</v>
      </c>
    </row>
    <row r="652" spans="1:10" x14ac:dyDescent="0.3">
      <c r="A652" s="1">
        <v>651</v>
      </c>
      <c r="B652" s="1">
        <v>17</v>
      </c>
      <c r="C652" s="1">
        <v>19</v>
      </c>
      <c r="D652" s="1" t="str">
        <f>IF('Boletins Nuppa Site'!G652&lt;&gt;0,'Boletins Nuppa Site'!G652,"NULL")</f>
        <v>NULL</v>
      </c>
      <c r="E652" s="19">
        <f>IF('Boletins Nuppa Site'!H652&lt;&gt;0,'Boletins Nuppa Site'!H652,"NULL")</f>
        <v>25</v>
      </c>
      <c r="F652" s="19">
        <f>IF('Boletins Nuppa Site'!I652&lt;&gt;0,'Boletins Nuppa Site'!I652,"NULL")</f>
        <v>32</v>
      </c>
      <c r="G652" s="19">
        <f>IF('Boletins Nuppa Site'!J652&lt;&gt;0,'Boletins Nuppa Site'!J652,"NULL")</f>
        <v>29</v>
      </c>
      <c r="H652" s="19">
        <f>IF('Boletins Nuppa Site'!K652&lt;&gt;0,'Boletins Nuppa Site'!K652,"NULL")</f>
        <v>30</v>
      </c>
      <c r="J652" s="1" t="str">
        <f t="shared" si="10"/>
        <v>INSERT INTO COTACAO (blt_id, pap_id, cot_prc_comum, cot_prc_min, cot_prc_max, cot_prc_med, cot_prc_mediana) VALUES (17, 19, NULL, 25, 32, 29, 30);</v>
      </c>
    </row>
    <row r="653" spans="1:10" x14ac:dyDescent="0.3">
      <c r="A653" s="1">
        <v>652</v>
      </c>
      <c r="B653" s="1">
        <v>17</v>
      </c>
      <c r="C653" s="1">
        <v>20</v>
      </c>
      <c r="D653" s="1" t="str">
        <f>IF('Boletins Nuppa Site'!G653&lt;&gt;0,'Boletins Nuppa Site'!G653,"NULL")</f>
        <v>NULL</v>
      </c>
      <c r="E653" s="19">
        <f>IF('Boletins Nuppa Site'!H653&lt;&gt;0,'Boletins Nuppa Site'!H653,"NULL")</f>
        <v>85</v>
      </c>
      <c r="F653" s="19">
        <f>IF('Boletins Nuppa Site'!I653&lt;&gt;0,'Boletins Nuppa Site'!I653,"NULL")</f>
        <v>90</v>
      </c>
      <c r="G653" s="1" t="str">
        <f>IF('Boletins Nuppa Site'!J653&lt;&gt;0,'Boletins Nuppa Site'!J653,"NULL")</f>
        <v>87.5</v>
      </c>
      <c r="H653" s="1" t="str">
        <f>IF('Boletins Nuppa Site'!K653&lt;&gt;0,'Boletins Nuppa Site'!K653,"NULL")</f>
        <v>87.5</v>
      </c>
      <c r="J653" s="1" t="str">
        <f t="shared" si="10"/>
        <v>INSERT INTO COTACAO (blt_id, pap_id, cot_prc_comum, cot_prc_min, cot_prc_max, cot_prc_med, cot_prc_mediana) VALUES (17, 20, NULL, 85, 90, 87.5, 87.5);</v>
      </c>
    </row>
    <row r="654" spans="1:10" x14ac:dyDescent="0.3">
      <c r="A654" s="1">
        <v>653</v>
      </c>
      <c r="B654" s="1">
        <v>17</v>
      </c>
      <c r="C654" s="1">
        <v>21</v>
      </c>
      <c r="D654" s="19">
        <f>IF('Boletins Nuppa Site'!G654&lt;&gt;0,'Boletins Nuppa Site'!G654,"NULL")</f>
        <v>70</v>
      </c>
      <c r="E654" s="19">
        <f>IF('Boletins Nuppa Site'!H654&lt;&gt;0,'Boletins Nuppa Site'!H654,"NULL")</f>
        <v>60</v>
      </c>
      <c r="F654" s="19">
        <f>IF('Boletins Nuppa Site'!I654&lt;&gt;0,'Boletins Nuppa Site'!I654,"NULL")</f>
        <v>70</v>
      </c>
      <c r="G654" s="1" t="str">
        <f>IF('Boletins Nuppa Site'!J654&lt;&gt;0,'Boletins Nuppa Site'!J654,"NULL")</f>
        <v>67.5</v>
      </c>
      <c r="H654" s="19">
        <f>IF('Boletins Nuppa Site'!K654&lt;&gt;0,'Boletins Nuppa Site'!K654,"NULL")</f>
        <v>70</v>
      </c>
      <c r="J654" s="1" t="str">
        <f t="shared" si="10"/>
        <v>INSERT INTO COTACAO (blt_id, pap_id, cot_prc_comum, cot_prc_min, cot_prc_max, cot_prc_med, cot_prc_mediana) VALUES (17, 21, 70, 60, 70, 67.5, 70);</v>
      </c>
    </row>
    <row r="655" spans="1:10" x14ac:dyDescent="0.3">
      <c r="A655" s="1">
        <v>654</v>
      </c>
      <c r="B655" s="1">
        <v>17</v>
      </c>
      <c r="C655" s="1">
        <v>22</v>
      </c>
      <c r="D655" s="19">
        <f>IF('Boletins Nuppa Site'!G655&lt;&gt;0,'Boletins Nuppa Site'!G655,"NULL")</f>
        <v>65</v>
      </c>
      <c r="E655" s="19">
        <f>IF('Boletins Nuppa Site'!H655&lt;&gt;0,'Boletins Nuppa Site'!H655,"NULL")</f>
        <v>45</v>
      </c>
      <c r="F655" s="19">
        <f>IF('Boletins Nuppa Site'!I655&lt;&gt;0,'Boletins Nuppa Site'!I655,"NULL")</f>
        <v>65</v>
      </c>
      <c r="G655" s="1" t="str">
        <f>IF('Boletins Nuppa Site'!J655&lt;&gt;0,'Boletins Nuppa Site'!J655,"NULL")</f>
        <v>56.25</v>
      </c>
      <c r="H655" s="1" t="str">
        <f>IF('Boletins Nuppa Site'!K655&lt;&gt;0,'Boletins Nuppa Site'!K655,"NULL")</f>
        <v>57.5</v>
      </c>
      <c r="J655" s="1" t="str">
        <f t="shared" si="10"/>
        <v>INSERT INTO COTACAO (blt_id, pap_id, cot_prc_comum, cot_prc_min, cot_prc_max, cot_prc_med, cot_prc_mediana) VALUES (17, 22, 65, 45, 65, 56.25, 57.5);</v>
      </c>
    </row>
    <row r="656" spans="1:10" x14ac:dyDescent="0.3">
      <c r="A656" s="1">
        <v>655</v>
      </c>
      <c r="B656" s="1">
        <v>17</v>
      </c>
      <c r="C656" s="1">
        <v>23</v>
      </c>
      <c r="D656" s="19">
        <f>IF('Boletins Nuppa Site'!G656&lt;&gt;0,'Boletins Nuppa Site'!G656,"NULL")</f>
        <v>50</v>
      </c>
      <c r="E656" s="19">
        <f>IF('Boletins Nuppa Site'!H656&lt;&gt;0,'Boletins Nuppa Site'!H656,"NULL")</f>
        <v>40</v>
      </c>
      <c r="F656" s="19">
        <f>IF('Boletins Nuppa Site'!I656&lt;&gt;0,'Boletins Nuppa Site'!I656,"NULL")</f>
        <v>50</v>
      </c>
      <c r="G656" s="1" t="str">
        <f>IF('Boletins Nuppa Site'!J656&lt;&gt;0,'Boletins Nuppa Site'!J656,"NULL")</f>
        <v>47.5</v>
      </c>
      <c r="H656" s="19">
        <f>IF('Boletins Nuppa Site'!K656&lt;&gt;0,'Boletins Nuppa Site'!K656,"NULL")</f>
        <v>50</v>
      </c>
      <c r="J656" s="1" t="str">
        <f t="shared" si="10"/>
        <v>INSERT INTO COTACAO (blt_id, pap_id, cot_prc_comum, cot_prc_min, cot_prc_max, cot_prc_med, cot_prc_mediana) VALUES (17, 23, 50, 40, 50, 47.5, 50);</v>
      </c>
    </row>
    <row r="657" spans="1:10" x14ac:dyDescent="0.3">
      <c r="A657" s="1">
        <v>656</v>
      </c>
      <c r="B657" s="1">
        <v>17</v>
      </c>
      <c r="C657" s="1">
        <v>24</v>
      </c>
      <c r="D657" s="19">
        <f>IF('Boletins Nuppa Site'!G657&lt;&gt;0,'Boletins Nuppa Site'!G657,"NULL")</f>
        <v>100</v>
      </c>
      <c r="E657" s="19">
        <f>IF('Boletins Nuppa Site'!H657&lt;&gt;0,'Boletins Nuppa Site'!H657,"NULL")</f>
        <v>90</v>
      </c>
      <c r="F657" s="19">
        <f>IF('Boletins Nuppa Site'!I657&lt;&gt;0,'Boletins Nuppa Site'!I657,"NULL")</f>
        <v>100</v>
      </c>
      <c r="G657" s="1" t="str">
        <f>IF('Boletins Nuppa Site'!J657&lt;&gt;0,'Boletins Nuppa Site'!J657,"NULL")</f>
        <v>96.67</v>
      </c>
      <c r="H657" s="19">
        <f>IF('Boletins Nuppa Site'!K657&lt;&gt;0,'Boletins Nuppa Site'!K657,"NULL")</f>
        <v>100</v>
      </c>
      <c r="J657" s="1" t="str">
        <f t="shared" si="10"/>
        <v>INSERT INTO COTACAO (blt_id, pap_id, cot_prc_comum, cot_prc_min, cot_prc_max, cot_prc_med, cot_prc_mediana) VALUES (17, 24, 100, 90, 100, 96.67, 100);</v>
      </c>
    </row>
    <row r="658" spans="1:10" x14ac:dyDescent="0.3">
      <c r="A658" s="1">
        <v>657</v>
      </c>
      <c r="B658" s="1">
        <v>17</v>
      </c>
      <c r="C658" s="1">
        <v>25</v>
      </c>
      <c r="D658" s="19">
        <f>IF('Boletins Nuppa Site'!G658&lt;&gt;0,'Boletins Nuppa Site'!G658,"NULL")</f>
        <v>110</v>
      </c>
      <c r="E658" s="19">
        <f>IF('Boletins Nuppa Site'!H658&lt;&gt;0,'Boletins Nuppa Site'!H658,"NULL")</f>
        <v>110</v>
      </c>
      <c r="F658" s="19">
        <f>IF('Boletins Nuppa Site'!I658&lt;&gt;0,'Boletins Nuppa Site'!I658,"NULL")</f>
        <v>150</v>
      </c>
      <c r="G658" s="1" t="str">
        <f>IF('Boletins Nuppa Site'!J658&lt;&gt;0,'Boletins Nuppa Site'!J658,"NULL")</f>
        <v>128.75</v>
      </c>
      <c r="H658" s="1" t="str">
        <f>IF('Boletins Nuppa Site'!K658&lt;&gt;0,'Boletins Nuppa Site'!K658,"NULL")</f>
        <v>127.5</v>
      </c>
      <c r="J658" s="1" t="str">
        <f t="shared" si="10"/>
        <v>INSERT INTO COTACAO (blt_id, pap_id, cot_prc_comum, cot_prc_min, cot_prc_max, cot_prc_med, cot_prc_mediana) VALUES (17, 25, 110, 110, 150, 128.75, 127.5);</v>
      </c>
    </row>
    <row r="659" spans="1:10" x14ac:dyDescent="0.3">
      <c r="A659" s="1">
        <v>658</v>
      </c>
      <c r="B659" s="1">
        <v>17</v>
      </c>
      <c r="C659" s="1">
        <v>26</v>
      </c>
      <c r="D659" s="19">
        <f>IF('Boletins Nuppa Site'!G659&lt;&gt;0,'Boletins Nuppa Site'!G659,"NULL")</f>
        <v>170</v>
      </c>
      <c r="E659" s="19">
        <f>IF('Boletins Nuppa Site'!H659&lt;&gt;0,'Boletins Nuppa Site'!H659,"NULL")</f>
        <v>100</v>
      </c>
      <c r="F659" s="19">
        <f>IF('Boletins Nuppa Site'!I659&lt;&gt;0,'Boletins Nuppa Site'!I659,"NULL")</f>
        <v>170</v>
      </c>
      <c r="G659" s="19">
        <f>IF('Boletins Nuppa Site'!J659&lt;&gt;0,'Boletins Nuppa Site'!J659,"NULL")</f>
        <v>135</v>
      </c>
      <c r="H659" s="19">
        <f>IF('Boletins Nuppa Site'!K659&lt;&gt;0,'Boletins Nuppa Site'!K659,"NULL")</f>
        <v>135</v>
      </c>
      <c r="J659" s="1" t="str">
        <f t="shared" si="10"/>
        <v>INSERT INTO COTACAO (blt_id, pap_id, cot_prc_comum, cot_prc_min, cot_prc_max, cot_prc_med, cot_prc_mediana) VALUES (17, 26, 170, 100, 170, 135, 135);</v>
      </c>
    </row>
    <row r="660" spans="1:10" x14ac:dyDescent="0.3">
      <c r="A660" s="1">
        <v>659</v>
      </c>
      <c r="B660" s="1">
        <v>17</v>
      </c>
      <c r="C660" s="1">
        <v>27</v>
      </c>
      <c r="D660" s="19">
        <f>IF('Boletins Nuppa Site'!G660&lt;&gt;0,'Boletins Nuppa Site'!G660,"NULL")</f>
        <v>50</v>
      </c>
      <c r="E660" s="19">
        <f>IF('Boletins Nuppa Site'!H660&lt;&gt;0,'Boletins Nuppa Site'!H660,"NULL")</f>
        <v>50</v>
      </c>
      <c r="F660" s="19">
        <f>IF('Boletins Nuppa Site'!I660&lt;&gt;0,'Boletins Nuppa Site'!I660,"NULL")</f>
        <v>60</v>
      </c>
      <c r="G660" s="19">
        <f>IF('Boletins Nuppa Site'!J660&lt;&gt;0,'Boletins Nuppa Site'!J660,"NULL")</f>
        <v>55</v>
      </c>
      <c r="H660" s="19">
        <f>IF('Boletins Nuppa Site'!K660&lt;&gt;0,'Boletins Nuppa Site'!K660,"NULL")</f>
        <v>55</v>
      </c>
      <c r="J660" s="1" t="str">
        <f t="shared" si="10"/>
        <v>INSERT INTO COTACAO (blt_id, pap_id, cot_prc_comum, cot_prc_min, cot_prc_max, cot_prc_med, cot_prc_mediana) VALUES (17, 27, 50, 50, 60, 55, 55);</v>
      </c>
    </row>
    <row r="661" spans="1:10" x14ac:dyDescent="0.3">
      <c r="A661" s="1">
        <v>660</v>
      </c>
      <c r="B661" s="1">
        <v>17</v>
      </c>
      <c r="C661" s="1">
        <v>28</v>
      </c>
      <c r="D661" s="19">
        <f>IF('Boletins Nuppa Site'!G661&lt;&gt;0,'Boletins Nuppa Site'!G661,"NULL")</f>
        <v>90</v>
      </c>
      <c r="E661" s="19">
        <f>IF('Boletins Nuppa Site'!H661&lt;&gt;0,'Boletins Nuppa Site'!H661,"NULL")</f>
        <v>80</v>
      </c>
      <c r="F661" s="19">
        <f>IF('Boletins Nuppa Site'!I661&lt;&gt;0,'Boletins Nuppa Site'!I661,"NULL")</f>
        <v>90</v>
      </c>
      <c r="G661" s="1" t="str">
        <f>IF('Boletins Nuppa Site'!J661&lt;&gt;0,'Boletins Nuppa Site'!J661,"NULL")</f>
        <v>86.67</v>
      </c>
      <c r="H661" s="19">
        <f>IF('Boletins Nuppa Site'!K661&lt;&gt;0,'Boletins Nuppa Site'!K661,"NULL")</f>
        <v>90</v>
      </c>
      <c r="J661" s="1" t="str">
        <f t="shared" si="10"/>
        <v>INSERT INTO COTACAO (blt_id, pap_id, cot_prc_comum, cot_prc_min, cot_prc_max, cot_prc_med, cot_prc_mediana) VALUES (17, 28, 90, 80, 90, 86.67, 90);</v>
      </c>
    </row>
    <row r="662" spans="1:10" x14ac:dyDescent="0.3">
      <c r="A662" s="1">
        <v>661</v>
      </c>
      <c r="B662" s="1">
        <v>17</v>
      </c>
      <c r="C662" s="1">
        <v>29</v>
      </c>
      <c r="D662" s="19">
        <f>IF('Boletins Nuppa Site'!G662&lt;&gt;0,'Boletins Nuppa Site'!G662,"NULL")</f>
        <v>75</v>
      </c>
      <c r="E662" s="19">
        <f>IF('Boletins Nuppa Site'!H662&lt;&gt;0,'Boletins Nuppa Site'!H662,"NULL")</f>
        <v>75</v>
      </c>
      <c r="F662" s="19">
        <f>IF('Boletins Nuppa Site'!I662&lt;&gt;0,'Boletins Nuppa Site'!I662,"NULL")</f>
        <v>75</v>
      </c>
      <c r="G662" s="19">
        <f>IF('Boletins Nuppa Site'!J662&lt;&gt;0,'Boletins Nuppa Site'!J662,"NULL")</f>
        <v>75</v>
      </c>
      <c r="H662" s="19">
        <f>IF('Boletins Nuppa Site'!K662&lt;&gt;0,'Boletins Nuppa Site'!K662,"NULL")</f>
        <v>75</v>
      </c>
      <c r="J662" s="1" t="str">
        <f t="shared" si="10"/>
        <v>INSERT INTO COTACAO (blt_id, pap_id, cot_prc_comum, cot_prc_min, cot_prc_max, cot_prc_med, cot_prc_mediana) VALUES (17, 29, 75, 75, 75, 75, 75);</v>
      </c>
    </row>
    <row r="663" spans="1:10" x14ac:dyDescent="0.3">
      <c r="A663" s="1">
        <v>662</v>
      </c>
      <c r="B663" s="1">
        <v>17</v>
      </c>
      <c r="C663" s="1">
        <v>30</v>
      </c>
      <c r="D663" s="1" t="str">
        <f>IF('Boletins Nuppa Site'!G663&lt;&gt;0,'Boletins Nuppa Site'!G663,"NULL")</f>
        <v>NULL</v>
      </c>
      <c r="E663" s="19">
        <f>IF('Boletins Nuppa Site'!H663&lt;&gt;0,'Boletins Nuppa Site'!H663,"NULL")</f>
        <v>50</v>
      </c>
      <c r="F663" s="19">
        <f>IF('Boletins Nuppa Site'!I663&lt;&gt;0,'Boletins Nuppa Site'!I663,"NULL")</f>
        <v>85</v>
      </c>
      <c r="G663" s="1" t="str">
        <f>IF('Boletins Nuppa Site'!J663&lt;&gt;0,'Boletins Nuppa Site'!J663,"NULL")</f>
        <v>68.33</v>
      </c>
      <c r="H663" s="19">
        <f>IF('Boletins Nuppa Site'!K663&lt;&gt;0,'Boletins Nuppa Site'!K663,"NULL")</f>
        <v>70</v>
      </c>
      <c r="J663" s="1" t="str">
        <f t="shared" si="10"/>
        <v>INSERT INTO COTACAO (blt_id, pap_id, cot_prc_comum, cot_prc_min, cot_prc_max, cot_prc_med, cot_prc_mediana) VALUES (17, 30, NULL, 50, 85, 68.33, 70);</v>
      </c>
    </row>
    <row r="664" spans="1:10" x14ac:dyDescent="0.3">
      <c r="A664" s="1">
        <v>663</v>
      </c>
      <c r="B664" s="1">
        <v>17</v>
      </c>
      <c r="C664" s="1">
        <v>31</v>
      </c>
      <c r="D664" s="19">
        <f>IF('Boletins Nuppa Site'!G664&lt;&gt;0,'Boletins Nuppa Site'!G664,"NULL")</f>
        <v>80</v>
      </c>
      <c r="E664" s="19">
        <f>IF('Boletins Nuppa Site'!H664&lt;&gt;0,'Boletins Nuppa Site'!H664,"NULL")</f>
        <v>80</v>
      </c>
      <c r="F664" s="19">
        <f>IF('Boletins Nuppa Site'!I664&lt;&gt;0,'Boletins Nuppa Site'!I664,"NULL")</f>
        <v>150</v>
      </c>
      <c r="G664" s="19">
        <f>IF('Boletins Nuppa Site'!J664&lt;&gt;0,'Boletins Nuppa Site'!J664,"NULL")</f>
        <v>100</v>
      </c>
      <c r="H664" s="19">
        <f>IF('Boletins Nuppa Site'!K664&lt;&gt;0,'Boletins Nuppa Site'!K664,"NULL")</f>
        <v>85</v>
      </c>
      <c r="J664" s="1" t="str">
        <f t="shared" si="10"/>
        <v>INSERT INTO COTACAO (blt_id, pap_id, cot_prc_comum, cot_prc_min, cot_prc_max, cot_prc_med, cot_prc_mediana) VALUES (17, 31, 80, 80, 150, 100, 85);</v>
      </c>
    </row>
    <row r="665" spans="1:10" x14ac:dyDescent="0.3">
      <c r="A665" s="1">
        <v>664</v>
      </c>
      <c r="B665" s="1">
        <v>17</v>
      </c>
      <c r="C665" s="1">
        <v>32</v>
      </c>
      <c r="D665" s="19">
        <f>IF('Boletins Nuppa Site'!G665&lt;&gt;0,'Boletins Nuppa Site'!G665,"NULL")</f>
        <v>50</v>
      </c>
      <c r="E665" s="19">
        <f>IF('Boletins Nuppa Site'!H665&lt;&gt;0,'Boletins Nuppa Site'!H665,"NULL")</f>
        <v>50</v>
      </c>
      <c r="F665" s="19">
        <f>IF('Boletins Nuppa Site'!I665&lt;&gt;0,'Boletins Nuppa Site'!I665,"NULL")</f>
        <v>65</v>
      </c>
      <c r="G665" s="19">
        <f>IF('Boletins Nuppa Site'!J665&lt;&gt;0,'Boletins Nuppa Site'!J665,"NULL")</f>
        <v>56</v>
      </c>
      <c r="H665" s="19">
        <f>IF('Boletins Nuppa Site'!K665&lt;&gt;0,'Boletins Nuppa Site'!K665,"NULL")</f>
        <v>55</v>
      </c>
      <c r="J665" s="1" t="str">
        <f t="shared" si="10"/>
        <v>INSERT INTO COTACAO (blt_id, pap_id, cot_prc_comum, cot_prc_min, cot_prc_max, cot_prc_med, cot_prc_mediana) VALUES (17, 32, 50, 50, 65, 56, 55);</v>
      </c>
    </row>
    <row r="666" spans="1:10" x14ac:dyDescent="0.3">
      <c r="A666" s="1">
        <v>665</v>
      </c>
      <c r="B666" s="1">
        <v>17</v>
      </c>
      <c r="C666" s="1">
        <v>33</v>
      </c>
      <c r="D666" s="19">
        <f>IF('Boletins Nuppa Site'!G666&lt;&gt;0,'Boletins Nuppa Site'!G666,"NULL")</f>
        <v>120</v>
      </c>
      <c r="E666" s="19">
        <f>IF('Boletins Nuppa Site'!H666&lt;&gt;0,'Boletins Nuppa Site'!H666,"NULL")</f>
        <v>100</v>
      </c>
      <c r="F666" s="19">
        <f>IF('Boletins Nuppa Site'!I666&lt;&gt;0,'Boletins Nuppa Site'!I666,"NULL")</f>
        <v>120</v>
      </c>
      <c r="G666" s="1" t="str">
        <f>IF('Boletins Nuppa Site'!J666&lt;&gt;0,'Boletins Nuppa Site'!J666,"NULL")</f>
        <v>112.5</v>
      </c>
      <c r="H666" s="19">
        <f>IF('Boletins Nuppa Site'!K666&lt;&gt;0,'Boletins Nuppa Site'!K666,"NULL")</f>
        <v>115</v>
      </c>
      <c r="J666" s="1" t="str">
        <f t="shared" si="10"/>
        <v>INSERT INTO COTACAO (blt_id, pap_id, cot_prc_comum, cot_prc_min, cot_prc_max, cot_prc_med, cot_prc_mediana) VALUES (17, 33, 120, 100, 120, 112.5, 115);</v>
      </c>
    </row>
    <row r="667" spans="1:10" x14ac:dyDescent="0.3">
      <c r="A667" s="1">
        <v>666</v>
      </c>
      <c r="B667" s="1">
        <v>17</v>
      </c>
      <c r="C667" s="1">
        <v>34</v>
      </c>
      <c r="D667" s="19">
        <f>IF('Boletins Nuppa Site'!G667&lt;&gt;0,'Boletins Nuppa Site'!G667,"NULL")</f>
        <v>140</v>
      </c>
      <c r="E667" s="19">
        <f>IF('Boletins Nuppa Site'!H667&lt;&gt;0,'Boletins Nuppa Site'!H667,"NULL")</f>
        <v>80</v>
      </c>
      <c r="F667" s="19">
        <f>IF('Boletins Nuppa Site'!I667&lt;&gt;0,'Boletins Nuppa Site'!I667,"NULL")</f>
        <v>140</v>
      </c>
      <c r="G667" s="1" t="str">
        <f>IF('Boletins Nuppa Site'!J667&lt;&gt;0,'Boletins Nuppa Site'!J667,"NULL")</f>
        <v>111.67</v>
      </c>
      <c r="H667" s="19">
        <f>IF('Boletins Nuppa Site'!K667&lt;&gt;0,'Boletins Nuppa Site'!K667,"NULL")</f>
        <v>105</v>
      </c>
      <c r="J667" s="1" t="str">
        <f t="shared" si="10"/>
        <v>INSERT INTO COTACAO (blt_id, pap_id, cot_prc_comum, cot_prc_min, cot_prc_max, cot_prc_med, cot_prc_mediana) VALUES (17, 34, 140, 80, 140, 111.67, 105);</v>
      </c>
    </row>
    <row r="668" spans="1:10" x14ac:dyDescent="0.3">
      <c r="A668" s="1">
        <v>667</v>
      </c>
      <c r="B668" s="1">
        <v>17</v>
      </c>
      <c r="C668" s="1">
        <v>35</v>
      </c>
      <c r="D668" s="19">
        <f>IF('Boletins Nuppa Site'!G668&lt;&gt;0,'Boletins Nuppa Site'!G668,"NULL")</f>
        <v>200</v>
      </c>
      <c r="E668" s="19">
        <f>IF('Boletins Nuppa Site'!H668&lt;&gt;0,'Boletins Nuppa Site'!H668,"NULL")</f>
        <v>170</v>
      </c>
      <c r="F668" s="19">
        <f>IF('Boletins Nuppa Site'!I668&lt;&gt;0,'Boletins Nuppa Site'!I668,"NULL")</f>
        <v>200</v>
      </c>
      <c r="G668" s="19">
        <f>IF('Boletins Nuppa Site'!J668&lt;&gt;0,'Boletins Nuppa Site'!J668,"NULL")</f>
        <v>190</v>
      </c>
      <c r="H668" s="19">
        <f>IF('Boletins Nuppa Site'!K668&lt;&gt;0,'Boletins Nuppa Site'!K668,"NULL")</f>
        <v>200</v>
      </c>
      <c r="J668" s="1" t="str">
        <f t="shared" si="10"/>
        <v>INSERT INTO COTACAO (blt_id, pap_id, cot_prc_comum, cot_prc_min, cot_prc_max, cot_prc_med, cot_prc_mediana) VALUES (17, 35, 200, 170, 200, 190, 200);</v>
      </c>
    </row>
    <row r="669" spans="1:10" x14ac:dyDescent="0.3">
      <c r="A669" s="1">
        <v>668</v>
      </c>
      <c r="B669" s="1">
        <v>17</v>
      </c>
      <c r="C669" s="1">
        <v>36</v>
      </c>
      <c r="D669" s="1" t="str">
        <f>IF('Boletins Nuppa Site'!G669&lt;&gt;0,'Boletins Nuppa Site'!G669,"NULL")</f>
        <v>NULL</v>
      </c>
      <c r="E669" s="19">
        <f>IF('Boletins Nuppa Site'!H669&lt;&gt;0,'Boletins Nuppa Site'!H669,"NULL")</f>
        <v>170</v>
      </c>
      <c r="F669" s="19">
        <f>IF('Boletins Nuppa Site'!I669&lt;&gt;0,'Boletins Nuppa Site'!I669,"NULL")</f>
        <v>170</v>
      </c>
      <c r="G669" s="19">
        <f>IF('Boletins Nuppa Site'!J669&lt;&gt;0,'Boletins Nuppa Site'!J669,"NULL")</f>
        <v>170</v>
      </c>
      <c r="H669" s="19">
        <f>IF('Boletins Nuppa Site'!K669&lt;&gt;0,'Boletins Nuppa Site'!K669,"NULL")</f>
        <v>170</v>
      </c>
      <c r="J669" s="1" t="str">
        <f t="shared" si="10"/>
        <v>INSERT INTO COTACAO (blt_id, pap_id, cot_prc_comum, cot_prc_min, cot_prc_max, cot_prc_med, cot_prc_mediana) VALUES (17, 36, NULL, 170, 170, 170, 170);</v>
      </c>
    </row>
    <row r="670" spans="1:10" x14ac:dyDescent="0.3">
      <c r="A670" s="1">
        <v>669</v>
      </c>
      <c r="B670" s="1">
        <v>17</v>
      </c>
      <c r="C670" s="1">
        <v>37</v>
      </c>
      <c r="D670" s="1" t="str">
        <f>IF('Boletins Nuppa Site'!G670&lt;&gt;0,'Boletins Nuppa Site'!G670,"NULL")</f>
        <v>NULL</v>
      </c>
      <c r="E670" s="19">
        <f>IF('Boletins Nuppa Site'!H670&lt;&gt;0,'Boletins Nuppa Site'!H670,"NULL")</f>
        <v>75</v>
      </c>
      <c r="F670" s="19">
        <f>IF('Boletins Nuppa Site'!I670&lt;&gt;0,'Boletins Nuppa Site'!I670,"NULL")</f>
        <v>75</v>
      </c>
      <c r="G670" s="19">
        <f>IF('Boletins Nuppa Site'!J670&lt;&gt;0,'Boletins Nuppa Site'!J670,"NULL")</f>
        <v>75</v>
      </c>
      <c r="H670" s="19">
        <f>IF('Boletins Nuppa Site'!K670&lt;&gt;0,'Boletins Nuppa Site'!K670,"NULL")</f>
        <v>75</v>
      </c>
      <c r="J670" s="1" t="str">
        <f t="shared" si="10"/>
        <v>INSERT INTO COTACAO (blt_id, pap_id, cot_prc_comum, cot_prc_min, cot_prc_max, cot_prc_med, cot_prc_mediana) VALUES (17, 37, NULL, 75, 75, 75, 75);</v>
      </c>
    </row>
    <row r="671" spans="1:10" x14ac:dyDescent="0.3">
      <c r="A671" s="1">
        <v>670</v>
      </c>
      <c r="B671" s="1">
        <v>17</v>
      </c>
      <c r="C671" s="1">
        <v>38</v>
      </c>
      <c r="D671" s="1" t="str">
        <f>IF('Boletins Nuppa Site'!G671&lt;&gt;0,'Boletins Nuppa Site'!G671,"NULL")</f>
        <v>NULL</v>
      </c>
      <c r="E671" s="1" t="str">
        <f>IF('Boletins Nuppa Site'!H671&lt;&gt;0,'Boletins Nuppa Site'!H671,"NULL")</f>
        <v>NULL</v>
      </c>
      <c r="F671" s="1" t="str">
        <f>IF('Boletins Nuppa Site'!I671&lt;&gt;0,'Boletins Nuppa Site'!I671,"NULL")</f>
        <v>NULL</v>
      </c>
      <c r="G671" s="1" t="str">
        <f>IF('Boletins Nuppa Site'!J671&lt;&gt;0,'Boletins Nuppa Site'!J671,"NULL")</f>
        <v>NULL</v>
      </c>
      <c r="H671" s="1" t="str">
        <f>IF('Boletins Nuppa Site'!K671&lt;&gt;0,'Boletins Nuppa Site'!K671,"NULL")</f>
        <v>NULL</v>
      </c>
      <c r="J671" s="1" t="str">
        <f t="shared" si="10"/>
        <v>INSERT INTO COTACAO (blt_id, pap_id, cot_prc_comum, cot_prc_min, cot_prc_max, cot_prc_med, cot_prc_mediana) VALUES (17, 38, NULL, NULL, NULL, NULL, NULL);</v>
      </c>
    </row>
    <row r="672" spans="1:10" x14ac:dyDescent="0.3">
      <c r="A672" s="1">
        <v>671</v>
      </c>
      <c r="B672" s="1">
        <v>17</v>
      </c>
      <c r="C672" s="1">
        <v>39</v>
      </c>
      <c r="D672" s="1" t="str">
        <f>IF('Boletins Nuppa Site'!G672&lt;&gt;0,'Boletins Nuppa Site'!G672,"NULL")</f>
        <v>NULL</v>
      </c>
      <c r="E672" s="19">
        <f>IF('Boletins Nuppa Site'!H672&lt;&gt;0,'Boletins Nuppa Site'!H672,"NULL")</f>
        <v>50</v>
      </c>
      <c r="F672" s="19">
        <f>IF('Boletins Nuppa Site'!I672&lt;&gt;0,'Boletins Nuppa Site'!I672,"NULL")</f>
        <v>50</v>
      </c>
      <c r="G672" s="19">
        <f>IF('Boletins Nuppa Site'!J672&lt;&gt;0,'Boletins Nuppa Site'!J672,"NULL")</f>
        <v>50</v>
      </c>
      <c r="H672" s="19">
        <f>IF('Boletins Nuppa Site'!K672&lt;&gt;0,'Boletins Nuppa Site'!K672,"NULL")</f>
        <v>50</v>
      </c>
      <c r="J672" s="1" t="str">
        <f t="shared" si="10"/>
        <v>INSERT INTO COTACAO (blt_id, pap_id, cot_prc_comum, cot_prc_min, cot_prc_max, cot_prc_med, cot_prc_mediana) VALUES (17, 39, NULL, 50, 50, 50, 50);</v>
      </c>
    </row>
    <row r="673" spans="1:10" x14ac:dyDescent="0.3">
      <c r="A673" s="1">
        <v>672</v>
      </c>
      <c r="B673" s="1">
        <v>17</v>
      </c>
      <c r="C673" s="1">
        <v>40</v>
      </c>
      <c r="D673" s="1" t="str">
        <f>IF('Boletins Nuppa Site'!G673&lt;&gt;0,'Boletins Nuppa Site'!G673,"NULL")</f>
        <v>NULL</v>
      </c>
      <c r="E673" s="19">
        <f>IF('Boletins Nuppa Site'!H673&lt;&gt;0,'Boletins Nuppa Site'!H673,"NULL")</f>
        <v>50</v>
      </c>
      <c r="F673" s="19">
        <f>IF('Boletins Nuppa Site'!I673&lt;&gt;0,'Boletins Nuppa Site'!I673,"NULL")</f>
        <v>60</v>
      </c>
      <c r="G673" s="19">
        <f>IF('Boletins Nuppa Site'!J673&lt;&gt;0,'Boletins Nuppa Site'!J673,"NULL")</f>
        <v>55</v>
      </c>
      <c r="H673" s="19">
        <f>IF('Boletins Nuppa Site'!K673&lt;&gt;0,'Boletins Nuppa Site'!K673,"NULL")</f>
        <v>55</v>
      </c>
      <c r="J673" s="1" t="str">
        <f t="shared" si="10"/>
        <v>INSERT INTO COTACAO (blt_id, pap_id, cot_prc_comum, cot_prc_min, cot_prc_max, cot_prc_med, cot_prc_mediana) VALUES (17, 40, NULL, 50, 60, 55, 55);</v>
      </c>
    </row>
    <row r="674" spans="1:10" x14ac:dyDescent="0.3">
      <c r="A674" s="1">
        <v>673</v>
      </c>
      <c r="B674" s="1">
        <v>18</v>
      </c>
      <c r="C674" s="1">
        <v>1</v>
      </c>
      <c r="D674" s="19">
        <f>IF('Boletins Nuppa Site'!G674&lt;&gt;0,'Boletins Nuppa Site'!G674,"NULL")</f>
        <v>60</v>
      </c>
      <c r="E674" s="19">
        <f>IF('Boletins Nuppa Site'!H674&lt;&gt;0,'Boletins Nuppa Site'!H674,"NULL")</f>
        <v>48</v>
      </c>
      <c r="F674" s="19">
        <f>IF('Boletins Nuppa Site'!I674&lt;&gt;0,'Boletins Nuppa Site'!I674,"NULL")</f>
        <v>66</v>
      </c>
      <c r="G674" s="1" t="str">
        <f>IF('Boletins Nuppa Site'!J674&lt;&gt;0,'Boletins Nuppa Site'!J674,"NULL")</f>
        <v>58.5</v>
      </c>
      <c r="H674" s="19">
        <f>IF('Boletins Nuppa Site'!K674&lt;&gt;0,'Boletins Nuppa Site'!K674,"NULL")</f>
        <v>60</v>
      </c>
      <c r="J674" s="1" t="str">
        <f t="shared" si="10"/>
        <v>INSERT INTO COTACAO (blt_id, pap_id, cot_prc_comum, cot_prc_min, cot_prc_max, cot_prc_med, cot_prc_mediana) VALUES (18, 1, 60, 48, 66, 58.5, 60);</v>
      </c>
    </row>
    <row r="675" spans="1:10" x14ac:dyDescent="0.3">
      <c r="A675" s="1">
        <v>674</v>
      </c>
      <c r="B675" s="1">
        <v>18</v>
      </c>
      <c r="C675" s="1">
        <v>2</v>
      </c>
      <c r="D675" s="19">
        <f>IF('Boletins Nuppa Site'!G675&lt;&gt;0,'Boletins Nuppa Site'!G675,"NULL")</f>
        <v>84</v>
      </c>
      <c r="E675" s="19">
        <f>IF('Boletins Nuppa Site'!H675&lt;&gt;0,'Boletins Nuppa Site'!H675,"NULL")</f>
        <v>60</v>
      </c>
      <c r="F675" s="19">
        <f>IF('Boletins Nuppa Site'!I675&lt;&gt;0,'Boletins Nuppa Site'!I675,"NULL")</f>
        <v>84</v>
      </c>
      <c r="G675" s="19">
        <f>IF('Boletins Nuppa Site'!J675&lt;&gt;0,'Boletins Nuppa Site'!J675,"NULL")</f>
        <v>78</v>
      </c>
      <c r="H675" s="19">
        <f>IF('Boletins Nuppa Site'!K675&lt;&gt;0,'Boletins Nuppa Site'!K675,"NULL")</f>
        <v>84</v>
      </c>
      <c r="J675" s="1" t="str">
        <f t="shared" si="10"/>
        <v>INSERT INTO COTACAO (blt_id, pap_id, cot_prc_comum, cot_prc_min, cot_prc_max, cot_prc_med, cot_prc_mediana) VALUES (18, 2, 84, 60, 84, 78, 84);</v>
      </c>
    </row>
    <row r="676" spans="1:10" x14ac:dyDescent="0.3">
      <c r="A676" s="1">
        <v>675</v>
      </c>
      <c r="B676" s="1">
        <v>18</v>
      </c>
      <c r="C676" s="1">
        <v>3</v>
      </c>
      <c r="D676" s="1" t="str">
        <f>IF('Boletins Nuppa Site'!G676&lt;&gt;0,'Boletins Nuppa Site'!G676,"NULL")</f>
        <v>NULL</v>
      </c>
      <c r="E676" s="19">
        <f>IF('Boletins Nuppa Site'!H676&lt;&gt;0,'Boletins Nuppa Site'!H676,"NULL")</f>
        <v>36</v>
      </c>
      <c r="F676" s="19">
        <f>IF('Boletins Nuppa Site'!I676&lt;&gt;0,'Boletins Nuppa Site'!I676,"NULL")</f>
        <v>54</v>
      </c>
      <c r="G676" s="1" t="str">
        <f>IF('Boletins Nuppa Site'!J676&lt;&gt;0,'Boletins Nuppa Site'!J676,"NULL")</f>
        <v>44.5</v>
      </c>
      <c r="H676" s="19">
        <f>IF('Boletins Nuppa Site'!K676&lt;&gt;0,'Boletins Nuppa Site'!K676,"NULL")</f>
        <v>44</v>
      </c>
      <c r="J676" s="1" t="str">
        <f t="shared" si="10"/>
        <v>INSERT INTO COTACAO (blt_id, pap_id, cot_prc_comum, cot_prc_min, cot_prc_max, cot_prc_med, cot_prc_mediana) VALUES (18, 3, NULL, 36, 54, 44.5, 44);</v>
      </c>
    </row>
    <row r="677" spans="1:10" x14ac:dyDescent="0.3">
      <c r="A677" s="1">
        <v>676</v>
      </c>
      <c r="B677" s="1">
        <v>18</v>
      </c>
      <c r="C677" s="1">
        <v>4</v>
      </c>
      <c r="D677" s="19">
        <f>IF('Boletins Nuppa Site'!G677&lt;&gt;0,'Boletins Nuppa Site'!G677,"NULL")</f>
        <v>24</v>
      </c>
      <c r="E677" s="19">
        <f>IF('Boletins Nuppa Site'!H677&lt;&gt;0,'Boletins Nuppa Site'!H677,"NULL")</f>
        <v>24</v>
      </c>
      <c r="F677" s="19">
        <f>IF('Boletins Nuppa Site'!I677&lt;&gt;0,'Boletins Nuppa Site'!I677,"NULL")</f>
        <v>30</v>
      </c>
      <c r="G677" s="19">
        <f>IF('Boletins Nuppa Site'!J677&lt;&gt;0,'Boletins Nuppa Site'!J677,"NULL")</f>
        <v>27</v>
      </c>
      <c r="H677" s="19">
        <f>IF('Boletins Nuppa Site'!K677&lt;&gt;0,'Boletins Nuppa Site'!K677,"NULL")</f>
        <v>27</v>
      </c>
      <c r="J677" s="1" t="str">
        <f t="shared" si="10"/>
        <v>INSERT INTO COTACAO (blt_id, pap_id, cot_prc_comum, cot_prc_min, cot_prc_max, cot_prc_med, cot_prc_mediana) VALUES (18, 4, 24, 24, 30, 27, 27);</v>
      </c>
    </row>
    <row r="678" spans="1:10" x14ac:dyDescent="0.3">
      <c r="A678" s="1">
        <v>677</v>
      </c>
      <c r="B678" s="1">
        <v>18</v>
      </c>
      <c r="C678" s="1">
        <v>5</v>
      </c>
      <c r="D678" s="19">
        <f>IF('Boletins Nuppa Site'!G678&lt;&gt;0,'Boletins Nuppa Site'!G678,"NULL")</f>
        <v>24</v>
      </c>
      <c r="E678" s="19">
        <f>IF('Boletins Nuppa Site'!H678&lt;&gt;0,'Boletins Nuppa Site'!H678,"NULL")</f>
        <v>24</v>
      </c>
      <c r="F678" s="19">
        <f>IF('Boletins Nuppa Site'!I678&lt;&gt;0,'Boletins Nuppa Site'!I678,"NULL")</f>
        <v>30</v>
      </c>
      <c r="G678" s="19">
        <f>IF('Boletins Nuppa Site'!J678&lt;&gt;0,'Boletins Nuppa Site'!J678,"NULL")</f>
        <v>27</v>
      </c>
      <c r="H678" s="19">
        <f>IF('Boletins Nuppa Site'!K678&lt;&gt;0,'Boletins Nuppa Site'!K678,"NULL")</f>
        <v>27</v>
      </c>
      <c r="J678" s="1" t="str">
        <f t="shared" si="10"/>
        <v>INSERT INTO COTACAO (blt_id, pap_id, cot_prc_comum, cot_prc_min, cot_prc_max, cot_prc_med, cot_prc_mediana) VALUES (18, 5, 24, 24, 30, 27, 27);</v>
      </c>
    </row>
    <row r="679" spans="1:10" x14ac:dyDescent="0.3">
      <c r="A679" s="1">
        <v>678</v>
      </c>
      <c r="B679" s="1">
        <v>18</v>
      </c>
      <c r="C679" s="1">
        <v>6</v>
      </c>
      <c r="D679" s="19">
        <f>IF('Boletins Nuppa Site'!G679&lt;&gt;0,'Boletins Nuppa Site'!G679,"NULL")</f>
        <v>50</v>
      </c>
      <c r="E679" s="19">
        <f>IF('Boletins Nuppa Site'!H679&lt;&gt;0,'Boletins Nuppa Site'!H679,"NULL")</f>
        <v>48</v>
      </c>
      <c r="F679" s="19">
        <f>IF('Boletins Nuppa Site'!I679&lt;&gt;0,'Boletins Nuppa Site'!I679,"NULL")</f>
        <v>60</v>
      </c>
      <c r="G679" s="19">
        <f>IF('Boletins Nuppa Site'!J679&lt;&gt;0,'Boletins Nuppa Site'!J679,"NULL")</f>
        <v>52</v>
      </c>
      <c r="H679" s="19">
        <f>IF('Boletins Nuppa Site'!K679&lt;&gt;0,'Boletins Nuppa Site'!K679,"NULL")</f>
        <v>50</v>
      </c>
      <c r="J679" s="1" t="str">
        <f t="shared" si="10"/>
        <v>INSERT INTO COTACAO (blt_id, pap_id, cot_prc_comum, cot_prc_min, cot_prc_max, cot_prc_med, cot_prc_mediana) VALUES (18, 6, 50, 48, 60, 52, 50);</v>
      </c>
    </row>
    <row r="680" spans="1:10" x14ac:dyDescent="0.3">
      <c r="A680" s="1">
        <v>679</v>
      </c>
      <c r="B680" s="1">
        <v>18</v>
      </c>
      <c r="C680" s="1">
        <v>7</v>
      </c>
      <c r="D680" s="19">
        <f>IF('Boletins Nuppa Site'!G680&lt;&gt;0,'Boletins Nuppa Site'!G680,"NULL")</f>
        <v>84</v>
      </c>
      <c r="E680" s="19">
        <f>IF('Boletins Nuppa Site'!H680&lt;&gt;0,'Boletins Nuppa Site'!H680,"NULL")</f>
        <v>84</v>
      </c>
      <c r="F680" s="19">
        <f>IF('Boletins Nuppa Site'!I680&lt;&gt;0,'Boletins Nuppa Site'!I680,"NULL")</f>
        <v>96</v>
      </c>
      <c r="G680" s="19">
        <f>IF('Boletins Nuppa Site'!J680&lt;&gt;0,'Boletins Nuppa Site'!J680,"NULL")</f>
        <v>90</v>
      </c>
      <c r="H680" s="19">
        <f>IF('Boletins Nuppa Site'!K680&lt;&gt;0,'Boletins Nuppa Site'!K680,"NULL")</f>
        <v>90</v>
      </c>
      <c r="J680" s="1" t="str">
        <f t="shared" si="10"/>
        <v>INSERT INTO COTACAO (blt_id, pap_id, cot_prc_comum, cot_prc_min, cot_prc_max, cot_prc_med, cot_prc_mediana) VALUES (18, 7, 84, 84, 96, 90, 90);</v>
      </c>
    </row>
    <row r="681" spans="1:10" x14ac:dyDescent="0.3">
      <c r="A681" s="1">
        <v>680</v>
      </c>
      <c r="B681" s="1">
        <v>18</v>
      </c>
      <c r="C681" s="1">
        <v>8</v>
      </c>
      <c r="D681" s="19">
        <f>IF('Boletins Nuppa Site'!G681&lt;&gt;0,'Boletins Nuppa Site'!G681,"NULL")</f>
        <v>96</v>
      </c>
      <c r="E681" s="19">
        <f>IF('Boletins Nuppa Site'!H681&lt;&gt;0,'Boletins Nuppa Site'!H681,"NULL")</f>
        <v>84</v>
      </c>
      <c r="F681" s="19">
        <f>IF('Boletins Nuppa Site'!I681&lt;&gt;0,'Boletins Nuppa Site'!I681,"NULL")</f>
        <v>96</v>
      </c>
      <c r="G681" s="19">
        <f>IF('Boletins Nuppa Site'!J681&lt;&gt;0,'Boletins Nuppa Site'!J681,"NULL")</f>
        <v>93</v>
      </c>
      <c r="H681" s="19">
        <f>IF('Boletins Nuppa Site'!K681&lt;&gt;0,'Boletins Nuppa Site'!K681,"NULL")</f>
        <v>96</v>
      </c>
      <c r="J681" s="1" t="str">
        <f t="shared" si="10"/>
        <v>INSERT INTO COTACAO (blt_id, pap_id, cot_prc_comum, cot_prc_min, cot_prc_max, cot_prc_med, cot_prc_mediana) VALUES (18, 8, 96, 84, 96, 93, 96);</v>
      </c>
    </row>
    <row r="682" spans="1:10" x14ac:dyDescent="0.3">
      <c r="A682" s="1">
        <v>681</v>
      </c>
      <c r="B682" s="1">
        <v>18</v>
      </c>
      <c r="C682" s="1">
        <v>9</v>
      </c>
      <c r="D682" s="19">
        <f>IF('Boletins Nuppa Site'!G682&lt;&gt;0,'Boletins Nuppa Site'!G682,"NULL")</f>
        <v>24</v>
      </c>
      <c r="E682" s="19">
        <f>IF('Boletins Nuppa Site'!H682&lt;&gt;0,'Boletins Nuppa Site'!H682,"NULL")</f>
        <v>24</v>
      </c>
      <c r="F682" s="19">
        <f>IF('Boletins Nuppa Site'!I682&lt;&gt;0,'Boletins Nuppa Site'!I682,"NULL")</f>
        <v>30</v>
      </c>
      <c r="G682" s="19">
        <f>IF('Boletins Nuppa Site'!J682&lt;&gt;0,'Boletins Nuppa Site'!J682,"NULL")</f>
        <v>27</v>
      </c>
      <c r="H682" s="19">
        <f>IF('Boletins Nuppa Site'!K682&lt;&gt;0,'Boletins Nuppa Site'!K682,"NULL")</f>
        <v>27</v>
      </c>
      <c r="J682" s="1" t="str">
        <f t="shared" si="10"/>
        <v>INSERT INTO COTACAO (blt_id, pap_id, cot_prc_comum, cot_prc_min, cot_prc_max, cot_prc_med, cot_prc_mediana) VALUES (18, 9, 24, 24, 30, 27, 27);</v>
      </c>
    </row>
    <row r="683" spans="1:10" x14ac:dyDescent="0.3">
      <c r="A683" s="1">
        <v>682</v>
      </c>
      <c r="B683" s="1">
        <v>18</v>
      </c>
      <c r="C683" s="1">
        <v>10</v>
      </c>
      <c r="D683" s="19">
        <f>IF('Boletins Nuppa Site'!G683&lt;&gt;0,'Boletins Nuppa Site'!G683,"NULL")</f>
        <v>96</v>
      </c>
      <c r="E683" s="19">
        <f>IF('Boletins Nuppa Site'!H683&lt;&gt;0,'Boletins Nuppa Site'!H683,"NULL")</f>
        <v>96</v>
      </c>
      <c r="F683" s="19">
        <f>IF('Boletins Nuppa Site'!I683&lt;&gt;0,'Boletins Nuppa Site'!I683,"NULL")</f>
        <v>120</v>
      </c>
      <c r="G683" s="19">
        <f>IF('Boletins Nuppa Site'!J683&lt;&gt;0,'Boletins Nuppa Site'!J683,"NULL")</f>
        <v>102</v>
      </c>
      <c r="H683" s="19">
        <f>IF('Boletins Nuppa Site'!K683&lt;&gt;0,'Boletins Nuppa Site'!K683,"NULL")</f>
        <v>96</v>
      </c>
      <c r="J683" s="1" t="str">
        <f t="shared" si="10"/>
        <v>INSERT INTO COTACAO (blt_id, pap_id, cot_prc_comum, cot_prc_min, cot_prc_max, cot_prc_med, cot_prc_mediana) VALUES (18, 10, 96, 96, 120, 102, 96);</v>
      </c>
    </row>
    <row r="684" spans="1:10" x14ac:dyDescent="0.3">
      <c r="A684" s="1">
        <v>683</v>
      </c>
      <c r="B684" s="1">
        <v>18</v>
      </c>
      <c r="C684" s="1">
        <v>11</v>
      </c>
      <c r="D684" s="19">
        <f>IF('Boletins Nuppa Site'!G684&lt;&gt;0,'Boletins Nuppa Site'!G684,"NULL")</f>
        <v>24</v>
      </c>
      <c r="E684" s="19">
        <f>IF('Boletins Nuppa Site'!H684&lt;&gt;0,'Boletins Nuppa Site'!H684,"NULL")</f>
        <v>24</v>
      </c>
      <c r="F684" s="19">
        <f>IF('Boletins Nuppa Site'!I684&lt;&gt;0,'Boletins Nuppa Site'!I684,"NULL")</f>
        <v>30</v>
      </c>
      <c r="G684" s="19">
        <f>IF('Boletins Nuppa Site'!J684&lt;&gt;0,'Boletins Nuppa Site'!J684,"NULL")</f>
        <v>27</v>
      </c>
      <c r="H684" s="19">
        <f>IF('Boletins Nuppa Site'!K684&lt;&gt;0,'Boletins Nuppa Site'!K684,"NULL")</f>
        <v>27</v>
      </c>
      <c r="J684" s="1" t="str">
        <f t="shared" si="10"/>
        <v>INSERT INTO COTACAO (blt_id, pap_id, cot_prc_comum, cot_prc_min, cot_prc_max, cot_prc_med, cot_prc_mediana) VALUES (18, 11, 24, 24, 30, 27, 27);</v>
      </c>
    </row>
    <row r="685" spans="1:10" x14ac:dyDescent="0.3">
      <c r="A685" s="1">
        <v>684</v>
      </c>
      <c r="B685" s="1">
        <v>18</v>
      </c>
      <c r="C685" s="1">
        <v>12</v>
      </c>
      <c r="D685" s="1" t="str">
        <f>IF('Boletins Nuppa Site'!G685&lt;&gt;0,'Boletins Nuppa Site'!G685,"NULL")</f>
        <v>NULL</v>
      </c>
      <c r="E685" s="19">
        <f>IF('Boletins Nuppa Site'!H685&lt;&gt;0,'Boletins Nuppa Site'!H685,"NULL")</f>
        <v>66</v>
      </c>
      <c r="F685" s="19">
        <f>IF('Boletins Nuppa Site'!I685&lt;&gt;0,'Boletins Nuppa Site'!I685,"NULL")</f>
        <v>86</v>
      </c>
      <c r="G685" s="1" t="str">
        <f>IF('Boletins Nuppa Site'!J685&lt;&gt;0,'Boletins Nuppa Site'!J685,"NULL")</f>
        <v>75.5</v>
      </c>
      <c r="H685" s="19">
        <f>IF('Boletins Nuppa Site'!K685&lt;&gt;0,'Boletins Nuppa Site'!K685,"NULL")</f>
        <v>75</v>
      </c>
      <c r="J685" s="1" t="str">
        <f t="shared" si="10"/>
        <v>INSERT INTO COTACAO (blt_id, pap_id, cot_prc_comum, cot_prc_min, cot_prc_max, cot_prc_med, cot_prc_mediana) VALUES (18, 12, NULL, 66, 86, 75.5, 75);</v>
      </c>
    </row>
    <row r="686" spans="1:10" x14ac:dyDescent="0.3">
      <c r="A686" s="1">
        <v>685</v>
      </c>
      <c r="B686" s="1">
        <v>18</v>
      </c>
      <c r="C686" s="1">
        <v>13</v>
      </c>
      <c r="D686" s="19">
        <f>IF('Boletins Nuppa Site'!G686&lt;&gt;0,'Boletins Nuppa Site'!G686,"NULL")</f>
        <v>48</v>
      </c>
      <c r="E686" s="19">
        <f>IF('Boletins Nuppa Site'!H686&lt;&gt;0,'Boletins Nuppa Site'!H686,"NULL")</f>
        <v>48</v>
      </c>
      <c r="F686" s="19">
        <f>IF('Boletins Nuppa Site'!I686&lt;&gt;0,'Boletins Nuppa Site'!I686,"NULL")</f>
        <v>72</v>
      </c>
      <c r="G686" s="19">
        <f>IF('Boletins Nuppa Site'!J686&lt;&gt;0,'Boletins Nuppa Site'!J686,"NULL")</f>
        <v>57</v>
      </c>
      <c r="H686" s="19">
        <f>IF('Boletins Nuppa Site'!K686&lt;&gt;0,'Boletins Nuppa Site'!K686,"NULL")</f>
        <v>54</v>
      </c>
      <c r="J686" s="1" t="str">
        <f t="shared" si="10"/>
        <v>INSERT INTO COTACAO (blt_id, pap_id, cot_prc_comum, cot_prc_min, cot_prc_max, cot_prc_med, cot_prc_mediana) VALUES (18, 13, 48, 48, 72, 57, 54);</v>
      </c>
    </row>
    <row r="687" spans="1:10" x14ac:dyDescent="0.3">
      <c r="A687" s="1">
        <v>686</v>
      </c>
      <c r="B687" s="1">
        <v>18</v>
      </c>
      <c r="C687" s="1">
        <v>14</v>
      </c>
      <c r="D687" s="1" t="str">
        <f>IF('Boletins Nuppa Site'!G687&lt;&gt;0,'Boletins Nuppa Site'!G687,"NULL")</f>
        <v>NULL</v>
      </c>
      <c r="E687" s="19">
        <f>IF('Boletins Nuppa Site'!H687&lt;&gt;0,'Boletins Nuppa Site'!H687,"NULL")</f>
        <v>60</v>
      </c>
      <c r="F687" s="19">
        <f>IF('Boletins Nuppa Site'!I687&lt;&gt;0,'Boletins Nuppa Site'!I687,"NULL")</f>
        <v>96</v>
      </c>
      <c r="G687" s="19">
        <f>IF('Boletins Nuppa Site'!J687&lt;&gt;0,'Boletins Nuppa Site'!J687,"NULL")</f>
        <v>78</v>
      </c>
      <c r="H687" s="19">
        <f>IF('Boletins Nuppa Site'!K687&lt;&gt;0,'Boletins Nuppa Site'!K687,"NULL")</f>
        <v>78</v>
      </c>
      <c r="J687" s="1" t="str">
        <f t="shared" si="10"/>
        <v>INSERT INTO COTACAO (blt_id, pap_id, cot_prc_comum, cot_prc_min, cot_prc_max, cot_prc_med, cot_prc_mediana) VALUES (18, 14, NULL, 60, 96, 78, 78);</v>
      </c>
    </row>
    <row r="688" spans="1:10" x14ac:dyDescent="0.3">
      <c r="A688" s="1">
        <v>687</v>
      </c>
      <c r="B688" s="1">
        <v>18</v>
      </c>
      <c r="C688" s="1">
        <v>15</v>
      </c>
      <c r="D688" s="19">
        <f>IF('Boletins Nuppa Site'!G688&lt;&gt;0,'Boletins Nuppa Site'!G688,"NULL")</f>
        <v>48</v>
      </c>
      <c r="E688" s="19">
        <f>IF('Boletins Nuppa Site'!H688&lt;&gt;0,'Boletins Nuppa Site'!H688,"NULL")</f>
        <v>48</v>
      </c>
      <c r="F688" s="19">
        <f>IF('Boletins Nuppa Site'!I688&lt;&gt;0,'Boletins Nuppa Site'!I688,"NULL")</f>
        <v>72</v>
      </c>
      <c r="G688" s="1" t="str">
        <f>IF('Boletins Nuppa Site'!J688&lt;&gt;0,'Boletins Nuppa Site'!J688,"NULL")</f>
        <v>55.6</v>
      </c>
      <c r="H688" s="19">
        <f>IF('Boletins Nuppa Site'!K688&lt;&gt;0,'Boletins Nuppa Site'!K688,"NULL")</f>
        <v>50</v>
      </c>
      <c r="J688" s="1" t="str">
        <f t="shared" si="10"/>
        <v>INSERT INTO COTACAO (blt_id, pap_id, cot_prc_comum, cot_prc_min, cot_prc_max, cot_prc_med, cot_prc_mediana) VALUES (18, 15, 48, 48, 72, 55.6, 50);</v>
      </c>
    </row>
    <row r="689" spans="1:10" x14ac:dyDescent="0.3">
      <c r="A689" s="1">
        <v>688</v>
      </c>
      <c r="B689" s="1">
        <v>18</v>
      </c>
      <c r="C689" s="1">
        <v>16</v>
      </c>
      <c r="D689" s="19">
        <f>IF('Boletins Nuppa Site'!G689&lt;&gt;0,'Boletins Nuppa Site'!G689,"NULL")</f>
        <v>54</v>
      </c>
      <c r="E689" s="19">
        <f>IF('Boletins Nuppa Site'!H689&lt;&gt;0,'Boletins Nuppa Site'!H689,"NULL")</f>
        <v>48</v>
      </c>
      <c r="F689" s="19">
        <f>IF('Boletins Nuppa Site'!I689&lt;&gt;0,'Boletins Nuppa Site'!I689,"NULL")</f>
        <v>60</v>
      </c>
      <c r="G689" s="19">
        <f>IF('Boletins Nuppa Site'!J689&lt;&gt;0,'Boletins Nuppa Site'!J689,"NULL")</f>
        <v>54</v>
      </c>
      <c r="H689" s="19">
        <f>IF('Boletins Nuppa Site'!K689&lt;&gt;0,'Boletins Nuppa Site'!K689,"NULL")</f>
        <v>54</v>
      </c>
      <c r="J689" s="1" t="str">
        <f t="shared" si="10"/>
        <v>INSERT INTO COTACAO (blt_id, pap_id, cot_prc_comum, cot_prc_min, cot_prc_max, cot_prc_med, cot_prc_mediana) VALUES (18, 16, 54, 48, 60, 54, 54);</v>
      </c>
    </row>
    <row r="690" spans="1:10" x14ac:dyDescent="0.3">
      <c r="A690" s="1">
        <v>689</v>
      </c>
      <c r="B690" s="1">
        <v>18</v>
      </c>
      <c r="C690" s="1">
        <v>17</v>
      </c>
      <c r="D690" s="19">
        <f>IF('Boletins Nuppa Site'!G690&lt;&gt;0,'Boletins Nuppa Site'!G690,"NULL")</f>
        <v>5</v>
      </c>
      <c r="E690" s="19">
        <f>IF('Boletins Nuppa Site'!H690&lt;&gt;0,'Boletins Nuppa Site'!H690,"NULL")</f>
        <v>5</v>
      </c>
      <c r="F690" s="19">
        <f>IF('Boletins Nuppa Site'!I690&lt;&gt;0,'Boletins Nuppa Site'!I690,"NULL")</f>
        <v>6</v>
      </c>
      <c r="G690" s="1" t="str">
        <f>IF('Boletins Nuppa Site'!J690&lt;&gt;0,'Boletins Nuppa Site'!J690,"NULL")</f>
        <v>5.25</v>
      </c>
      <c r="H690" s="19">
        <f>IF('Boletins Nuppa Site'!K690&lt;&gt;0,'Boletins Nuppa Site'!K690,"NULL")</f>
        <v>5</v>
      </c>
      <c r="J690" s="1" t="str">
        <f t="shared" si="10"/>
        <v>INSERT INTO COTACAO (blt_id, pap_id, cot_prc_comum, cot_prc_min, cot_prc_max, cot_prc_med, cot_prc_mediana) VALUES (18, 17, 5, 5, 6, 5.25, 5);</v>
      </c>
    </row>
    <row r="691" spans="1:10" x14ac:dyDescent="0.3">
      <c r="A691" s="1">
        <v>690</v>
      </c>
      <c r="B691" s="1">
        <v>18</v>
      </c>
      <c r="C691" s="1">
        <v>18</v>
      </c>
      <c r="D691" s="19">
        <f>IF('Boletins Nuppa Site'!G691&lt;&gt;0,'Boletins Nuppa Site'!G691,"NULL")</f>
        <v>20</v>
      </c>
      <c r="E691" s="19">
        <f>IF('Boletins Nuppa Site'!H691&lt;&gt;0,'Boletins Nuppa Site'!H691,"NULL")</f>
        <v>15</v>
      </c>
      <c r="F691" s="19">
        <f>IF('Boletins Nuppa Site'!I691&lt;&gt;0,'Boletins Nuppa Site'!I691,"NULL")</f>
        <v>25</v>
      </c>
      <c r="G691" s="19">
        <f>IF('Boletins Nuppa Site'!J691&lt;&gt;0,'Boletins Nuppa Site'!J691,"NULL")</f>
        <v>20</v>
      </c>
      <c r="H691" s="19">
        <f>IF('Boletins Nuppa Site'!K691&lt;&gt;0,'Boletins Nuppa Site'!K691,"NULL")</f>
        <v>20</v>
      </c>
      <c r="J691" s="1" t="str">
        <f t="shared" si="10"/>
        <v>INSERT INTO COTACAO (blt_id, pap_id, cot_prc_comum, cot_prc_min, cot_prc_max, cot_prc_med, cot_prc_mediana) VALUES (18, 18, 20, 15, 25, 20, 20);</v>
      </c>
    </row>
    <row r="692" spans="1:10" x14ac:dyDescent="0.3">
      <c r="A692" s="1">
        <v>691</v>
      </c>
      <c r="B692" s="1">
        <v>18</v>
      </c>
      <c r="C692" s="1">
        <v>19</v>
      </c>
      <c r="D692" s="19">
        <f>IF('Boletins Nuppa Site'!G692&lt;&gt;0,'Boletins Nuppa Site'!G692,"NULL")</f>
        <v>25</v>
      </c>
      <c r="E692" s="19">
        <f>IF('Boletins Nuppa Site'!H692&lt;&gt;0,'Boletins Nuppa Site'!H692,"NULL")</f>
        <v>25</v>
      </c>
      <c r="F692" s="19">
        <f>IF('Boletins Nuppa Site'!I692&lt;&gt;0,'Boletins Nuppa Site'!I692,"NULL")</f>
        <v>35</v>
      </c>
      <c r="G692" s="19">
        <f>IF('Boletins Nuppa Site'!J692&lt;&gt;0,'Boletins Nuppa Site'!J692,"NULL")</f>
        <v>30</v>
      </c>
      <c r="H692" s="19">
        <f>IF('Boletins Nuppa Site'!K692&lt;&gt;0,'Boletins Nuppa Site'!K692,"NULL")</f>
        <v>30</v>
      </c>
      <c r="J692" s="1" t="str">
        <f t="shared" si="10"/>
        <v>INSERT INTO COTACAO (blt_id, pap_id, cot_prc_comum, cot_prc_min, cot_prc_max, cot_prc_med, cot_prc_mediana) VALUES (18, 19, 25, 25, 35, 30, 30);</v>
      </c>
    </row>
    <row r="693" spans="1:10" x14ac:dyDescent="0.3">
      <c r="A693" s="1">
        <v>692</v>
      </c>
      <c r="B693" s="1">
        <v>18</v>
      </c>
      <c r="C693" s="1">
        <v>20</v>
      </c>
      <c r="D693" s="1" t="str">
        <f>IF('Boletins Nuppa Site'!G693&lt;&gt;0,'Boletins Nuppa Site'!G693,"NULL")</f>
        <v>NULL</v>
      </c>
      <c r="E693" s="19">
        <f>IF('Boletins Nuppa Site'!H693&lt;&gt;0,'Boletins Nuppa Site'!H693,"NULL")</f>
        <v>85</v>
      </c>
      <c r="F693" s="19">
        <f>IF('Boletins Nuppa Site'!I693&lt;&gt;0,'Boletins Nuppa Site'!I693,"NULL")</f>
        <v>85</v>
      </c>
      <c r="G693" s="19">
        <f>IF('Boletins Nuppa Site'!J693&lt;&gt;0,'Boletins Nuppa Site'!J693,"NULL")</f>
        <v>85</v>
      </c>
      <c r="H693" s="19">
        <f>IF('Boletins Nuppa Site'!K693&lt;&gt;0,'Boletins Nuppa Site'!K693,"NULL")</f>
        <v>85</v>
      </c>
      <c r="J693" s="1" t="str">
        <f t="shared" si="10"/>
        <v>INSERT INTO COTACAO (blt_id, pap_id, cot_prc_comum, cot_prc_min, cot_prc_max, cot_prc_med, cot_prc_mediana) VALUES (18, 20, NULL, 85, 85, 85, 85);</v>
      </c>
    </row>
    <row r="694" spans="1:10" x14ac:dyDescent="0.3">
      <c r="A694" s="1">
        <v>693</v>
      </c>
      <c r="B694" s="1">
        <v>18</v>
      </c>
      <c r="C694" s="1">
        <v>21</v>
      </c>
      <c r="D694" s="19">
        <f>IF('Boletins Nuppa Site'!G694&lt;&gt;0,'Boletins Nuppa Site'!G694,"NULL")</f>
        <v>100</v>
      </c>
      <c r="E694" s="19">
        <f>IF('Boletins Nuppa Site'!H694&lt;&gt;0,'Boletins Nuppa Site'!H694,"NULL")</f>
        <v>80</v>
      </c>
      <c r="F694" s="19">
        <f>IF('Boletins Nuppa Site'!I694&lt;&gt;0,'Boletins Nuppa Site'!I694,"NULL")</f>
        <v>100</v>
      </c>
      <c r="G694" s="1" t="str">
        <f>IF('Boletins Nuppa Site'!J694&lt;&gt;0,'Boletins Nuppa Site'!J694,"NULL")</f>
        <v>93.33</v>
      </c>
      <c r="H694" s="19">
        <f>IF('Boletins Nuppa Site'!K694&lt;&gt;0,'Boletins Nuppa Site'!K694,"NULL")</f>
        <v>100</v>
      </c>
      <c r="J694" s="1" t="str">
        <f t="shared" si="10"/>
        <v>INSERT INTO COTACAO (blt_id, pap_id, cot_prc_comum, cot_prc_min, cot_prc_max, cot_prc_med, cot_prc_mediana) VALUES (18, 21, 100, 80, 100, 93.33, 100);</v>
      </c>
    </row>
    <row r="695" spans="1:10" x14ac:dyDescent="0.3">
      <c r="A695" s="1">
        <v>694</v>
      </c>
      <c r="B695" s="1">
        <v>18</v>
      </c>
      <c r="C695" s="1">
        <v>22</v>
      </c>
      <c r="D695" s="19">
        <f>IF('Boletins Nuppa Site'!G695&lt;&gt;0,'Boletins Nuppa Site'!G695,"NULL")</f>
        <v>50</v>
      </c>
      <c r="E695" s="19">
        <f>IF('Boletins Nuppa Site'!H695&lt;&gt;0,'Boletins Nuppa Site'!H695,"NULL")</f>
        <v>50</v>
      </c>
      <c r="F695" s="19">
        <f>IF('Boletins Nuppa Site'!I695&lt;&gt;0,'Boletins Nuppa Site'!I695,"NULL")</f>
        <v>70</v>
      </c>
      <c r="G695" s="19">
        <f>IF('Boletins Nuppa Site'!J695&lt;&gt;0,'Boletins Nuppa Site'!J695,"NULL")</f>
        <v>60</v>
      </c>
      <c r="H695" s="19">
        <f>IF('Boletins Nuppa Site'!K695&lt;&gt;0,'Boletins Nuppa Site'!K695,"NULL")</f>
        <v>60</v>
      </c>
      <c r="J695" s="1" t="str">
        <f t="shared" si="10"/>
        <v>INSERT INTO COTACAO (blt_id, pap_id, cot_prc_comum, cot_prc_min, cot_prc_max, cot_prc_med, cot_prc_mediana) VALUES (18, 22, 50, 50, 70, 60, 60);</v>
      </c>
    </row>
    <row r="696" spans="1:10" x14ac:dyDescent="0.3">
      <c r="A696" s="1">
        <v>695</v>
      </c>
      <c r="B696" s="1">
        <v>18</v>
      </c>
      <c r="C696" s="1">
        <v>23</v>
      </c>
      <c r="D696" s="1" t="str">
        <f>IF('Boletins Nuppa Site'!G696&lt;&gt;0,'Boletins Nuppa Site'!G696,"NULL")</f>
        <v>NULL</v>
      </c>
      <c r="E696" s="19">
        <f>IF('Boletins Nuppa Site'!H696&lt;&gt;0,'Boletins Nuppa Site'!H696,"NULL")</f>
        <v>40</v>
      </c>
      <c r="F696" s="19">
        <f>IF('Boletins Nuppa Site'!I696&lt;&gt;0,'Boletins Nuppa Site'!I696,"NULL")</f>
        <v>50</v>
      </c>
      <c r="G696" s="19">
        <f>IF('Boletins Nuppa Site'!J696&lt;&gt;0,'Boletins Nuppa Site'!J696,"NULL")</f>
        <v>45</v>
      </c>
      <c r="H696" s="19">
        <f>IF('Boletins Nuppa Site'!K696&lt;&gt;0,'Boletins Nuppa Site'!K696,"NULL")</f>
        <v>45</v>
      </c>
      <c r="J696" s="1" t="str">
        <f t="shared" si="10"/>
        <v>INSERT INTO COTACAO (blt_id, pap_id, cot_prc_comum, cot_prc_min, cot_prc_max, cot_prc_med, cot_prc_mediana) VALUES (18, 23, NULL, 40, 50, 45, 45);</v>
      </c>
    </row>
    <row r="697" spans="1:10" x14ac:dyDescent="0.3">
      <c r="A697" s="1">
        <v>696</v>
      </c>
      <c r="B697" s="1">
        <v>18</v>
      </c>
      <c r="C697" s="1">
        <v>24</v>
      </c>
      <c r="D697" s="1" t="str">
        <f>IF('Boletins Nuppa Site'!G697&lt;&gt;0,'Boletins Nuppa Site'!G697,"NULL")</f>
        <v>NULL</v>
      </c>
      <c r="E697" s="19">
        <f>IF('Boletins Nuppa Site'!H697&lt;&gt;0,'Boletins Nuppa Site'!H697,"NULL")</f>
        <v>100</v>
      </c>
      <c r="F697" s="19">
        <f>IF('Boletins Nuppa Site'!I697&lt;&gt;0,'Boletins Nuppa Site'!I697,"NULL")</f>
        <v>100</v>
      </c>
      <c r="G697" s="19">
        <f>IF('Boletins Nuppa Site'!J697&lt;&gt;0,'Boletins Nuppa Site'!J697,"NULL")</f>
        <v>100</v>
      </c>
      <c r="H697" s="19">
        <f>IF('Boletins Nuppa Site'!K697&lt;&gt;0,'Boletins Nuppa Site'!K697,"NULL")</f>
        <v>100</v>
      </c>
      <c r="J697" s="1" t="str">
        <f t="shared" si="10"/>
        <v>INSERT INTO COTACAO (blt_id, pap_id, cot_prc_comum, cot_prc_min, cot_prc_max, cot_prc_med, cot_prc_mediana) VALUES (18, 24, NULL, 100, 100, 100, 100);</v>
      </c>
    </row>
    <row r="698" spans="1:10" x14ac:dyDescent="0.3">
      <c r="A698" s="1">
        <v>697</v>
      </c>
      <c r="B698" s="1">
        <v>18</v>
      </c>
      <c r="C698" s="1">
        <v>25</v>
      </c>
      <c r="D698" s="19">
        <f>IF('Boletins Nuppa Site'!G698&lt;&gt;0,'Boletins Nuppa Site'!G698,"NULL")</f>
        <v>110</v>
      </c>
      <c r="E698" s="19">
        <f>IF('Boletins Nuppa Site'!H698&lt;&gt;0,'Boletins Nuppa Site'!H698,"NULL")</f>
        <v>110</v>
      </c>
      <c r="F698" s="19">
        <f>IF('Boletins Nuppa Site'!I698&lt;&gt;0,'Boletins Nuppa Site'!I698,"NULL")</f>
        <v>140</v>
      </c>
      <c r="G698" s="19">
        <f>IF('Boletins Nuppa Site'!J698&lt;&gt;0,'Boletins Nuppa Site'!J698,"NULL")</f>
        <v>120</v>
      </c>
      <c r="H698" s="19">
        <f>IF('Boletins Nuppa Site'!K698&lt;&gt;0,'Boletins Nuppa Site'!K698,"NULL")</f>
        <v>110</v>
      </c>
      <c r="J698" s="1" t="str">
        <f t="shared" si="10"/>
        <v>INSERT INTO COTACAO (blt_id, pap_id, cot_prc_comum, cot_prc_min, cot_prc_max, cot_prc_med, cot_prc_mediana) VALUES (18, 25, 110, 110, 140, 120, 110);</v>
      </c>
    </row>
    <row r="699" spans="1:10" x14ac:dyDescent="0.3">
      <c r="A699" s="1">
        <v>698</v>
      </c>
      <c r="B699" s="1">
        <v>18</v>
      </c>
      <c r="C699" s="1">
        <v>26</v>
      </c>
      <c r="D699" s="1" t="str">
        <f>IF('Boletins Nuppa Site'!G699&lt;&gt;0,'Boletins Nuppa Site'!G699,"NULL")</f>
        <v>NULL</v>
      </c>
      <c r="E699" s="19">
        <f>IF('Boletins Nuppa Site'!H699&lt;&gt;0,'Boletins Nuppa Site'!H699,"NULL")</f>
        <v>100</v>
      </c>
      <c r="F699" s="19">
        <f>IF('Boletins Nuppa Site'!I699&lt;&gt;0,'Boletins Nuppa Site'!I699,"NULL")</f>
        <v>170</v>
      </c>
      <c r="G699" s="1" t="str">
        <f>IF('Boletins Nuppa Site'!J699&lt;&gt;0,'Boletins Nuppa Site'!J699,"NULL")</f>
        <v>132.5</v>
      </c>
      <c r="H699" s="19">
        <f>IF('Boletins Nuppa Site'!K699&lt;&gt;0,'Boletins Nuppa Site'!K699,"NULL")</f>
        <v>130</v>
      </c>
      <c r="J699" s="1" t="str">
        <f t="shared" si="10"/>
        <v>INSERT INTO COTACAO (blt_id, pap_id, cot_prc_comum, cot_prc_min, cot_prc_max, cot_prc_med, cot_prc_mediana) VALUES (18, 26, NULL, 100, 170, 132.5, 130);</v>
      </c>
    </row>
    <row r="700" spans="1:10" x14ac:dyDescent="0.3">
      <c r="A700" s="1">
        <v>699</v>
      </c>
      <c r="B700" s="1">
        <v>18</v>
      </c>
      <c r="C700" s="1">
        <v>27</v>
      </c>
      <c r="D700" s="19">
        <f>IF('Boletins Nuppa Site'!G700&lt;&gt;0,'Boletins Nuppa Site'!G700,"NULL")</f>
        <v>70</v>
      </c>
      <c r="E700" s="19">
        <f>IF('Boletins Nuppa Site'!H700&lt;&gt;0,'Boletins Nuppa Site'!H700,"NULL")</f>
        <v>60</v>
      </c>
      <c r="F700" s="19">
        <f>IF('Boletins Nuppa Site'!I700&lt;&gt;0,'Boletins Nuppa Site'!I700,"NULL")</f>
        <v>70</v>
      </c>
      <c r="G700" s="1" t="str">
        <f>IF('Boletins Nuppa Site'!J700&lt;&gt;0,'Boletins Nuppa Site'!J700,"NULL")</f>
        <v>66.67</v>
      </c>
      <c r="H700" s="19">
        <f>IF('Boletins Nuppa Site'!K700&lt;&gt;0,'Boletins Nuppa Site'!K700,"NULL")</f>
        <v>70</v>
      </c>
      <c r="J700" s="1" t="str">
        <f t="shared" si="10"/>
        <v>INSERT INTO COTACAO (blt_id, pap_id, cot_prc_comum, cot_prc_min, cot_prc_max, cot_prc_med, cot_prc_mediana) VALUES (18, 27, 70, 60, 70, 66.67, 70);</v>
      </c>
    </row>
    <row r="701" spans="1:10" x14ac:dyDescent="0.3">
      <c r="A701" s="1">
        <v>700</v>
      </c>
      <c r="B701" s="1">
        <v>18</v>
      </c>
      <c r="C701" s="1">
        <v>28</v>
      </c>
      <c r="D701" s="1" t="str">
        <f>IF('Boletins Nuppa Site'!G701&lt;&gt;0,'Boletins Nuppa Site'!G701,"NULL")</f>
        <v>NULL</v>
      </c>
      <c r="E701" s="19">
        <f>IF('Boletins Nuppa Site'!H701&lt;&gt;0,'Boletins Nuppa Site'!H701,"NULL")</f>
        <v>110</v>
      </c>
      <c r="F701" s="19">
        <f>IF('Boletins Nuppa Site'!I701&lt;&gt;0,'Boletins Nuppa Site'!I701,"NULL")</f>
        <v>120</v>
      </c>
      <c r="G701" s="19">
        <f>IF('Boletins Nuppa Site'!J701&lt;&gt;0,'Boletins Nuppa Site'!J701,"NULL")</f>
        <v>115</v>
      </c>
      <c r="H701" s="19">
        <f>IF('Boletins Nuppa Site'!K701&lt;&gt;0,'Boletins Nuppa Site'!K701,"NULL")</f>
        <v>115</v>
      </c>
      <c r="J701" s="1" t="str">
        <f t="shared" si="10"/>
        <v>INSERT INTO COTACAO (blt_id, pap_id, cot_prc_comum, cot_prc_min, cot_prc_max, cot_prc_med, cot_prc_mediana) VALUES (18, 28, NULL, 110, 120, 115, 115);</v>
      </c>
    </row>
    <row r="702" spans="1:10" x14ac:dyDescent="0.3">
      <c r="A702" s="1">
        <v>701</v>
      </c>
      <c r="B702" s="1">
        <v>18</v>
      </c>
      <c r="C702" s="1">
        <v>29</v>
      </c>
      <c r="D702" s="1" t="str">
        <f>IF('Boletins Nuppa Site'!G702&lt;&gt;0,'Boletins Nuppa Site'!G702,"NULL")</f>
        <v>NULL</v>
      </c>
      <c r="E702" s="19">
        <f>IF('Boletins Nuppa Site'!H702&lt;&gt;0,'Boletins Nuppa Site'!H702,"NULL")</f>
        <v>75</v>
      </c>
      <c r="F702" s="19">
        <f>IF('Boletins Nuppa Site'!I702&lt;&gt;0,'Boletins Nuppa Site'!I702,"NULL")</f>
        <v>75</v>
      </c>
      <c r="G702" s="19">
        <f>IF('Boletins Nuppa Site'!J702&lt;&gt;0,'Boletins Nuppa Site'!J702,"NULL")</f>
        <v>75</v>
      </c>
      <c r="H702" s="19">
        <f>IF('Boletins Nuppa Site'!K702&lt;&gt;0,'Boletins Nuppa Site'!K702,"NULL")</f>
        <v>75</v>
      </c>
      <c r="J702" s="1" t="str">
        <f t="shared" si="10"/>
        <v>INSERT INTO COTACAO (blt_id, pap_id, cot_prc_comum, cot_prc_min, cot_prc_max, cot_prc_med, cot_prc_mediana) VALUES (18, 29, NULL, 75, 75, 75, 75);</v>
      </c>
    </row>
    <row r="703" spans="1:10" x14ac:dyDescent="0.3">
      <c r="A703" s="1">
        <v>702</v>
      </c>
      <c r="B703" s="1">
        <v>18</v>
      </c>
      <c r="C703" s="1">
        <v>30</v>
      </c>
      <c r="D703" s="1" t="str">
        <f>IF('Boletins Nuppa Site'!G703&lt;&gt;0,'Boletins Nuppa Site'!G703,"NULL")</f>
        <v>NULL</v>
      </c>
      <c r="E703" s="19">
        <f>IF('Boletins Nuppa Site'!H703&lt;&gt;0,'Boletins Nuppa Site'!H703,"NULL")</f>
        <v>80</v>
      </c>
      <c r="F703" s="19">
        <f>IF('Boletins Nuppa Site'!I703&lt;&gt;0,'Boletins Nuppa Site'!I703,"NULL")</f>
        <v>80</v>
      </c>
      <c r="G703" s="19">
        <f>IF('Boletins Nuppa Site'!J703&lt;&gt;0,'Boletins Nuppa Site'!J703,"NULL")</f>
        <v>80</v>
      </c>
      <c r="H703" s="19">
        <f>IF('Boletins Nuppa Site'!K703&lt;&gt;0,'Boletins Nuppa Site'!K703,"NULL")</f>
        <v>80</v>
      </c>
      <c r="J703" s="1" t="str">
        <f t="shared" si="10"/>
        <v>INSERT INTO COTACAO (blt_id, pap_id, cot_prc_comum, cot_prc_min, cot_prc_max, cot_prc_med, cot_prc_mediana) VALUES (18, 30, NULL, 80, 80, 80, 80);</v>
      </c>
    </row>
    <row r="704" spans="1:10" x14ac:dyDescent="0.3">
      <c r="A704" s="1">
        <v>703</v>
      </c>
      <c r="B704" s="1">
        <v>18</v>
      </c>
      <c r="C704" s="1">
        <v>31</v>
      </c>
      <c r="D704" s="1" t="str">
        <f>IF('Boletins Nuppa Site'!G704&lt;&gt;0,'Boletins Nuppa Site'!G704,"NULL")</f>
        <v>NULL</v>
      </c>
      <c r="E704" s="19">
        <f>IF('Boletins Nuppa Site'!H704&lt;&gt;0,'Boletins Nuppa Site'!H704,"NULL")</f>
        <v>60</v>
      </c>
      <c r="F704" s="19">
        <f>IF('Boletins Nuppa Site'!I704&lt;&gt;0,'Boletins Nuppa Site'!I704,"NULL")</f>
        <v>100</v>
      </c>
      <c r="G704" s="1" t="str">
        <f>IF('Boletins Nuppa Site'!J704&lt;&gt;0,'Boletins Nuppa Site'!J704,"NULL")</f>
        <v>78.75</v>
      </c>
      <c r="H704" s="1" t="str">
        <f>IF('Boletins Nuppa Site'!K704&lt;&gt;0,'Boletins Nuppa Site'!K704,"NULL")</f>
        <v>77.5</v>
      </c>
      <c r="J704" s="1" t="str">
        <f t="shared" si="10"/>
        <v>INSERT INTO COTACAO (blt_id, pap_id, cot_prc_comum, cot_prc_min, cot_prc_max, cot_prc_med, cot_prc_mediana) VALUES (18, 31, NULL, 60, 100, 78.75, 77.5);</v>
      </c>
    </row>
    <row r="705" spans="1:10" x14ac:dyDescent="0.3">
      <c r="A705" s="1">
        <v>704</v>
      </c>
      <c r="B705" s="1">
        <v>18</v>
      </c>
      <c r="C705" s="1">
        <v>32</v>
      </c>
      <c r="D705" s="19">
        <f>IF('Boletins Nuppa Site'!G705&lt;&gt;0,'Boletins Nuppa Site'!G705,"NULL")</f>
        <v>60</v>
      </c>
      <c r="E705" s="19">
        <f>IF('Boletins Nuppa Site'!H705&lt;&gt;0,'Boletins Nuppa Site'!H705,"NULL")</f>
        <v>50</v>
      </c>
      <c r="F705" s="19">
        <f>IF('Boletins Nuppa Site'!I705&lt;&gt;0,'Boletins Nuppa Site'!I705,"NULL")</f>
        <v>60</v>
      </c>
      <c r="G705" s="1" t="str">
        <f>IF('Boletins Nuppa Site'!J705&lt;&gt;0,'Boletins Nuppa Site'!J705,"NULL")</f>
        <v>56.25</v>
      </c>
      <c r="H705" s="1" t="str">
        <f>IF('Boletins Nuppa Site'!K705&lt;&gt;0,'Boletins Nuppa Site'!K705,"NULL")</f>
        <v>57.5</v>
      </c>
      <c r="J705" s="1" t="str">
        <f t="shared" si="10"/>
        <v>INSERT INTO COTACAO (blt_id, pap_id, cot_prc_comum, cot_prc_min, cot_prc_max, cot_prc_med, cot_prc_mediana) VALUES (18, 32, 60, 50, 60, 56.25, 57.5);</v>
      </c>
    </row>
    <row r="706" spans="1:10" x14ac:dyDescent="0.3">
      <c r="A706" s="1">
        <v>705</v>
      </c>
      <c r="B706" s="1">
        <v>18</v>
      </c>
      <c r="C706" s="1">
        <v>33</v>
      </c>
      <c r="D706" s="1" t="str">
        <f>IF('Boletins Nuppa Site'!G706&lt;&gt;0,'Boletins Nuppa Site'!G706,"NULL")</f>
        <v>NULL</v>
      </c>
      <c r="E706" s="19">
        <f>IF('Boletins Nuppa Site'!H706&lt;&gt;0,'Boletins Nuppa Site'!H706,"NULL")</f>
        <v>140</v>
      </c>
      <c r="F706" s="19">
        <f>IF('Boletins Nuppa Site'!I706&lt;&gt;0,'Boletins Nuppa Site'!I706,"NULL")</f>
        <v>150</v>
      </c>
      <c r="G706" s="19">
        <f>IF('Boletins Nuppa Site'!J706&lt;&gt;0,'Boletins Nuppa Site'!J706,"NULL")</f>
        <v>145</v>
      </c>
      <c r="H706" s="19">
        <f>IF('Boletins Nuppa Site'!K706&lt;&gt;0,'Boletins Nuppa Site'!K706,"NULL")</f>
        <v>145</v>
      </c>
      <c r="J706" s="1" t="str">
        <f t="shared" ref="J706:J769" si="11">"INSERT INTO COTACAO (blt_id, pap_id, cot_prc_comum, cot_prc_min, cot_prc_max, cot_prc_med, cot_prc_mediana) VALUES ("&amp;B706&amp;", "&amp;C706&amp;", "&amp;D706&amp;", "&amp;E706&amp;", "&amp;F706&amp;", "&amp;G706&amp;", "&amp;H706&amp;");"</f>
        <v>INSERT INTO COTACAO (blt_id, pap_id, cot_prc_comum, cot_prc_min, cot_prc_max, cot_prc_med, cot_prc_mediana) VALUES (18, 33, NULL, 140, 150, 145, 145);</v>
      </c>
    </row>
    <row r="707" spans="1:10" x14ac:dyDescent="0.3">
      <c r="A707" s="1">
        <v>706</v>
      </c>
      <c r="B707" s="1">
        <v>18</v>
      </c>
      <c r="C707" s="1">
        <v>34</v>
      </c>
      <c r="D707" s="1" t="str">
        <f>IF('Boletins Nuppa Site'!G707&lt;&gt;0,'Boletins Nuppa Site'!G707,"NULL")</f>
        <v>NULL</v>
      </c>
      <c r="E707" s="19">
        <f>IF('Boletins Nuppa Site'!H707&lt;&gt;0,'Boletins Nuppa Site'!H707,"NULL")</f>
        <v>100</v>
      </c>
      <c r="F707" s="19">
        <f>IF('Boletins Nuppa Site'!I707&lt;&gt;0,'Boletins Nuppa Site'!I707,"NULL")</f>
        <v>150</v>
      </c>
      <c r="G707" s="1" t="str">
        <f>IF('Boletins Nuppa Site'!J707&lt;&gt;0,'Boletins Nuppa Site'!J707,"NULL")</f>
        <v>123.33</v>
      </c>
      <c r="H707" s="19">
        <f>IF('Boletins Nuppa Site'!K707&lt;&gt;0,'Boletins Nuppa Site'!K707,"NULL")</f>
        <v>120</v>
      </c>
      <c r="J707" s="1" t="str">
        <f t="shared" si="11"/>
        <v>INSERT INTO COTACAO (blt_id, pap_id, cot_prc_comum, cot_prc_min, cot_prc_max, cot_prc_med, cot_prc_mediana) VALUES (18, 34, NULL, 100, 150, 123.33, 120);</v>
      </c>
    </row>
    <row r="708" spans="1:10" x14ac:dyDescent="0.3">
      <c r="A708" s="1">
        <v>707</v>
      </c>
      <c r="B708" s="1">
        <v>18</v>
      </c>
      <c r="C708" s="1">
        <v>35</v>
      </c>
      <c r="D708" s="19">
        <f>IF('Boletins Nuppa Site'!G708&lt;&gt;0,'Boletins Nuppa Site'!G708,"NULL")</f>
        <v>200</v>
      </c>
      <c r="E708" s="19">
        <f>IF('Boletins Nuppa Site'!H708&lt;&gt;0,'Boletins Nuppa Site'!H708,"NULL")</f>
        <v>200</v>
      </c>
      <c r="F708" s="19">
        <f>IF('Boletins Nuppa Site'!I708&lt;&gt;0,'Boletins Nuppa Site'!I708,"NULL")</f>
        <v>200</v>
      </c>
      <c r="G708" s="19">
        <f>IF('Boletins Nuppa Site'!J708&lt;&gt;0,'Boletins Nuppa Site'!J708,"NULL")</f>
        <v>200</v>
      </c>
      <c r="H708" s="19">
        <f>IF('Boletins Nuppa Site'!K708&lt;&gt;0,'Boletins Nuppa Site'!K708,"NULL")</f>
        <v>200</v>
      </c>
      <c r="J708" s="1" t="str">
        <f t="shared" si="11"/>
        <v>INSERT INTO COTACAO (blt_id, pap_id, cot_prc_comum, cot_prc_min, cot_prc_max, cot_prc_med, cot_prc_mediana) VALUES (18, 35, 200, 200, 200, 200, 200);</v>
      </c>
    </row>
    <row r="709" spans="1:10" x14ac:dyDescent="0.3">
      <c r="A709" s="1">
        <v>708</v>
      </c>
      <c r="B709" s="1">
        <v>18</v>
      </c>
      <c r="C709" s="1">
        <v>36</v>
      </c>
      <c r="D709" s="1" t="str">
        <f>IF('Boletins Nuppa Site'!G709&lt;&gt;0,'Boletins Nuppa Site'!G709,"NULL")</f>
        <v>NULL</v>
      </c>
      <c r="E709" s="19">
        <f>IF('Boletins Nuppa Site'!H709&lt;&gt;0,'Boletins Nuppa Site'!H709,"NULL")</f>
        <v>100</v>
      </c>
      <c r="F709" s="19">
        <f>IF('Boletins Nuppa Site'!I709&lt;&gt;0,'Boletins Nuppa Site'!I709,"NULL")</f>
        <v>100</v>
      </c>
      <c r="G709" s="19">
        <f>IF('Boletins Nuppa Site'!J709&lt;&gt;0,'Boletins Nuppa Site'!J709,"NULL")</f>
        <v>100</v>
      </c>
      <c r="H709" s="19">
        <f>IF('Boletins Nuppa Site'!K709&lt;&gt;0,'Boletins Nuppa Site'!K709,"NULL")</f>
        <v>100</v>
      </c>
      <c r="J709" s="1" t="str">
        <f t="shared" si="11"/>
        <v>INSERT INTO COTACAO (blt_id, pap_id, cot_prc_comum, cot_prc_min, cot_prc_max, cot_prc_med, cot_prc_mediana) VALUES (18, 36, NULL, 100, 100, 100, 100);</v>
      </c>
    </row>
    <row r="710" spans="1:10" x14ac:dyDescent="0.3">
      <c r="A710" s="1">
        <v>709</v>
      </c>
      <c r="B710" s="1">
        <v>18</v>
      </c>
      <c r="C710" s="1">
        <v>37</v>
      </c>
      <c r="D710" s="1" t="str">
        <f>IF('Boletins Nuppa Site'!G710&lt;&gt;0,'Boletins Nuppa Site'!G710,"NULL")</f>
        <v>NULL</v>
      </c>
      <c r="E710" s="19">
        <f>IF('Boletins Nuppa Site'!H710&lt;&gt;0,'Boletins Nuppa Site'!H710,"NULL")</f>
        <v>75</v>
      </c>
      <c r="F710" s="19">
        <f>IF('Boletins Nuppa Site'!I710&lt;&gt;0,'Boletins Nuppa Site'!I710,"NULL")</f>
        <v>75</v>
      </c>
      <c r="G710" s="19">
        <f>IF('Boletins Nuppa Site'!J710&lt;&gt;0,'Boletins Nuppa Site'!J710,"NULL")</f>
        <v>75</v>
      </c>
      <c r="H710" s="19">
        <f>IF('Boletins Nuppa Site'!K710&lt;&gt;0,'Boletins Nuppa Site'!K710,"NULL")</f>
        <v>75</v>
      </c>
      <c r="J710" s="1" t="str">
        <f t="shared" si="11"/>
        <v>INSERT INTO COTACAO (blt_id, pap_id, cot_prc_comum, cot_prc_min, cot_prc_max, cot_prc_med, cot_prc_mediana) VALUES (18, 37, NULL, 75, 75, 75, 75);</v>
      </c>
    </row>
    <row r="711" spans="1:10" x14ac:dyDescent="0.3">
      <c r="A711" s="1">
        <v>710</v>
      </c>
      <c r="B711" s="1">
        <v>18</v>
      </c>
      <c r="C711" s="1">
        <v>38</v>
      </c>
      <c r="D711" s="1" t="str">
        <f>IF('Boletins Nuppa Site'!G711&lt;&gt;0,'Boletins Nuppa Site'!G711,"NULL")</f>
        <v>NULL</v>
      </c>
      <c r="E711" s="1" t="str">
        <f>IF('Boletins Nuppa Site'!H711&lt;&gt;0,'Boletins Nuppa Site'!H711,"NULL")</f>
        <v>NULL</v>
      </c>
      <c r="F711" s="1" t="str">
        <f>IF('Boletins Nuppa Site'!I711&lt;&gt;0,'Boletins Nuppa Site'!I711,"NULL")</f>
        <v>NULL</v>
      </c>
      <c r="G711" s="1" t="str">
        <f>IF('Boletins Nuppa Site'!J711&lt;&gt;0,'Boletins Nuppa Site'!J711,"NULL")</f>
        <v>NULL</v>
      </c>
      <c r="H711" s="1" t="str">
        <f>IF('Boletins Nuppa Site'!K711&lt;&gt;0,'Boletins Nuppa Site'!K711,"NULL")</f>
        <v>NULL</v>
      </c>
      <c r="J711" s="1" t="str">
        <f t="shared" si="11"/>
        <v>INSERT INTO COTACAO (blt_id, pap_id, cot_prc_comum, cot_prc_min, cot_prc_max, cot_prc_med, cot_prc_mediana) VALUES (18, 38, NULL, NULL, NULL, NULL, NULL);</v>
      </c>
    </row>
    <row r="712" spans="1:10" x14ac:dyDescent="0.3">
      <c r="A712" s="1">
        <v>711</v>
      </c>
      <c r="B712" s="1">
        <v>18</v>
      </c>
      <c r="C712" s="1">
        <v>39</v>
      </c>
      <c r="D712" s="1" t="str">
        <f>IF('Boletins Nuppa Site'!G712&lt;&gt;0,'Boletins Nuppa Site'!G712,"NULL")</f>
        <v>NULL</v>
      </c>
      <c r="E712" s="19">
        <f>IF('Boletins Nuppa Site'!H712&lt;&gt;0,'Boletins Nuppa Site'!H712,"NULL")</f>
        <v>40</v>
      </c>
      <c r="F712" s="19">
        <f>IF('Boletins Nuppa Site'!I712&lt;&gt;0,'Boletins Nuppa Site'!I712,"NULL")</f>
        <v>40</v>
      </c>
      <c r="G712" s="19">
        <f>IF('Boletins Nuppa Site'!J712&lt;&gt;0,'Boletins Nuppa Site'!J712,"NULL")</f>
        <v>40</v>
      </c>
      <c r="H712" s="19">
        <f>IF('Boletins Nuppa Site'!K712&lt;&gt;0,'Boletins Nuppa Site'!K712,"NULL")</f>
        <v>40</v>
      </c>
      <c r="J712" s="1" t="str">
        <f t="shared" si="11"/>
        <v>INSERT INTO COTACAO (blt_id, pap_id, cot_prc_comum, cot_prc_min, cot_prc_max, cot_prc_med, cot_prc_mediana) VALUES (18, 39, NULL, 40, 40, 40, 40);</v>
      </c>
    </row>
    <row r="713" spans="1:10" x14ac:dyDescent="0.3">
      <c r="A713" s="1">
        <v>712</v>
      </c>
      <c r="B713" s="1">
        <v>18</v>
      </c>
      <c r="C713" s="1">
        <v>40</v>
      </c>
      <c r="D713" s="1" t="str">
        <f>IF('Boletins Nuppa Site'!G713&lt;&gt;0,'Boletins Nuppa Site'!G713,"NULL")</f>
        <v>NULL</v>
      </c>
      <c r="E713" s="19">
        <f>IF('Boletins Nuppa Site'!H713&lt;&gt;0,'Boletins Nuppa Site'!H713,"NULL")</f>
        <v>55</v>
      </c>
      <c r="F713" s="19">
        <f>IF('Boletins Nuppa Site'!I713&lt;&gt;0,'Boletins Nuppa Site'!I713,"NULL")</f>
        <v>55</v>
      </c>
      <c r="G713" s="19">
        <f>IF('Boletins Nuppa Site'!J713&lt;&gt;0,'Boletins Nuppa Site'!J713,"NULL")</f>
        <v>55</v>
      </c>
      <c r="H713" s="19">
        <f>IF('Boletins Nuppa Site'!K713&lt;&gt;0,'Boletins Nuppa Site'!K713,"NULL")</f>
        <v>55</v>
      </c>
      <c r="J713" s="1" t="str">
        <f t="shared" si="11"/>
        <v>INSERT INTO COTACAO (blt_id, pap_id, cot_prc_comum, cot_prc_min, cot_prc_max, cot_prc_med, cot_prc_mediana) VALUES (18, 40, NULL, 55, 55, 55, 55);</v>
      </c>
    </row>
    <row r="714" spans="1:10" x14ac:dyDescent="0.3">
      <c r="A714" s="1">
        <v>713</v>
      </c>
      <c r="B714" s="1">
        <v>19</v>
      </c>
      <c r="C714" s="1">
        <v>1</v>
      </c>
      <c r="D714" s="19">
        <f>IF('Boletins Nuppa Site'!G714&lt;&gt;0,'Boletins Nuppa Site'!G714,"NULL")</f>
        <v>72</v>
      </c>
      <c r="E714" s="19">
        <f>IF('Boletins Nuppa Site'!H714&lt;&gt;0,'Boletins Nuppa Site'!H714,"NULL")</f>
        <v>48</v>
      </c>
      <c r="F714" s="19">
        <f>IF('Boletins Nuppa Site'!I714&lt;&gt;0,'Boletins Nuppa Site'!I714,"NULL")</f>
        <v>72</v>
      </c>
      <c r="G714" s="19">
        <f>IF('Boletins Nuppa Site'!J714&lt;&gt;0,'Boletins Nuppa Site'!J714,"NULL")</f>
        <v>64</v>
      </c>
      <c r="H714" s="19">
        <f>IF('Boletins Nuppa Site'!K714&lt;&gt;0,'Boletins Nuppa Site'!K714,"NULL")</f>
        <v>72</v>
      </c>
      <c r="J714" s="1" t="str">
        <f t="shared" si="11"/>
        <v>INSERT INTO COTACAO (blt_id, pap_id, cot_prc_comum, cot_prc_min, cot_prc_max, cot_prc_med, cot_prc_mediana) VALUES (19, 1, 72, 48, 72, 64, 72);</v>
      </c>
    </row>
    <row r="715" spans="1:10" x14ac:dyDescent="0.3">
      <c r="A715" s="1">
        <v>714</v>
      </c>
      <c r="B715" s="1">
        <v>19</v>
      </c>
      <c r="C715" s="1">
        <v>2</v>
      </c>
      <c r="D715" s="19">
        <f>IF('Boletins Nuppa Site'!G715&lt;&gt;0,'Boletins Nuppa Site'!G715,"NULL")</f>
        <v>84</v>
      </c>
      <c r="E715" s="19">
        <f>IF('Boletins Nuppa Site'!H715&lt;&gt;0,'Boletins Nuppa Site'!H715,"NULL")</f>
        <v>72</v>
      </c>
      <c r="F715" s="19">
        <f>IF('Boletins Nuppa Site'!I715&lt;&gt;0,'Boletins Nuppa Site'!I715,"NULL")</f>
        <v>84</v>
      </c>
      <c r="G715" s="19">
        <f>IF('Boletins Nuppa Site'!J715&lt;&gt;0,'Boletins Nuppa Site'!J715,"NULL")</f>
        <v>80</v>
      </c>
      <c r="H715" s="19">
        <f>IF('Boletins Nuppa Site'!K715&lt;&gt;0,'Boletins Nuppa Site'!K715,"NULL")</f>
        <v>84</v>
      </c>
      <c r="J715" s="1" t="str">
        <f t="shared" si="11"/>
        <v>INSERT INTO COTACAO (blt_id, pap_id, cot_prc_comum, cot_prc_min, cot_prc_max, cot_prc_med, cot_prc_mediana) VALUES (19, 2, 84, 72, 84, 80, 84);</v>
      </c>
    </row>
    <row r="716" spans="1:10" x14ac:dyDescent="0.3">
      <c r="A716" s="1">
        <v>715</v>
      </c>
      <c r="B716" s="1">
        <v>19</v>
      </c>
      <c r="C716" s="1">
        <v>3</v>
      </c>
      <c r="D716" s="1" t="str">
        <f>IF('Boletins Nuppa Site'!G716&lt;&gt;0,'Boletins Nuppa Site'!G716,"NULL")</f>
        <v>NULL</v>
      </c>
      <c r="E716" s="19">
        <f>IF('Boletins Nuppa Site'!H716&lt;&gt;0,'Boletins Nuppa Site'!H716,"NULL")</f>
        <v>36</v>
      </c>
      <c r="F716" s="19">
        <f>IF('Boletins Nuppa Site'!I716&lt;&gt;0,'Boletins Nuppa Site'!I716,"NULL")</f>
        <v>54</v>
      </c>
      <c r="G716" s="19">
        <f>IF('Boletins Nuppa Site'!J716&lt;&gt;0,'Boletins Nuppa Site'!J716,"NULL")</f>
        <v>44</v>
      </c>
      <c r="H716" s="19">
        <f>IF('Boletins Nuppa Site'!K716&lt;&gt;0,'Boletins Nuppa Site'!K716,"NULL")</f>
        <v>42</v>
      </c>
      <c r="J716" s="1" t="str">
        <f t="shared" si="11"/>
        <v>INSERT INTO COTACAO (blt_id, pap_id, cot_prc_comum, cot_prc_min, cot_prc_max, cot_prc_med, cot_prc_mediana) VALUES (19, 3, NULL, 36, 54, 44, 42);</v>
      </c>
    </row>
    <row r="717" spans="1:10" x14ac:dyDescent="0.3">
      <c r="A717" s="1">
        <v>716</v>
      </c>
      <c r="B717" s="1">
        <v>19</v>
      </c>
      <c r="C717" s="1">
        <v>4</v>
      </c>
      <c r="D717" s="19">
        <f>IF('Boletins Nuppa Site'!G717&lt;&gt;0,'Boletins Nuppa Site'!G717,"NULL")</f>
        <v>30</v>
      </c>
      <c r="E717" s="19">
        <f>IF('Boletins Nuppa Site'!H717&lt;&gt;0,'Boletins Nuppa Site'!H717,"NULL")</f>
        <v>24</v>
      </c>
      <c r="F717" s="19">
        <f>IF('Boletins Nuppa Site'!I717&lt;&gt;0,'Boletins Nuppa Site'!I717,"NULL")</f>
        <v>30</v>
      </c>
      <c r="G717" s="19">
        <f>IF('Boletins Nuppa Site'!J717&lt;&gt;0,'Boletins Nuppa Site'!J717,"NULL")</f>
        <v>28</v>
      </c>
      <c r="H717" s="19">
        <f>IF('Boletins Nuppa Site'!K717&lt;&gt;0,'Boletins Nuppa Site'!K717,"NULL")</f>
        <v>30</v>
      </c>
      <c r="J717" s="1" t="str">
        <f t="shared" si="11"/>
        <v>INSERT INTO COTACAO (blt_id, pap_id, cot_prc_comum, cot_prc_min, cot_prc_max, cot_prc_med, cot_prc_mediana) VALUES (19, 4, 30, 24, 30, 28, 30);</v>
      </c>
    </row>
    <row r="718" spans="1:10" x14ac:dyDescent="0.3">
      <c r="A718" s="1">
        <v>717</v>
      </c>
      <c r="B718" s="1">
        <v>19</v>
      </c>
      <c r="C718" s="1">
        <v>5</v>
      </c>
      <c r="D718" s="19">
        <f>IF('Boletins Nuppa Site'!G718&lt;&gt;0,'Boletins Nuppa Site'!G718,"NULL")</f>
        <v>30</v>
      </c>
      <c r="E718" s="19">
        <f>IF('Boletins Nuppa Site'!H718&lt;&gt;0,'Boletins Nuppa Site'!H718,"NULL")</f>
        <v>24</v>
      </c>
      <c r="F718" s="19">
        <f>IF('Boletins Nuppa Site'!I718&lt;&gt;0,'Boletins Nuppa Site'!I718,"NULL")</f>
        <v>30</v>
      </c>
      <c r="G718" s="19">
        <f>IF('Boletins Nuppa Site'!J718&lt;&gt;0,'Boletins Nuppa Site'!J718,"NULL")</f>
        <v>28</v>
      </c>
      <c r="H718" s="19">
        <f>IF('Boletins Nuppa Site'!K718&lt;&gt;0,'Boletins Nuppa Site'!K718,"NULL")</f>
        <v>30</v>
      </c>
      <c r="J718" s="1" t="str">
        <f t="shared" si="11"/>
        <v>INSERT INTO COTACAO (blt_id, pap_id, cot_prc_comum, cot_prc_min, cot_prc_max, cot_prc_med, cot_prc_mediana) VALUES (19, 5, 30, 24, 30, 28, 30);</v>
      </c>
    </row>
    <row r="719" spans="1:10" x14ac:dyDescent="0.3">
      <c r="A719" s="1">
        <v>718</v>
      </c>
      <c r="B719" s="1">
        <v>19</v>
      </c>
      <c r="C719" s="1">
        <v>6</v>
      </c>
      <c r="D719" s="19">
        <f>IF('Boletins Nuppa Site'!G719&lt;&gt;0,'Boletins Nuppa Site'!G719,"NULL")</f>
        <v>60</v>
      </c>
      <c r="E719" s="19">
        <f>IF('Boletins Nuppa Site'!H719&lt;&gt;0,'Boletins Nuppa Site'!H719,"NULL")</f>
        <v>60</v>
      </c>
      <c r="F719" s="19">
        <f>IF('Boletins Nuppa Site'!I719&lt;&gt;0,'Boletins Nuppa Site'!I719,"NULL")</f>
        <v>60</v>
      </c>
      <c r="G719" s="19">
        <f>IF('Boletins Nuppa Site'!J719&lt;&gt;0,'Boletins Nuppa Site'!J719,"NULL")</f>
        <v>60</v>
      </c>
      <c r="H719" s="19">
        <f>IF('Boletins Nuppa Site'!K719&lt;&gt;0,'Boletins Nuppa Site'!K719,"NULL")</f>
        <v>60</v>
      </c>
      <c r="J719" s="1" t="str">
        <f t="shared" si="11"/>
        <v>INSERT INTO COTACAO (blt_id, pap_id, cot_prc_comum, cot_prc_min, cot_prc_max, cot_prc_med, cot_prc_mediana) VALUES (19, 6, 60, 60, 60, 60, 60);</v>
      </c>
    </row>
    <row r="720" spans="1:10" x14ac:dyDescent="0.3">
      <c r="A720" s="1">
        <v>719</v>
      </c>
      <c r="B720" s="1">
        <v>19</v>
      </c>
      <c r="C720" s="1">
        <v>7</v>
      </c>
      <c r="D720" s="19">
        <f>IF('Boletins Nuppa Site'!G720&lt;&gt;0,'Boletins Nuppa Site'!G720,"NULL")</f>
        <v>96</v>
      </c>
      <c r="E720" s="19">
        <f>IF('Boletins Nuppa Site'!H720&lt;&gt;0,'Boletins Nuppa Site'!H720,"NULL")</f>
        <v>96</v>
      </c>
      <c r="F720" s="19">
        <f>IF('Boletins Nuppa Site'!I720&lt;&gt;0,'Boletins Nuppa Site'!I720,"NULL")</f>
        <v>120</v>
      </c>
      <c r="G720" s="19">
        <f>IF('Boletins Nuppa Site'!J720&lt;&gt;0,'Boletins Nuppa Site'!J720,"NULL")</f>
        <v>104</v>
      </c>
      <c r="H720" s="19">
        <f>IF('Boletins Nuppa Site'!K720&lt;&gt;0,'Boletins Nuppa Site'!K720,"NULL")</f>
        <v>96</v>
      </c>
      <c r="J720" s="1" t="str">
        <f t="shared" si="11"/>
        <v>INSERT INTO COTACAO (blt_id, pap_id, cot_prc_comum, cot_prc_min, cot_prc_max, cot_prc_med, cot_prc_mediana) VALUES (19, 7, 96, 96, 120, 104, 96);</v>
      </c>
    </row>
    <row r="721" spans="1:10" x14ac:dyDescent="0.3">
      <c r="A721" s="1">
        <v>720</v>
      </c>
      <c r="B721" s="1">
        <v>19</v>
      </c>
      <c r="C721" s="1">
        <v>8</v>
      </c>
      <c r="D721" s="1" t="str">
        <f>IF('Boletins Nuppa Site'!G721&lt;&gt;0,'Boletins Nuppa Site'!G721,"NULL")</f>
        <v>NULL</v>
      </c>
      <c r="E721" s="19">
        <f>IF('Boletins Nuppa Site'!H721&lt;&gt;0,'Boletins Nuppa Site'!H721,"NULL")</f>
        <v>84</v>
      </c>
      <c r="F721" s="19">
        <f>IF('Boletins Nuppa Site'!I721&lt;&gt;0,'Boletins Nuppa Site'!I721,"NULL")</f>
        <v>120</v>
      </c>
      <c r="G721" s="19">
        <f>IF('Boletins Nuppa Site'!J721&lt;&gt;0,'Boletins Nuppa Site'!J721,"NULL")</f>
        <v>100</v>
      </c>
      <c r="H721" s="19">
        <f>IF('Boletins Nuppa Site'!K721&lt;&gt;0,'Boletins Nuppa Site'!K721,"NULL")</f>
        <v>96</v>
      </c>
      <c r="J721" s="1" t="str">
        <f t="shared" si="11"/>
        <v>INSERT INTO COTACAO (blt_id, pap_id, cot_prc_comum, cot_prc_min, cot_prc_max, cot_prc_med, cot_prc_mediana) VALUES (19, 8, NULL, 84, 120, 100, 96);</v>
      </c>
    </row>
    <row r="722" spans="1:10" x14ac:dyDescent="0.3">
      <c r="A722" s="1">
        <v>721</v>
      </c>
      <c r="B722" s="1">
        <v>19</v>
      </c>
      <c r="C722" s="1">
        <v>9</v>
      </c>
      <c r="D722" s="19">
        <f>IF('Boletins Nuppa Site'!G722&lt;&gt;0,'Boletins Nuppa Site'!G722,"NULL")</f>
        <v>24</v>
      </c>
      <c r="E722" s="19">
        <f>IF('Boletins Nuppa Site'!H722&lt;&gt;0,'Boletins Nuppa Site'!H722,"NULL")</f>
        <v>24</v>
      </c>
      <c r="F722" s="19">
        <f>IF('Boletins Nuppa Site'!I722&lt;&gt;0,'Boletins Nuppa Site'!I722,"NULL")</f>
        <v>30</v>
      </c>
      <c r="G722" s="19">
        <f>IF('Boletins Nuppa Site'!J722&lt;&gt;0,'Boletins Nuppa Site'!J722,"NULL")</f>
        <v>26</v>
      </c>
      <c r="H722" s="19">
        <f>IF('Boletins Nuppa Site'!K722&lt;&gt;0,'Boletins Nuppa Site'!K722,"NULL")</f>
        <v>24</v>
      </c>
      <c r="J722" s="1" t="str">
        <f t="shared" si="11"/>
        <v>INSERT INTO COTACAO (blt_id, pap_id, cot_prc_comum, cot_prc_min, cot_prc_max, cot_prc_med, cot_prc_mediana) VALUES (19, 9, 24, 24, 30, 26, 24);</v>
      </c>
    </row>
    <row r="723" spans="1:10" x14ac:dyDescent="0.3">
      <c r="A723" s="1">
        <v>722</v>
      </c>
      <c r="B723" s="1">
        <v>19</v>
      </c>
      <c r="C723" s="1">
        <v>10</v>
      </c>
      <c r="D723" s="1" t="str">
        <f>IF('Boletins Nuppa Site'!G723&lt;&gt;0,'Boletins Nuppa Site'!G723,"NULL")</f>
        <v>NULL</v>
      </c>
      <c r="E723" s="19">
        <f>IF('Boletins Nuppa Site'!H723&lt;&gt;0,'Boletins Nuppa Site'!H723,"NULL")</f>
        <v>96</v>
      </c>
      <c r="F723" s="19">
        <f>IF('Boletins Nuppa Site'!I723&lt;&gt;0,'Boletins Nuppa Site'!I723,"NULL")</f>
        <v>120</v>
      </c>
      <c r="G723" s="19">
        <f>IF('Boletins Nuppa Site'!J723&lt;&gt;0,'Boletins Nuppa Site'!J723,"NULL")</f>
        <v>106</v>
      </c>
      <c r="H723" s="19">
        <f>IF('Boletins Nuppa Site'!K723&lt;&gt;0,'Boletins Nuppa Site'!K723,"NULL")</f>
        <v>102</v>
      </c>
      <c r="J723" s="1" t="str">
        <f t="shared" si="11"/>
        <v>INSERT INTO COTACAO (blt_id, pap_id, cot_prc_comum, cot_prc_min, cot_prc_max, cot_prc_med, cot_prc_mediana) VALUES (19, 10, NULL, 96, 120, 106, 102);</v>
      </c>
    </row>
    <row r="724" spans="1:10" x14ac:dyDescent="0.3">
      <c r="A724" s="1">
        <v>723</v>
      </c>
      <c r="B724" s="1">
        <v>19</v>
      </c>
      <c r="C724" s="1">
        <v>11</v>
      </c>
      <c r="D724" s="19">
        <f>IF('Boletins Nuppa Site'!G724&lt;&gt;0,'Boletins Nuppa Site'!G724,"NULL")</f>
        <v>30</v>
      </c>
      <c r="E724" s="19">
        <f>IF('Boletins Nuppa Site'!H724&lt;&gt;0,'Boletins Nuppa Site'!H724,"NULL")</f>
        <v>24</v>
      </c>
      <c r="F724" s="19">
        <f>IF('Boletins Nuppa Site'!I724&lt;&gt;0,'Boletins Nuppa Site'!I724,"NULL")</f>
        <v>30</v>
      </c>
      <c r="G724" s="19">
        <f>IF('Boletins Nuppa Site'!J724&lt;&gt;0,'Boletins Nuppa Site'!J724,"NULL")</f>
        <v>28</v>
      </c>
      <c r="H724" s="19">
        <f>IF('Boletins Nuppa Site'!K724&lt;&gt;0,'Boletins Nuppa Site'!K724,"NULL")</f>
        <v>30</v>
      </c>
      <c r="J724" s="1" t="str">
        <f t="shared" si="11"/>
        <v>INSERT INTO COTACAO (blt_id, pap_id, cot_prc_comum, cot_prc_min, cot_prc_max, cot_prc_med, cot_prc_mediana) VALUES (19, 11, 30, 24, 30, 28, 30);</v>
      </c>
    </row>
    <row r="725" spans="1:10" x14ac:dyDescent="0.3">
      <c r="A725" s="1">
        <v>724</v>
      </c>
      <c r="B725" s="1">
        <v>19</v>
      </c>
      <c r="C725" s="1">
        <v>12</v>
      </c>
      <c r="D725" s="19">
        <f>IF('Boletins Nuppa Site'!G725&lt;&gt;0,'Boletins Nuppa Site'!G725,"NULL")</f>
        <v>60</v>
      </c>
      <c r="E725" s="19">
        <f>IF('Boletins Nuppa Site'!H725&lt;&gt;0,'Boletins Nuppa Site'!H725,"NULL")</f>
        <v>60</v>
      </c>
      <c r="F725" s="19">
        <f>IF('Boletins Nuppa Site'!I725&lt;&gt;0,'Boletins Nuppa Site'!I725,"NULL")</f>
        <v>84</v>
      </c>
      <c r="G725" s="19">
        <f>IF('Boletins Nuppa Site'!J725&lt;&gt;0,'Boletins Nuppa Site'!J725,"NULL")</f>
        <v>68</v>
      </c>
      <c r="H725" s="19">
        <f>IF('Boletins Nuppa Site'!K725&lt;&gt;0,'Boletins Nuppa Site'!K725,"NULL")</f>
        <v>60</v>
      </c>
      <c r="J725" s="1" t="str">
        <f t="shared" si="11"/>
        <v>INSERT INTO COTACAO (blt_id, pap_id, cot_prc_comum, cot_prc_min, cot_prc_max, cot_prc_med, cot_prc_mediana) VALUES (19, 12, 60, 60, 84, 68, 60);</v>
      </c>
    </row>
    <row r="726" spans="1:10" x14ac:dyDescent="0.3">
      <c r="A726" s="1">
        <v>725</v>
      </c>
      <c r="B726" s="1">
        <v>19</v>
      </c>
      <c r="C726" s="1">
        <v>13</v>
      </c>
      <c r="D726" s="19">
        <f>IF('Boletins Nuppa Site'!G726&lt;&gt;0,'Boletins Nuppa Site'!G726,"NULL")</f>
        <v>60</v>
      </c>
      <c r="E726" s="19">
        <f>IF('Boletins Nuppa Site'!H726&lt;&gt;0,'Boletins Nuppa Site'!H726,"NULL")</f>
        <v>60</v>
      </c>
      <c r="F726" s="19">
        <f>IF('Boletins Nuppa Site'!I726&lt;&gt;0,'Boletins Nuppa Site'!I726,"NULL")</f>
        <v>78</v>
      </c>
      <c r="G726" s="19">
        <f>IF('Boletins Nuppa Site'!J726&lt;&gt;0,'Boletins Nuppa Site'!J726,"NULL")</f>
        <v>66</v>
      </c>
      <c r="H726" s="19">
        <f>IF('Boletins Nuppa Site'!K726&lt;&gt;0,'Boletins Nuppa Site'!K726,"NULL")</f>
        <v>60</v>
      </c>
      <c r="J726" s="1" t="str">
        <f t="shared" si="11"/>
        <v>INSERT INTO COTACAO (blt_id, pap_id, cot_prc_comum, cot_prc_min, cot_prc_max, cot_prc_med, cot_prc_mediana) VALUES (19, 13, 60, 60, 78, 66, 60);</v>
      </c>
    </row>
    <row r="727" spans="1:10" x14ac:dyDescent="0.3">
      <c r="A727" s="1">
        <v>726</v>
      </c>
      <c r="B727" s="1">
        <v>19</v>
      </c>
      <c r="C727" s="1">
        <v>14</v>
      </c>
      <c r="D727" s="1" t="str">
        <f>IF('Boletins Nuppa Site'!G727&lt;&gt;0,'Boletins Nuppa Site'!G727,"NULL")</f>
        <v>NULL</v>
      </c>
      <c r="E727" s="19">
        <f>IF('Boletins Nuppa Site'!H727&lt;&gt;0,'Boletins Nuppa Site'!H727,"NULL")</f>
        <v>72</v>
      </c>
      <c r="F727" s="19">
        <f>IF('Boletins Nuppa Site'!I727&lt;&gt;0,'Boletins Nuppa Site'!I727,"NULL")</f>
        <v>100</v>
      </c>
      <c r="G727" s="1" t="str">
        <f>IF('Boletins Nuppa Site'!J727&lt;&gt;0,'Boletins Nuppa Site'!J727,"NULL")</f>
        <v>85.33</v>
      </c>
      <c r="H727" s="19">
        <f>IF('Boletins Nuppa Site'!K727&lt;&gt;0,'Boletins Nuppa Site'!K727,"NULL")</f>
        <v>84</v>
      </c>
      <c r="J727" s="1" t="str">
        <f t="shared" si="11"/>
        <v>INSERT INTO COTACAO (blt_id, pap_id, cot_prc_comum, cot_prc_min, cot_prc_max, cot_prc_med, cot_prc_mediana) VALUES (19, 14, NULL, 72, 100, 85.33, 84);</v>
      </c>
    </row>
    <row r="728" spans="1:10" x14ac:dyDescent="0.3">
      <c r="A728" s="1">
        <v>727</v>
      </c>
      <c r="B728" s="1">
        <v>19</v>
      </c>
      <c r="C728" s="1">
        <v>15</v>
      </c>
      <c r="D728" s="1" t="str">
        <f>IF('Boletins Nuppa Site'!G728&lt;&gt;0,'Boletins Nuppa Site'!G728,"NULL")</f>
        <v>NULL</v>
      </c>
      <c r="E728" s="19">
        <f>IF('Boletins Nuppa Site'!H728&lt;&gt;0,'Boletins Nuppa Site'!H728,"NULL")</f>
        <v>48</v>
      </c>
      <c r="F728" s="19">
        <f>IF('Boletins Nuppa Site'!I728&lt;&gt;0,'Boletins Nuppa Site'!I728,"NULL")</f>
        <v>80</v>
      </c>
      <c r="G728" s="19">
        <f>IF('Boletins Nuppa Site'!J728&lt;&gt;0,'Boletins Nuppa Site'!J728,"NULL")</f>
        <v>61</v>
      </c>
      <c r="H728" s="19">
        <f>IF('Boletins Nuppa Site'!K728&lt;&gt;0,'Boletins Nuppa Site'!K728,"NULL")</f>
        <v>55</v>
      </c>
      <c r="J728" s="1" t="str">
        <f t="shared" si="11"/>
        <v>INSERT INTO COTACAO (blt_id, pap_id, cot_prc_comum, cot_prc_min, cot_prc_max, cot_prc_med, cot_prc_mediana) VALUES (19, 15, NULL, 48, 80, 61, 55);</v>
      </c>
    </row>
    <row r="729" spans="1:10" x14ac:dyDescent="0.3">
      <c r="A729" s="1">
        <v>728</v>
      </c>
      <c r="B729" s="1">
        <v>19</v>
      </c>
      <c r="C729" s="1">
        <v>16</v>
      </c>
      <c r="D729" s="19">
        <f>IF('Boletins Nuppa Site'!G729&lt;&gt;0,'Boletins Nuppa Site'!G729,"NULL")</f>
        <v>54</v>
      </c>
      <c r="E729" s="19">
        <f>IF('Boletins Nuppa Site'!H729&lt;&gt;0,'Boletins Nuppa Site'!H729,"NULL")</f>
        <v>48</v>
      </c>
      <c r="F729" s="19">
        <f>IF('Boletins Nuppa Site'!I729&lt;&gt;0,'Boletins Nuppa Site'!I729,"NULL")</f>
        <v>54</v>
      </c>
      <c r="G729" s="19">
        <f>IF('Boletins Nuppa Site'!J729&lt;&gt;0,'Boletins Nuppa Site'!J729,"NULL")</f>
        <v>52</v>
      </c>
      <c r="H729" s="19">
        <f>IF('Boletins Nuppa Site'!K729&lt;&gt;0,'Boletins Nuppa Site'!K729,"NULL")</f>
        <v>54</v>
      </c>
      <c r="J729" s="1" t="str">
        <f t="shared" si="11"/>
        <v>INSERT INTO COTACAO (blt_id, pap_id, cot_prc_comum, cot_prc_min, cot_prc_max, cot_prc_med, cot_prc_mediana) VALUES (19, 16, 54, 48, 54, 52, 54);</v>
      </c>
    </row>
    <row r="730" spans="1:10" x14ac:dyDescent="0.3">
      <c r="A730" s="1">
        <v>729</v>
      </c>
      <c r="B730" s="1">
        <v>19</v>
      </c>
      <c r="C730" s="1">
        <v>17</v>
      </c>
      <c r="D730" s="19">
        <f>IF('Boletins Nuppa Site'!G730&lt;&gt;0,'Boletins Nuppa Site'!G730,"NULL")</f>
        <v>5</v>
      </c>
      <c r="E730" s="19">
        <f>IF('Boletins Nuppa Site'!H730&lt;&gt;0,'Boletins Nuppa Site'!H730,"NULL")</f>
        <v>5</v>
      </c>
      <c r="F730" s="19">
        <f>IF('Boletins Nuppa Site'!I730&lt;&gt;0,'Boletins Nuppa Site'!I730,"NULL")</f>
        <v>6</v>
      </c>
      <c r="G730" s="1" t="str">
        <f>IF('Boletins Nuppa Site'!J730&lt;&gt;0,'Boletins Nuppa Site'!J730,"NULL")</f>
        <v>5.33</v>
      </c>
      <c r="H730" s="19">
        <f>IF('Boletins Nuppa Site'!K730&lt;&gt;0,'Boletins Nuppa Site'!K730,"NULL")</f>
        <v>5</v>
      </c>
      <c r="J730" s="1" t="str">
        <f t="shared" si="11"/>
        <v>INSERT INTO COTACAO (blt_id, pap_id, cot_prc_comum, cot_prc_min, cot_prc_max, cot_prc_med, cot_prc_mediana) VALUES (19, 17, 5, 5, 6, 5.33, 5);</v>
      </c>
    </row>
    <row r="731" spans="1:10" x14ac:dyDescent="0.3">
      <c r="A731" s="1">
        <v>730</v>
      </c>
      <c r="B731" s="1">
        <v>19</v>
      </c>
      <c r="C731" s="1">
        <v>18</v>
      </c>
      <c r="D731" s="19">
        <f>IF('Boletins Nuppa Site'!G731&lt;&gt;0,'Boletins Nuppa Site'!G731,"NULL")</f>
        <v>20</v>
      </c>
      <c r="E731" s="19">
        <f>IF('Boletins Nuppa Site'!H731&lt;&gt;0,'Boletins Nuppa Site'!H731,"NULL")</f>
        <v>20</v>
      </c>
      <c r="F731" s="19">
        <f>IF('Boletins Nuppa Site'!I731&lt;&gt;0,'Boletins Nuppa Site'!I731,"NULL")</f>
        <v>20</v>
      </c>
      <c r="G731" s="19">
        <f>IF('Boletins Nuppa Site'!J731&lt;&gt;0,'Boletins Nuppa Site'!J731,"NULL")</f>
        <v>20</v>
      </c>
      <c r="H731" s="19">
        <f>IF('Boletins Nuppa Site'!K731&lt;&gt;0,'Boletins Nuppa Site'!K731,"NULL")</f>
        <v>20</v>
      </c>
      <c r="J731" s="1" t="str">
        <f t="shared" si="11"/>
        <v>INSERT INTO COTACAO (blt_id, pap_id, cot_prc_comum, cot_prc_min, cot_prc_max, cot_prc_med, cot_prc_mediana) VALUES (19, 18, 20, 20, 20, 20, 20);</v>
      </c>
    </row>
    <row r="732" spans="1:10" x14ac:dyDescent="0.3">
      <c r="A732" s="1">
        <v>731</v>
      </c>
      <c r="B732" s="1">
        <v>19</v>
      </c>
      <c r="C732" s="1">
        <v>19</v>
      </c>
      <c r="D732" s="1" t="str">
        <f>IF('Boletins Nuppa Site'!G732&lt;&gt;0,'Boletins Nuppa Site'!G732,"NULL")</f>
        <v>NULL</v>
      </c>
      <c r="E732" s="19">
        <f>IF('Boletins Nuppa Site'!H732&lt;&gt;0,'Boletins Nuppa Site'!H732,"NULL")</f>
        <v>25</v>
      </c>
      <c r="F732" s="19">
        <f>IF('Boletins Nuppa Site'!I732&lt;&gt;0,'Boletins Nuppa Site'!I732,"NULL")</f>
        <v>35</v>
      </c>
      <c r="G732" s="19">
        <f>IF('Boletins Nuppa Site'!J732&lt;&gt;0,'Boletins Nuppa Site'!J732,"NULL")</f>
        <v>30</v>
      </c>
      <c r="H732" s="19">
        <f>IF('Boletins Nuppa Site'!K732&lt;&gt;0,'Boletins Nuppa Site'!K732,"NULL")</f>
        <v>30</v>
      </c>
      <c r="J732" s="1" t="str">
        <f t="shared" si="11"/>
        <v>INSERT INTO COTACAO (blt_id, pap_id, cot_prc_comum, cot_prc_min, cot_prc_max, cot_prc_med, cot_prc_mediana) VALUES (19, 19, NULL, 25, 35, 30, 30);</v>
      </c>
    </row>
    <row r="733" spans="1:10" x14ac:dyDescent="0.3">
      <c r="A733" s="1">
        <v>732</v>
      </c>
      <c r="B733" s="1">
        <v>19</v>
      </c>
      <c r="C733" s="1">
        <v>20</v>
      </c>
      <c r="D733" s="1" t="str">
        <f>IF('Boletins Nuppa Site'!G733&lt;&gt;0,'Boletins Nuppa Site'!G733,"NULL")</f>
        <v>NULL</v>
      </c>
      <c r="E733" s="19">
        <f>IF('Boletins Nuppa Site'!H733&lt;&gt;0,'Boletins Nuppa Site'!H733,"NULL")</f>
        <v>85</v>
      </c>
      <c r="F733" s="19">
        <f>IF('Boletins Nuppa Site'!I733&lt;&gt;0,'Boletins Nuppa Site'!I733,"NULL")</f>
        <v>95</v>
      </c>
      <c r="G733" s="19">
        <f>IF('Boletins Nuppa Site'!J733&lt;&gt;0,'Boletins Nuppa Site'!J733,"NULL")</f>
        <v>90</v>
      </c>
      <c r="H733" s="19">
        <f>IF('Boletins Nuppa Site'!K733&lt;&gt;0,'Boletins Nuppa Site'!K733,"NULL")</f>
        <v>90</v>
      </c>
      <c r="J733" s="1" t="str">
        <f t="shared" si="11"/>
        <v>INSERT INTO COTACAO (blt_id, pap_id, cot_prc_comum, cot_prc_min, cot_prc_max, cot_prc_med, cot_prc_mediana) VALUES (19, 20, NULL, 85, 95, 90, 90);</v>
      </c>
    </row>
    <row r="734" spans="1:10" x14ac:dyDescent="0.3">
      <c r="A734" s="1">
        <v>733</v>
      </c>
      <c r="B734" s="1">
        <v>19</v>
      </c>
      <c r="C734" s="1">
        <v>21</v>
      </c>
      <c r="D734" s="19">
        <f>IF('Boletins Nuppa Site'!G734&lt;&gt;0,'Boletins Nuppa Site'!G734,"NULL")</f>
        <v>120</v>
      </c>
      <c r="E734" s="19">
        <f>IF('Boletins Nuppa Site'!H734&lt;&gt;0,'Boletins Nuppa Site'!H734,"NULL")</f>
        <v>100</v>
      </c>
      <c r="F734" s="19">
        <f>IF('Boletins Nuppa Site'!I734&lt;&gt;0,'Boletins Nuppa Site'!I734,"NULL")</f>
        <v>120</v>
      </c>
      <c r="G734" s="19">
        <f>IF('Boletins Nuppa Site'!J734&lt;&gt;0,'Boletins Nuppa Site'!J734,"NULL")</f>
        <v>116</v>
      </c>
      <c r="H734" s="19">
        <f>IF('Boletins Nuppa Site'!K734&lt;&gt;0,'Boletins Nuppa Site'!K734,"NULL")</f>
        <v>120</v>
      </c>
      <c r="J734" s="1" t="str">
        <f t="shared" si="11"/>
        <v>INSERT INTO COTACAO (blt_id, pap_id, cot_prc_comum, cot_prc_min, cot_prc_max, cot_prc_med, cot_prc_mediana) VALUES (19, 21, 120, 100, 120, 116, 120);</v>
      </c>
    </row>
    <row r="735" spans="1:10" x14ac:dyDescent="0.3">
      <c r="A735" s="1">
        <v>734</v>
      </c>
      <c r="B735" s="1">
        <v>19</v>
      </c>
      <c r="C735" s="1">
        <v>22</v>
      </c>
      <c r="D735" s="19">
        <f>IF('Boletins Nuppa Site'!G735&lt;&gt;0,'Boletins Nuppa Site'!G735,"NULL")</f>
        <v>60</v>
      </c>
      <c r="E735" s="19">
        <f>IF('Boletins Nuppa Site'!H735&lt;&gt;0,'Boletins Nuppa Site'!H735,"NULL")</f>
        <v>40</v>
      </c>
      <c r="F735" s="19">
        <f>IF('Boletins Nuppa Site'!I735&lt;&gt;0,'Boletins Nuppa Site'!I735,"NULL")</f>
        <v>70</v>
      </c>
      <c r="G735" s="1" t="str">
        <f>IF('Boletins Nuppa Site'!J735&lt;&gt;0,'Boletins Nuppa Site'!J735,"NULL")</f>
        <v>57.5</v>
      </c>
      <c r="H735" s="19">
        <f>IF('Boletins Nuppa Site'!K735&lt;&gt;0,'Boletins Nuppa Site'!K735,"NULL")</f>
        <v>60</v>
      </c>
      <c r="J735" s="1" t="str">
        <f t="shared" si="11"/>
        <v>INSERT INTO COTACAO (blt_id, pap_id, cot_prc_comum, cot_prc_min, cot_prc_max, cot_prc_med, cot_prc_mediana) VALUES (19, 22, 60, 40, 70, 57.5, 60);</v>
      </c>
    </row>
    <row r="736" spans="1:10" x14ac:dyDescent="0.3">
      <c r="A736" s="1">
        <v>735</v>
      </c>
      <c r="B736" s="1">
        <v>19</v>
      </c>
      <c r="C736" s="1">
        <v>23</v>
      </c>
      <c r="D736" s="19">
        <f>IF('Boletins Nuppa Site'!G736&lt;&gt;0,'Boletins Nuppa Site'!G736,"NULL")</f>
        <v>40</v>
      </c>
      <c r="E736" s="19">
        <f>IF('Boletins Nuppa Site'!H736&lt;&gt;0,'Boletins Nuppa Site'!H736,"NULL")</f>
        <v>35</v>
      </c>
      <c r="F736" s="19">
        <f>IF('Boletins Nuppa Site'!I736&lt;&gt;0,'Boletins Nuppa Site'!I736,"NULL")</f>
        <v>55</v>
      </c>
      <c r="G736" s="1" t="str">
        <f>IF('Boletins Nuppa Site'!J736&lt;&gt;0,'Boletins Nuppa Site'!J736,"NULL")</f>
        <v>42.5</v>
      </c>
      <c r="H736" s="19">
        <f>IF('Boletins Nuppa Site'!K736&lt;&gt;0,'Boletins Nuppa Site'!K736,"NULL")</f>
        <v>40</v>
      </c>
      <c r="J736" s="1" t="str">
        <f t="shared" si="11"/>
        <v>INSERT INTO COTACAO (blt_id, pap_id, cot_prc_comum, cot_prc_min, cot_prc_max, cot_prc_med, cot_prc_mediana) VALUES (19, 23, 40, 35, 55, 42.5, 40);</v>
      </c>
    </row>
    <row r="737" spans="1:10" x14ac:dyDescent="0.3">
      <c r="A737" s="1">
        <v>736</v>
      </c>
      <c r="B737" s="1">
        <v>19</v>
      </c>
      <c r="C737" s="1">
        <v>24</v>
      </c>
      <c r="D737" s="1" t="str">
        <f>IF('Boletins Nuppa Site'!G737&lt;&gt;0,'Boletins Nuppa Site'!G737,"NULL")</f>
        <v>NULL</v>
      </c>
      <c r="E737" s="19">
        <f>IF('Boletins Nuppa Site'!H737&lt;&gt;0,'Boletins Nuppa Site'!H737,"NULL")</f>
        <v>90</v>
      </c>
      <c r="F737" s="19">
        <f>IF('Boletins Nuppa Site'!I737&lt;&gt;0,'Boletins Nuppa Site'!I737,"NULL")</f>
        <v>110</v>
      </c>
      <c r="G737" s="19">
        <f>IF('Boletins Nuppa Site'!J737&lt;&gt;0,'Boletins Nuppa Site'!J737,"NULL")</f>
        <v>100</v>
      </c>
      <c r="H737" s="19">
        <f>IF('Boletins Nuppa Site'!K737&lt;&gt;0,'Boletins Nuppa Site'!K737,"NULL")</f>
        <v>100</v>
      </c>
      <c r="J737" s="1" t="str">
        <f t="shared" si="11"/>
        <v>INSERT INTO COTACAO (blt_id, pap_id, cot_prc_comum, cot_prc_min, cot_prc_max, cot_prc_med, cot_prc_mediana) VALUES (19, 24, NULL, 90, 110, 100, 100);</v>
      </c>
    </row>
    <row r="738" spans="1:10" x14ac:dyDescent="0.3">
      <c r="A738" s="1">
        <v>737</v>
      </c>
      <c r="B738" s="1">
        <v>19</v>
      </c>
      <c r="C738" s="1">
        <v>25</v>
      </c>
      <c r="D738" s="19">
        <f>IF('Boletins Nuppa Site'!G738&lt;&gt;0,'Boletins Nuppa Site'!G738,"NULL")</f>
        <v>120</v>
      </c>
      <c r="E738" s="19">
        <f>IF('Boletins Nuppa Site'!H738&lt;&gt;0,'Boletins Nuppa Site'!H738,"NULL")</f>
        <v>80</v>
      </c>
      <c r="F738" s="19">
        <f>IF('Boletins Nuppa Site'!I738&lt;&gt;0,'Boletins Nuppa Site'!I738,"NULL")</f>
        <v>120</v>
      </c>
      <c r="G738" s="19">
        <f>IF('Boletins Nuppa Site'!J738&lt;&gt;0,'Boletins Nuppa Site'!J738,"NULL")</f>
        <v>110</v>
      </c>
      <c r="H738" s="19">
        <f>IF('Boletins Nuppa Site'!K738&lt;&gt;0,'Boletins Nuppa Site'!K738,"NULL")</f>
        <v>120</v>
      </c>
      <c r="J738" s="1" t="str">
        <f t="shared" si="11"/>
        <v>INSERT INTO COTACAO (blt_id, pap_id, cot_prc_comum, cot_prc_min, cot_prc_max, cot_prc_med, cot_prc_mediana) VALUES (19, 25, 120, 80, 120, 110, 120);</v>
      </c>
    </row>
    <row r="739" spans="1:10" x14ac:dyDescent="0.3">
      <c r="A739" s="1">
        <v>738</v>
      </c>
      <c r="B739" s="1">
        <v>19</v>
      </c>
      <c r="C739" s="1">
        <v>26</v>
      </c>
      <c r="D739" s="1" t="str">
        <f>IF('Boletins Nuppa Site'!G739&lt;&gt;0,'Boletins Nuppa Site'!G739,"NULL")</f>
        <v>NULL</v>
      </c>
      <c r="E739" s="19">
        <f>IF('Boletins Nuppa Site'!H739&lt;&gt;0,'Boletins Nuppa Site'!H739,"NULL")</f>
        <v>60</v>
      </c>
      <c r="F739" s="19">
        <f>IF('Boletins Nuppa Site'!I739&lt;&gt;0,'Boletins Nuppa Site'!I739,"NULL")</f>
        <v>160</v>
      </c>
      <c r="G739" s="19">
        <f>IF('Boletins Nuppa Site'!J739&lt;&gt;0,'Boletins Nuppa Site'!J739,"NULL")</f>
        <v>118</v>
      </c>
      <c r="H739" s="19">
        <f>IF('Boletins Nuppa Site'!K739&lt;&gt;0,'Boletins Nuppa Site'!K739,"NULL")</f>
        <v>130</v>
      </c>
      <c r="J739" s="1" t="str">
        <f t="shared" si="11"/>
        <v>INSERT INTO COTACAO (blt_id, pap_id, cot_prc_comum, cot_prc_min, cot_prc_max, cot_prc_med, cot_prc_mediana) VALUES (19, 26, NULL, 60, 160, 118, 130);</v>
      </c>
    </row>
    <row r="740" spans="1:10" x14ac:dyDescent="0.3">
      <c r="A740" s="1">
        <v>739</v>
      </c>
      <c r="B740" s="1">
        <v>19</v>
      </c>
      <c r="C740" s="1">
        <v>27</v>
      </c>
      <c r="D740" s="19">
        <f>IF('Boletins Nuppa Site'!G740&lt;&gt;0,'Boletins Nuppa Site'!G740,"NULL")</f>
        <v>80</v>
      </c>
      <c r="E740" s="19">
        <f>IF('Boletins Nuppa Site'!H740&lt;&gt;0,'Boletins Nuppa Site'!H740,"NULL")</f>
        <v>75</v>
      </c>
      <c r="F740" s="19">
        <f>IF('Boletins Nuppa Site'!I740&lt;&gt;0,'Boletins Nuppa Site'!I740,"NULL")</f>
        <v>110</v>
      </c>
      <c r="G740" s="19">
        <f>IF('Boletins Nuppa Site'!J740&lt;&gt;0,'Boletins Nuppa Site'!J740,"NULL")</f>
        <v>90</v>
      </c>
      <c r="H740" s="19">
        <f>IF('Boletins Nuppa Site'!K740&lt;&gt;0,'Boletins Nuppa Site'!K740,"NULL")</f>
        <v>80</v>
      </c>
      <c r="J740" s="1" t="str">
        <f t="shared" si="11"/>
        <v>INSERT INTO COTACAO (blt_id, pap_id, cot_prc_comum, cot_prc_min, cot_prc_max, cot_prc_med, cot_prc_mediana) VALUES (19, 27, 80, 75, 110, 90, 80);</v>
      </c>
    </row>
    <row r="741" spans="1:10" x14ac:dyDescent="0.3">
      <c r="A741" s="1">
        <v>740</v>
      </c>
      <c r="B741" s="1">
        <v>19</v>
      </c>
      <c r="C741" s="1">
        <v>28</v>
      </c>
      <c r="D741" s="19">
        <f>IF('Boletins Nuppa Site'!G741&lt;&gt;0,'Boletins Nuppa Site'!G741,"NULL")</f>
        <v>100</v>
      </c>
      <c r="E741" s="19">
        <f>IF('Boletins Nuppa Site'!H741&lt;&gt;0,'Boletins Nuppa Site'!H741,"NULL")</f>
        <v>70</v>
      </c>
      <c r="F741" s="19">
        <f>IF('Boletins Nuppa Site'!I741&lt;&gt;0,'Boletins Nuppa Site'!I741,"NULL")</f>
        <v>100</v>
      </c>
      <c r="G741" s="1" t="str">
        <f>IF('Boletins Nuppa Site'!J741&lt;&gt;0,'Boletins Nuppa Site'!J741,"NULL")</f>
        <v>87.5</v>
      </c>
      <c r="H741" s="19">
        <f>IF('Boletins Nuppa Site'!K741&lt;&gt;0,'Boletins Nuppa Site'!K741,"NULL")</f>
        <v>90</v>
      </c>
      <c r="J741" s="1" t="str">
        <f t="shared" si="11"/>
        <v>INSERT INTO COTACAO (blt_id, pap_id, cot_prc_comum, cot_prc_min, cot_prc_max, cot_prc_med, cot_prc_mediana) VALUES (19, 28, 100, 70, 100, 87.5, 90);</v>
      </c>
    </row>
    <row r="742" spans="1:10" x14ac:dyDescent="0.3">
      <c r="A742" s="1">
        <v>741</v>
      </c>
      <c r="B742" s="1">
        <v>19</v>
      </c>
      <c r="C742" s="1">
        <v>29</v>
      </c>
      <c r="D742" s="1" t="str">
        <f>IF('Boletins Nuppa Site'!G742&lt;&gt;0,'Boletins Nuppa Site'!G742,"NULL")</f>
        <v>NULL</v>
      </c>
      <c r="E742" s="19">
        <f>IF('Boletins Nuppa Site'!H742&lt;&gt;0,'Boletins Nuppa Site'!H742,"NULL")</f>
        <v>40</v>
      </c>
      <c r="F742" s="19">
        <f>IF('Boletins Nuppa Site'!I742&lt;&gt;0,'Boletins Nuppa Site'!I742,"NULL")</f>
        <v>60</v>
      </c>
      <c r="G742" s="1" t="str">
        <f>IF('Boletins Nuppa Site'!J742&lt;&gt;0,'Boletins Nuppa Site'!J742,"NULL")</f>
        <v>51.25</v>
      </c>
      <c r="H742" s="1" t="str">
        <f>IF('Boletins Nuppa Site'!K742&lt;&gt;0,'Boletins Nuppa Site'!K742,"NULL")</f>
        <v>52.5</v>
      </c>
      <c r="J742" s="1" t="str">
        <f t="shared" si="11"/>
        <v>INSERT INTO COTACAO (blt_id, pap_id, cot_prc_comum, cot_prc_min, cot_prc_max, cot_prc_med, cot_prc_mediana) VALUES (19, 29, NULL, 40, 60, 51.25, 52.5);</v>
      </c>
    </row>
    <row r="743" spans="1:10" x14ac:dyDescent="0.3">
      <c r="A743" s="1">
        <v>742</v>
      </c>
      <c r="B743" s="1">
        <v>19</v>
      </c>
      <c r="C743" s="1">
        <v>30</v>
      </c>
      <c r="D743" s="19">
        <f>IF('Boletins Nuppa Site'!G743&lt;&gt;0,'Boletins Nuppa Site'!G743,"NULL")</f>
        <v>70</v>
      </c>
      <c r="E743" s="19">
        <f>IF('Boletins Nuppa Site'!H743&lt;&gt;0,'Boletins Nuppa Site'!H743,"NULL")</f>
        <v>65</v>
      </c>
      <c r="F743" s="19">
        <f>IF('Boletins Nuppa Site'!I743&lt;&gt;0,'Boletins Nuppa Site'!I743,"NULL")</f>
        <v>70</v>
      </c>
      <c r="G743" s="1" t="str">
        <f>IF('Boletins Nuppa Site'!J743&lt;&gt;0,'Boletins Nuppa Site'!J743,"NULL")</f>
        <v>68.75</v>
      </c>
      <c r="H743" s="19">
        <f>IF('Boletins Nuppa Site'!K743&lt;&gt;0,'Boletins Nuppa Site'!K743,"NULL")</f>
        <v>70</v>
      </c>
      <c r="J743" s="1" t="str">
        <f t="shared" si="11"/>
        <v>INSERT INTO COTACAO (blt_id, pap_id, cot_prc_comum, cot_prc_min, cot_prc_max, cot_prc_med, cot_prc_mediana) VALUES (19, 30, 70, 65, 70, 68.75, 70);</v>
      </c>
    </row>
    <row r="744" spans="1:10" x14ac:dyDescent="0.3">
      <c r="A744" s="1">
        <v>743</v>
      </c>
      <c r="B744" s="1">
        <v>19</v>
      </c>
      <c r="C744" s="1">
        <v>31</v>
      </c>
      <c r="D744" s="19">
        <f>IF('Boletins Nuppa Site'!G744&lt;&gt;0,'Boletins Nuppa Site'!G744,"NULL")</f>
        <v>120</v>
      </c>
      <c r="E744" s="19">
        <f>IF('Boletins Nuppa Site'!H744&lt;&gt;0,'Boletins Nuppa Site'!H744,"NULL")</f>
        <v>100</v>
      </c>
      <c r="F744" s="19">
        <f>IF('Boletins Nuppa Site'!I744&lt;&gt;0,'Boletins Nuppa Site'!I744,"NULL")</f>
        <v>125</v>
      </c>
      <c r="G744" s="1" t="str">
        <f>IF('Boletins Nuppa Site'!J744&lt;&gt;0,'Boletins Nuppa Site'!J744,"NULL")</f>
        <v>116.25</v>
      </c>
      <c r="H744" s="19">
        <f>IF('Boletins Nuppa Site'!K744&lt;&gt;0,'Boletins Nuppa Site'!K744,"NULL")</f>
        <v>120</v>
      </c>
      <c r="J744" s="1" t="str">
        <f t="shared" si="11"/>
        <v>INSERT INTO COTACAO (blt_id, pap_id, cot_prc_comum, cot_prc_min, cot_prc_max, cot_prc_med, cot_prc_mediana) VALUES (19, 31, 120, 100, 125, 116.25, 120);</v>
      </c>
    </row>
    <row r="745" spans="1:10" x14ac:dyDescent="0.3">
      <c r="A745" s="1">
        <v>744</v>
      </c>
      <c r="B745" s="1">
        <v>19</v>
      </c>
      <c r="C745" s="1">
        <v>32</v>
      </c>
      <c r="D745" s="19">
        <f>IF('Boletins Nuppa Site'!G745&lt;&gt;0,'Boletins Nuppa Site'!G745,"NULL")</f>
        <v>50</v>
      </c>
      <c r="E745" s="19">
        <f>IF('Boletins Nuppa Site'!H745&lt;&gt;0,'Boletins Nuppa Site'!H745,"NULL")</f>
        <v>40</v>
      </c>
      <c r="F745" s="19">
        <f>IF('Boletins Nuppa Site'!I745&lt;&gt;0,'Boletins Nuppa Site'!I745,"NULL")</f>
        <v>80</v>
      </c>
      <c r="G745" s="1" t="str">
        <f>IF('Boletins Nuppa Site'!J745&lt;&gt;0,'Boletins Nuppa Site'!J745,"NULL")</f>
        <v>53.33</v>
      </c>
      <c r="H745" s="19">
        <f>IF('Boletins Nuppa Site'!K745&lt;&gt;0,'Boletins Nuppa Site'!K745,"NULL")</f>
        <v>50</v>
      </c>
      <c r="J745" s="1" t="str">
        <f t="shared" si="11"/>
        <v>INSERT INTO COTACAO (blt_id, pap_id, cot_prc_comum, cot_prc_min, cot_prc_max, cot_prc_med, cot_prc_mediana) VALUES (19, 32, 50, 40, 80, 53.33, 50);</v>
      </c>
    </row>
    <row r="746" spans="1:10" x14ac:dyDescent="0.3">
      <c r="A746" s="1">
        <v>745</v>
      </c>
      <c r="B746" s="1">
        <v>19</v>
      </c>
      <c r="C746" s="1">
        <v>33</v>
      </c>
      <c r="D746" s="1" t="str">
        <f>IF('Boletins Nuppa Site'!G746&lt;&gt;0,'Boletins Nuppa Site'!G746,"NULL")</f>
        <v>NULL</v>
      </c>
      <c r="E746" s="19">
        <f>IF('Boletins Nuppa Site'!H746&lt;&gt;0,'Boletins Nuppa Site'!H746,"NULL")</f>
        <v>120</v>
      </c>
      <c r="F746" s="19">
        <f>IF('Boletins Nuppa Site'!I746&lt;&gt;0,'Boletins Nuppa Site'!I746,"NULL")</f>
        <v>200</v>
      </c>
      <c r="G746" s="19">
        <f>IF('Boletins Nuppa Site'!J746&lt;&gt;0,'Boletins Nuppa Site'!J746,"NULL")</f>
        <v>160</v>
      </c>
      <c r="H746" s="19">
        <f>IF('Boletins Nuppa Site'!K746&lt;&gt;0,'Boletins Nuppa Site'!K746,"NULL")</f>
        <v>160</v>
      </c>
      <c r="J746" s="1" t="str">
        <f t="shared" si="11"/>
        <v>INSERT INTO COTACAO (blt_id, pap_id, cot_prc_comum, cot_prc_min, cot_prc_max, cot_prc_med, cot_prc_mediana) VALUES (19, 33, NULL, 120, 200, 160, 160);</v>
      </c>
    </row>
    <row r="747" spans="1:10" x14ac:dyDescent="0.3">
      <c r="A747" s="1">
        <v>746</v>
      </c>
      <c r="B747" s="1">
        <v>19</v>
      </c>
      <c r="C747" s="1">
        <v>34</v>
      </c>
      <c r="D747" s="19">
        <f>IF('Boletins Nuppa Site'!G747&lt;&gt;0,'Boletins Nuppa Site'!G747,"NULL")</f>
        <v>130</v>
      </c>
      <c r="E747" s="19">
        <f>IF('Boletins Nuppa Site'!H747&lt;&gt;0,'Boletins Nuppa Site'!H747,"NULL")</f>
        <v>100</v>
      </c>
      <c r="F747" s="19">
        <f>IF('Boletins Nuppa Site'!I747&lt;&gt;0,'Boletins Nuppa Site'!I747,"NULL")</f>
        <v>170</v>
      </c>
      <c r="G747" s="19">
        <f>IF('Boletins Nuppa Site'!J747&lt;&gt;0,'Boletins Nuppa Site'!J747,"NULL")</f>
        <v>140</v>
      </c>
      <c r="H747" s="19">
        <f>IF('Boletins Nuppa Site'!K747&lt;&gt;0,'Boletins Nuppa Site'!K747,"NULL")</f>
        <v>140</v>
      </c>
      <c r="J747" s="1" t="str">
        <f t="shared" si="11"/>
        <v>INSERT INTO COTACAO (blt_id, pap_id, cot_prc_comum, cot_prc_min, cot_prc_max, cot_prc_med, cot_prc_mediana) VALUES (19, 34, 130, 100, 170, 140, 140);</v>
      </c>
    </row>
    <row r="748" spans="1:10" x14ac:dyDescent="0.3">
      <c r="A748" s="1">
        <v>747</v>
      </c>
      <c r="B748" s="1">
        <v>19</v>
      </c>
      <c r="C748" s="1">
        <v>35</v>
      </c>
      <c r="D748" s="1" t="str">
        <f>IF('Boletins Nuppa Site'!G748&lt;&gt;0,'Boletins Nuppa Site'!G748,"NULL")</f>
        <v>NULL</v>
      </c>
      <c r="E748" s="19">
        <f>IF('Boletins Nuppa Site'!H748&lt;&gt;0,'Boletins Nuppa Site'!H748,"NULL")</f>
        <v>120</v>
      </c>
      <c r="F748" s="19">
        <f>IF('Boletins Nuppa Site'!I748&lt;&gt;0,'Boletins Nuppa Site'!I748,"NULL")</f>
        <v>235</v>
      </c>
      <c r="G748" s="1" t="str">
        <f>IF('Boletins Nuppa Site'!J748&lt;&gt;0,'Boletins Nuppa Site'!J748,"NULL")</f>
        <v>193.75</v>
      </c>
      <c r="H748" s="19">
        <f>IF('Boletins Nuppa Site'!K748&lt;&gt;0,'Boletins Nuppa Site'!K748,"NULL")</f>
        <v>210</v>
      </c>
      <c r="J748" s="1" t="str">
        <f t="shared" si="11"/>
        <v>INSERT INTO COTACAO (blt_id, pap_id, cot_prc_comum, cot_prc_min, cot_prc_max, cot_prc_med, cot_prc_mediana) VALUES (19, 35, NULL, 120, 235, 193.75, 210);</v>
      </c>
    </row>
    <row r="749" spans="1:10" x14ac:dyDescent="0.3">
      <c r="A749" s="1">
        <v>748</v>
      </c>
      <c r="B749" s="1">
        <v>19</v>
      </c>
      <c r="C749" s="1">
        <v>36</v>
      </c>
      <c r="D749" s="1" t="str">
        <f>IF('Boletins Nuppa Site'!G749&lt;&gt;0,'Boletins Nuppa Site'!G749,"NULL")</f>
        <v>NULL</v>
      </c>
      <c r="E749" s="1" t="str">
        <f>IF('Boletins Nuppa Site'!H749&lt;&gt;0,'Boletins Nuppa Site'!H749,"NULL")</f>
        <v>NULL</v>
      </c>
      <c r="F749" s="1" t="str">
        <f>IF('Boletins Nuppa Site'!I749&lt;&gt;0,'Boletins Nuppa Site'!I749,"NULL")</f>
        <v>NULL</v>
      </c>
      <c r="G749" s="1" t="str">
        <f>IF('Boletins Nuppa Site'!J749&lt;&gt;0,'Boletins Nuppa Site'!J749,"NULL")</f>
        <v>NULL</v>
      </c>
      <c r="H749" s="1" t="str">
        <f>IF('Boletins Nuppa Site'!K749&lt;&gt;0,'Boletins Nuppa Site'!K749,"NULL")</f>
        <v>NULL</v>
      </c>
      <c r="J749" s="1" t="str">
        <f t="shared" si="11"/>
        <v>INSERT INTO COTACAO (blt_id, pap_id, cot_prc_comum, cot_prc_min, cot_prc_max, cot_prc_med, cot_prc_mediana) VALUES (19, 36, NULL, NULL, NULL, NULL, NULL);</v>
      </c>
    </row>
    <row r="750" spans="1:10" x14ac:dyDescent="0.3">
      <c r="A750" s="1">
        <v>749</v>
      </c>
      <c r="B750" s="1">
        <v>19</v>
      </c>
      <c r="C750" s="1">
        <v>37</v>
      </c>
      <c r="D750" s="1" t="str">
        <f>IF('Boletins Nuppa Site'!G750&lt;&gt;0,'Boletins Nuppa Site'!G750,"NULL")</f>
        <v>NULL</v>
      </c>
      <c r="E750" s="1" t="str">
        <f>IF('Boletins Nuppa Site'!H750&lt;&gt;0,'Boletins Nuppa Site'!H750,"NULL")</f>
        <v>NULL</v>
      </c>
      <c r="F750" s="1" t="str">
        <f>IF('Boletins Nuppa Site'!I750&lt;&gt;0,'Boletins Nuppa Site'!I750,"NULL")</f>
        <v>NULL</v>
      </c>
      <c r="G750" s="1" t="str">
        <f>IF('Boletins Nuppa Site'!J750&lt;&gt;0,'Boletins Nuppa Site'!J750,"NULL")</f>
        <v>NULL</v>
      </c>
      <c r="H750" s="1" t="str">
        <f>IF('Boletins Nuppa Site'!K750&lt;&gt;0,'Boletins Nuppa Site'!K750,"NULL")</f>
        <v>NULL</v>
      </c>
      <c r="J750" s="1" t="str">
        <f t="shared" si="11"/>
        <v>INSERT INTO COTACAO (blt_id, pap_id, cot_prc_comum, cot_prc_min, cot_prc_max, cot_prc_med, cot_prc_mediana) VALUES (19, 37, NULL, NULL, NULL, NULL, NULL);</v>
      </c>
    </row>
    <row r="751" spans="1:10" x14ac:dyDescent="0.3">
      <c r="A751" s="1">
        <v>750</v>
      </c>
      <c r="B751" s="1">
        <v>19</v>
      </c>
      <c r="C751" s="1">
        <v>38</v>
      </c>
      <c r="D751" s="1" t="str">
        <f>IF('Boletins Nuppa Site'!G751&lt;&gt;0,'Boletins Nuppa Site'!G751,"NULL")</f>
        <v>NULL</v>
      </c>
      <c r="E751" s="1" t="str">
        <f>IF('Boletins Nuppa Site'!H751&lt;&gt;0,'Boletins Nuppa Site'!H751,"NULL")</f>
        <v>NULL</v>
      </c>
      <c r="F751" s="1" t="str">
        <f>IF('Boletins Nuppa Site'!I751&lt;&gt;0,'Boletins Nuppa Site'!I751,"NULL")</f>
        <v>NULL</v>
      </c>
      <c r="G751" s="1" t="str">
        <f>IF('Boletins Nuppa Site'!J751&lt;&gt;0,'Boletins Nuppa Site'!J751,"NULL")</f>
        <v>NULL</v>
      </c>
      <c r="H751" s="1" t="str">
        <f>IF('Boletins Nuppa Site'!K751&lt;&gt;0,'Boletins Nuppa Site'!K751,"NULL")</f>
        <v>NULL</v>
      </c>
      <c r="J751" s="1" t="str">
        <f t="shared" si="11"/>
        <v>INSERT INTO COTACAO (blt_id, pap_id, cot_prc_comum, cot_prc_min, cot_prc_max, cot_prc_med, cot_prc_mediana) VALUES (19, 38, NULL, NULL, NULL, NULL, NULL);</v>
      </c>
    </row>
    <row r="752" spans="1:10" x14ac:dyDescent="0.3">
      <c r="A752" s="1">
        <v>751</v>
      </c>
      <c r="B752" s="1">
        <v>19</v>
      </c>
      <c r="C752" s="1">
        <v>39</v>
      </c>
      <c r="D752" s="1" t="str">
        <f>IF('Boletins Nuppa Site'!G752&lt;&gt;0,'Boletins Nuppa Site'!G752,"NULL")</f>
        <v>NULL</v>
      </c>
      <c r="E752" s="19">
        <f>IF('Boletins Nuppa Site'!H752&lt;&gt;0,'Boletins Nuppa Site'!H752,"NULL")</f>
        <v>50</v>
      </c>
      <c r="F752" s="19">
        <f>IF('Boletins Nuppa Site'!I752&lt;&gt;0,'Boletins Nuppa Site'!I752,"NULL")</f>
        <v>50</v>
      </c>
      <c r="G752" s="19">
        <f>IF('Boletins Nuppa Site'!J752&lt;&gt;0,'Boletins Nuppa Site'!J752,"NULL")</f>
        <v>50</v>
      </c>
      <c r="H752" s="19">
        <f>IF('Boletins Nuppa Site'!K752&lt;&gt;0,'Boletins Nuppa Site'!K752,"NULL")</f>
        <v>50</v>
      </c>
      <c r="J752" s="1" t="str">
        <f t="shared" si="11"/>
        <v>INSERT INTO COTACAO (blt_id, pap_id, cot_prc_comum, cot_prc_min, cot_prc_max, cot_prc_med, cot_prc_mediana) VALUES (19, 39, NULL, 50, 50, 50, 50);</v>
      </c>
    </row>
    <row r="753" spans="1:10" x14ac:dyDescent="0.3">
      <c r="A753" s="1">
        <v>752</v>
      </c>
      <c r="B753" s="1">
        <v>19</v>
      </c>
      <c r="C753" s="1">
        <v>40</v>
      </c>
      <c r="D753" s="19">
        <f>IF('Boletins Nuppa Site'!G753&lt;&gt;0,'Boletins Nuppa Site'!G753,"NULL")</f>
        <v>60</v>
      </c>
      <c r="E753" s="19">
        <f>IF('Boletins Nuppa Site'!H753&lt;&gt;0,'Boletins Nuppa Site'!H753,"NULL")</f>
        <v>60</v>
      </c>
      <c r="F753" s="19">
        <f>IF('Boletins Nuppa Site'!I753&lt;&gt;0,'Boletins Nuppa Site'!I753,"NULL")</f>
        <v>60</v>
      </c>
      <c r="G753" s="19">
        <f>IF('Boletins Nuppa Site'!J753&lt;&gt;0,'Boletins Nuppa Site'!J753,"NULL")</f>
        <v>60</v>
      </c>
      <c r="H753" s="19">
        <f>IF('Boletins Nuppa Site'!K753&lt;&gt;0,'Boletins Nuppa Site'!K753,"NULL")</f>
        <v>60</v>
      </c>
      <c r="J753" s="1" t="str">
        <f t="shared" si="11"/>
        <v>INSERT INTO COTACAO (blt_id, pap_id, cot_prc_comum, cot_prc_min, cot_prc_max, cot_prc_med, cot_prc_mediana) VALUES (19, 40, 60, 60, 60, 60, 60);</v>
      </c>
    </row>
    <row r="754" spans="1:10" x14ac:dyDescent="0.3">
      <c r="A754" s="1">
        <v>753</v>
      </c>
      <c r="B754" s="1">
        <v>20</v>
      </c>
      <c r="C754" s="1">
        <v>1</v>
      </c>
      <c r="D754" s="1" t="str">
        <f>IF('Boletins Nuppa Site'!G754&lt;&gt;0,'Boletins Nuppa Site'!G754,"NULL")</f>
        <v>NULL</v>
      </c>
      <c r="E754" s="1" t="str">
        <f>IF('Boletins Nuppa Site'!H754&lt;&gt;0,'Boletins Nuppa Site'!H754,"NULL")</f>
        <v>NULL</v>
      </c>
      <c r="F754" s="1" t="str">
        <f>IF('Boletins Nuppa Site'!I754&lt;&gt;0,'Boletins Nuppa Site'!I754,"NULL")</f>
        <v>NULL</v>
      </c>
      <c r="G754" s="1" t="str">
        <f>IF('Boletins Nuppa Site'!J754&lt;&gt;0,'Boletins Nuppa Site'!J754,"NULL")</f>
        <v>NULL</v>
      </c>
      <c r="H754" s="1" t="str">
        <f>IF('Boletins Nuppa Site'!K754&lt;&gt;0,'Boletins Nuppa Site'!K754,"NULL")</f>
        <v>NULL</v>
      </c>
      <c r="J754" s="1" t="str">
        <f t="shared" si="11"/>
        <v>INSERT INTO COTACAO (blt_id, pap_id, cot_prc_comum, cot_prc_min, cot_prc_max, cot_prc_med, cot_prc_mediana) VALUES (20, 1, NULL, NULL, NULL, NULL, NULL);</v>
      </c>
    </row>
    <row r="755" spans="1:10" x14ac:dyDescent="0.3">
      <c r="A755" s="1">
        <v>754</v>
      </c>
      <c r="B755" s="1">
        <v>20</v>
      </c>
      <c r="C755" s="1">
        <v>2</v>
      </c>
      <c r="D755" s="1" t="str">
        <f>IF('Boletins Nuppa Site'!G755&lt;&gt;0,'Boletins Nuppa Site'!G755,"NULL")</f>
        <v>NULL</v>
      </c>
      <c r="E755" s="19">
        <f>IF('Boletins Nuppa Site'!H755&lt;&gt;0,'Boletins Nuppa Site'!H755,"NULL")</f>
        <v>60</v>
      </c>
      <c r="F755" s="19">
        <f>IF('Boletins Nuppa Site'!I755&lt;&gt;0,'Boletins Nuppa Site'!I755,"NULL")</f>
        <v>72</v>
      </c>
      <c r="G755" s="19">
        <f>IF('Boletins Nuppa Site'!J755&lt;&gt;0,'Boletins Nuppa Site'!J755,"NULL")</f>
        <v>66</v>
      </c>
      <c r="H755" s="19">
        <f>IF('Boletins Nuppa Site'!K755&lt;&gt;0,'Boletins Nuppa Site'!K755,"NULL")</f>
        <v>66</v>
      </c>
      <c r="J755" s="1" t="str">
        <f t="shared" si="11"/>
        <v>INSERT INTO COTACAO (blt_id, pap_id, cot_prc_comum, cot_prc_min, cot_prc_max, cot_prc_med, cot_prc_mediana) VALUES (20, 2, NULL, 60, 72, 66, 66);</v>
      </c>
    </row>
    <row r="756" spans="1:10" x14ac:dyDescent="0.3">
      <c r="A756" s="1">
        <v>755</v>
      </c>
      <c r="B756" s="1">
        <v>20</v>
      </c>
      <c r="C756" s="1">
        <v>3</v>
      </c>
      <c r="D756" s="1" t="str">
        <f>IF('Boletins Nuppa Site'!G756&lt;&gt;0,'Boletins Nuppa Site'!G756,"NULL")</f>
        <v>NULL</v>
      </c>
      <c r="E756" s="19">
        <f>IF('Boletins Nuppa Site'!H756&lt;&gt;0,'Boletins Nuppa Site'!H756,"NULL")</f>
        <v>72</v>
      </c>
      <c r="F756" s="19">
        <f>IF('Boletins Nuppa Site'!I756&lt;&gt;0,'Boletins Nuppa Site'!I756,"NULL")</f>
        <v>84</v>
      </c>
      <c r="G756" s="19">
        <f>IF('Boletins Nuppa Site'!J756&lt;&gt;0,'Boletins Nuppa Site'!J756,"NULL")</f>
        <v>78</v>
      </c>
      <c r="H756" s="19">
        <f>IF('Boletins Nuppa Site'!K756&lt;&gt;0,'Boletins Nuppa Site'!K756,"NULL")</f>
        <v>78</v>
      </c>
      <c r="J756" s="1" t="str">
        <f t="shared" si="11"/>
        <v>INSERT INTO COTACAO (blt_id, pap_id, cot_prc_comum, cot_prc_min, cot_prc_max, cot_prc_med, cot_prc_mediana) VALUES (20, 3, NULL, 72, 84, 78, 78);</v>
      </c>
    </row>
    <row r="757" spans="1:10" x14ac:dyDescent="0.3">
      <c r="A757" s="1">
        <v>756</v>
      </c>
      <c r="B757" s="1">
        <v>20</v>
      </c>
      <c r="C757" s="1">
        <v>4</v>
      </c>
      <c r="D757" s="1" t="str">
        <f>IF('Boletins Nuppa Site'!G757&lt;&gt;0,'Boletins Nuppa Site'!G757,"NULL")</f>
        <v>NULL</v>
      </c>
      <c r="E757" s="19">
        <f>IF('Boletins Nuppa Site'!H757&lt;&gt;0,'Boletins Nuppa Site'!H757,"NULL")</f>
        <v>42</v>
      </c>
      <c r="F757" s="19">
        <f>IF('Boletins Nuppa Site'!I757&lt;&gt;0,'Boletins Nuppa Site'!I757,"NULL")</f>
        <v>54</v>
      </c>
      <c r="G757" s="19">
        <f>IF('Boletins Nuppa Site'!J757&lt;&gt;0,'Boletins Nuppa Site'!J757,"NULL")</f>
        <v>48</v>
      </c>
      <c r="H757" s="19">
        <f>IF('Boletins Nuppa Site'!K757&lt;&gt;0,'Boletins Nuppa Site'!K757,"NULL")</f>
        <v>48</v>
      </c>
      <c r="J757" s="1" t="str">
        <f t="shared" si="11"/>
        <v>INSERT INTO COTACAO (blt_id, pap_id, cot_prc_comum, cot_prc_min, cot_prc_max, cot_prc_med, cot_prc_mediana) VALUES (20, 4, NULL, 42, 54, 48, 48);</v>
      </c>
    </row>
    <row r="758" spans="1:10" x14ac:dyDescent="0.3">
      <c r="A758" s="1">
        <v>757</v>
      </c>
      <c r="B758" s="1">
        <v>20</v>
      </c>
      <c r="C758" s="1">
        <v>5</v>
      </c>
      <c r="D758" s="19">
        <f>IF('Boletins Nuppa Site'!G758&lt;&gt;0,'Boletins Nuppa Site'!G758,"NULL")</f>
        <v>30</v>
      </c>
      <c r="E758" s="19">
        <f>IF('Boletins Nuppa Site'!H758&lt;&gt;0,'Boletins Nuppa Site'!H758,"NULL")</f>
        <v>30</v>
      </c>
      <c r="F758" s="19">
        <f>IF('Boletins Nuppa Site'!I758&lt;&gt;0,'Boletins Nuppa Site'!I758,"NULL")</f>
        <v>30</v>
      </c>
      <c r="G758" s="19">
        <f>IF('Boletins Nuppa Site'!J758&lt;&gt;0,'Boletins Nuppa Site'!J758,"NULL")</f>
        <v>30</v>
      </c>
      <c r="H758" s="19">
        <f>IF('Boletins Nuppa Site'!K758&lt;&gt;0,'Boletins Nuppa Site'!K758,"NULL")</f>
        <v>30</v>
      </c>
      <c r="J758" s="1" t="str">
        <f t="shared" si="11"/>
        <v>INSERT INTO COTACAO (blt_id, pap_id, cot_prc_comum, cot_prc_min, cot_prc_max, cot_prc_med, cot_prc_mediana) VALUES (20, 5, 30, 30, 30, 30, 30);</v>
      </c>
    </row>
    <row r="759" spans="1:10" x14ac:dyDescent="0.3">
      <c r="A759" s="1">
        <v>758</v>
      </c>
      <c r="B759" s="1">
        <v>20</v>
      </c>
      <c r="C759" s="1">
        <v>6</v>
      </c>
      <c r="D759" s="19">
        <f>IF('Boletins Nuppa Site'!G759&lt;&gt;0,'Boletins Nuppa Site'!G759,"NULL")</f>
        <v>30</v>
      </c>
      <c r="E759" s="19">
        <f>IF('Boletins Nuppa Site'!H759&lt;&gt;0,'Boletins Nuppa Site'!H759,"NULL")</f>
        <v>30</v>
      </c>
      <c r="F759" s="19">
        <f>IF('Boletins Nuppa Site'!I759&lt;&gt;0,'Boletins Nuppa Site'!I759,"NULL")</f>
        <v>30</v>
      </c>
      <c r="G759" s="19">
        <f>IF('Boletins Nuppa Site'!J759&lt;&gt;0,'Boletins Nuppa Site'!J759,"NULL")</f>
        <v>30</v>
      </c>
      <c r="H759" s="19">
        <f>IF('Boletins Nuppa Site'!K759&lt;&gt;0,'Boletins Nuppa Site'!K759,"NULL")</f>
        <v>30</v>
      </c>
      <c r="J759" s="1" t="str">
        <f t="shared" si="11"/>
        <v>INSERT INTO COTACAO (blt_id, pap_id, cot_prc_comum, cot_prc_min, cot_prc_max, cot_prc_med, cot_prc_mediana) VALUES (20, 6, 30, 30, 30, 30, 30);</v>
      </c>
    </row>
    <row r="760" spans="1:10" x14ac:dyDescent="0.3">
      <c r="A760" s="1">
        <v>759</v>
      </c>
      <c r="B760" s="1">
        <v>20</v>
      </c>
      <c r="C760" s="1">
        <v>7</v>
      </c>
      <c r="D760" s="19">
        <f>IF('Boletins Nuppa Site'!G760&lt;&gt;0,'Boletins Nuppa Site'!G760,"NULL")</f>
        <v>60</v>
      </c>
      <c r="E760" s="19">
        <f>IF('Boletins Nuppa Site'!H760&lt;&gt;0,'Boletins Nuppa Site'!H760,"NULL")</f>
        <v>60</v>
      </c>
      <c r="F760" s="19">
        <f>IF('Boletins Nuppa Site'!I760&lt;&gt;0,'Boletins Nuppa Site'!I760,"NULL")</f>
        <v>60</v>
      </c>
      <c r="G760" s="19">
        <f>IF('Boletins Nuppa Site'!J760&lt;&gt;0,'Boletins Nuppa Site'!J760,"NULL")</f>
        <v>60</v>
      </c>
      <c r="H760" s="19">
        <f>IF('Boletins Nuppa Site'!K760&lt;&gt;0,'Boletins Nuppa Site'!K760,"NULL")</f>
        <v>60</v>
      </c>
      <c r="J760" s="1" t="str">
        <f t="shared" si="11"/>
        <v>INSERT INTO COTACAO (blt_id, pap_id, cot_prc_comum, cot_prc_min, cot_prc_max, cot_prc_med, cot_prc_mediana) VALUES (20, 7, 60, 60, 60, 60, 60);</v>
      </c>
    </row>
    <row r="761" spans="1:10" x14ac:dyDescent="0.3">
      <c r="A761" s="1">
        <v>760</v>
      </c>
      <c r="B761" s="1">
        <v>20</v>
      </c>
      <c r="C761" s="1">
        <v>8</v>
      </c>
      <c r="D761" s="19">
        <f>IF('Boletins Nuppa Site'!G761&lt;&gt;0,'Boletins Nuppa Site'!G761,"NULL")</f>
        <v>96</v>
      </c>
      <c r="E761" s="19">
        <f>IF('Boletins Nuppa Site'!H761&lt;&gt;0,'Boletins Nuppa Site'!H761,"NULL")</f>
        <v>96</v>
      </c>
      <c r="F761" s="19">
        <f>IF('Boletins Nuppa Site'!I761&lt;&gt;0,'Boletins Nuppa Site'!I761,"NULL")</f>
        <v>96</v>
      </c>
      <c r="G761" s="19">
        <f>IF('Boletins Nuppa Site'!J761&lt;&gt;0,'Boletins Nuppa Site'!J761,"NULL")</f>
        <v>96</v>
      </c>
      <c r="H761" s="19">
        <f>IF('Boletins Nuppa Site'!K761&lt;&gt;0,'Boletins Nuppa Site'!K761,"NULL")</f>
        <v>96</v>
      </c>
      <c r="J761" s="1" t="str">
        <f t="shared" si="11"/>
        <v>INSERT INTO COTACAO (blt_id, pap_id, cot_prc_comum, cot_prc_min, cot_prc_max, cot_prc_med, cot_prc_mediana) VALUES (20, 8, 96, 96, 96, 96, 96);</v>
      </c>
    </row>
    <row r="762" spans="1:10" x14ac:dyDescent="0.3">
      <c r="A762" s="1">
        <v>761</v>
      </c>
      <c r="B762" s="1">
        <v>20</v>
      </c>
      <c r="C762" s="1">
        <v>9</v>
      </c>
      <c r="D762" s="1" t="str">
        <f>IF('Boletins Nuppa Site'!G762&lt;&gt;0,'Boletins Nuppa Site'!G762,"NULL")</f>
        <v>NULL</v>
      </c>
      <c r="E762" s="19">
        <f>IF('Boletins Nuppa Site'!H762&lt;&gt;0,'Boletins Nuppa Site'!H762,"NULL")</f>
        <v>80</v>
      </c>
      <c r="F762" s="19">
        <f>IF('Boletins Nuppa Site'!I762&lt;&gt;0,'Boletins Nuppa Site'!I762,"NULL")</f>
        <v>84</v>
      </c>
      <c r="G762" s="19">
        <f>IF('Boletins Nuppa Site'!J762&lt;&gt;0,'Boletins Nuppa Site'!J762,"NULL")</f>
        <v>82</v>
      </c>
      <c r="H762" s="19">
        <f>IF('Boletins Nuppa Site'!K762&lt;&gt;0,'Boletins Nuppa Site'!K762,"NULL")</f>
        <v>82</v>
      </c>
      <c r="J762" s="1" t="str">
        <f t="shared" si="11"/>
        <v>INSERT INTO COTACAO (blt_id, pap_id, cot_prc_comum, cot_prc_min, cot_prc_max, cot_prc_med, cot_prc_mediana) VALUES (20, 9, NULL, 80, 84, 82, 82);</v>
      </c>
    </row>
    <row r="763" spans="1:10" x14ac:dyDescent="0.3">
      <c r="A763" s="1">
        <v>762</v>
      </c>
      <c r="B763" s="1">
        <v>20</v>
      </c>
      <c r="C763" s="1">
        <v>10</v>
      </c>
      <c r="D763" s="1" t="str">
        <f>IF('Boletins Nuppa Site'!G763&lt;&gt;0,'Boletins Nuppa Site'!G763,"NULL")</f>
        <v>NULL</v>
      </c>
      <c r="E763" s="19">
        <f>IF('Boletins Nuppa Site'!H763&lt;&gt;0,'Boletins Nuppa Site'!H763,"NULL")</f>
        <v>25</v>
      </c>
      <c r="F763" s="19">
        <f>IF('Boletins Nuppa Site'!I763&lt;&gt;0,'Boletins Nuppa Site'!I763,"NULL")</f>
        <v>30</v>
      </c>
      <c r="G763" s="1" t="str">
        <f>IF('Boletins Nuppa Site'!J763&lt;&gt;0,'Boletins Nuppa Site'!J763,"NULL")</f>
        <v>27.5</v>
      </c>
      <c r="H763" s="1" t="str">
        <f>IF('Boletins Nuppa Site'!K763&lt;&gt;0,'Boletins Nuppa Site'!K763,"NULL")</f>
        <v>27.5</v>
      </c>
      <c r="J763" s="1" t="str">
        <f t="shared" si="11"/>
        <v>INSERT INTO COTACAO (blt_id, pap_id, cot_prc_comum, cot_prc_min, cot_prc_max, cot_prc_med, cot_prc_mediana) VALUES (20, 10, NULL, 25, 30, 27.5, 27.5);</v>
      </c>
    </row>
    <row r="764" spans="1:10" x14ac:dyDescent="0.3">
      <c r="A764" s="1">
        <v>763</v>
      </c>
      <c r="B764" s="1">
        <v>20</v>
      </c>
      <c r="C764" s="1">
        <v>11</v>
      </c>
      <c r="D764" s="1" t="str">
        <f>IF('Boletins Nuppa Site'!G764&lt;&gt;0,'Boletins Nuppa Site'!G764,"NULL")</f>
        <v>NULL</v>
      </c>
      <c r="E764" s="19">
        <f>IF('Boletins Nuppa Site'!H764&lt;&gt;0,'Boletins Nuppa Site'!H764,"NULL")</f>
        <v>100</v>
      </c>
      <c r="F764" s="19">
        <f>IF('Boletins Nuppa Site'!I764&lt;&gt;0,'Boletins Nuppa Site'!I764,"NULL")</f>
        <v>108</v>
      </c>
      <c r="G764" s="19">
        <f>IF('Boletins Nuppa Site'!J764&lt;&gt;0,'Boletins Nuppa Site'!J764,"NULL")</f>
        <v>104</v>
      </c>
      <c r="H764" s="19">
        <f>IF('Boletins Nuppa Site'!K764&lt;&gt;0,'Boletins Nuppa Site'!K764,"NULL")</f>
        <v>104</v>
      </c>
      <c r="J764" s="1" t="str">
        <f t="shared" si="11"/>
        <v>INSERT INTO COTACAO (blt_id, pap_id, cot_prc_comum, cot_prc_min, cot_prc_max, cot_prc_med, cot_prc_mediana) VALUES (20, 11, NULL, 100, 108, 104, 104);</v>
      </c>
    </row>
    <row r="765" spans="1:10" x14ac:dyDescent="0.3">
      <c r="A765" s="1">
        <v>764</v>
      </c>
      <c r="B765" s="1">
        <v>20</v>
      </c>
      <c r="C765" s="1">
        <v>12</v>
      </c>
      <c r="D765" s="19">
        <f>IF('Boletins Nuppa Site'!G765&lt;&gt;0,'Boletins Nuppa Site'!G765,"NULL")</f>
        <v>30</v>
      </c>
      <c r="E765" s="19">
        <f>IF('Boletins Nuppa Site'!H765&lt;&gt;0,'Boletins Nuppa Site'!H765,"NULL")</f>
        <v>30</v>
      </c>
      <c r="F765" s="19">
        <f>IF('Boletins Nuppa Site'!I765&lt;&gt;0,'Boletins Nuppa Site'!I765,"NULL")</f>
        <v>30</v>
      </c>
      <c r="G765" s="19">
        <f>IF('Boletins Nuppa Site'!J765&lt;&gt;0,'Boletins Nuppa Site'!J765,"NULL")</f>
        <v>30</v>
      </c>
      <c r="H765" s="19">
        <f>IF('Boletins Nuppa Site'!K765&lt;&gt;0,'Boletins Nuppa Site'!K765,"NULL")</f>
        <v>30</v>
      </c>
      <c r="J765" s="1" t="str">
        <f t="shared" si="11"/>
        <v>INSERT INTO COTACAO (blt_id, pap_id, cot_prc_comum, cot_prc_min, cot_prc_max, cot_prc_med, cot_prc_mediana) VALUES (20, 12, 30, 30, 30, 30, 30);</v>
      </c>
    </row>
    <row r="766" spans="1:10" x14ac:dyDescent="0.3">
      <c r="A766" s="1">
        <v>765</v>
      </c>
      <c r="B766" s="1">
        <v>20</v>
      </c>
      <c r="C766" s="1">
        <v>13</v>
      </c>
      <c r="D766" s="19">
        <f>IF('Boletins Nuppa Site'!G766&lt;&gt;0,'Boletins Nuppa Site'!G766,"NULL")</f>
        <v>72</v>
      </c>
      <c r="E766" s="19">
        <f>IF('Boletins Nuppa Site'!H766&lt;&gt;0,'Boletins Nuppa Site'!H766,"NULL")</f>
        <v>72</v>
      </c>
      <c r="F766" s="19">
        <f>IF('Boletins Nuppa Site'!I766&lt;&gt;0,'Boletins Nuppa Site'!I766,"NULL")</f>
        <v>72</v>
      </c>
      <c r="G766" s="19">
        <f>IF('Boletins Nuppa Site'!J766&lt;&gt;0,'Boletins Nuppa Site'!J766,"NULL")</f>
        <v>72</v>
      </c>
      <c r="H766" s="19">
        <f>IF('Boletins Nuppa Site'!K766&lt;&gt;0,'Boletins Nuppa Site'!K766,"NULL")</f>
        <v>72</v>
      </c>
      <c r="J766" s="1" t="str">
        <f t="shared" si="11"/>
        <v>INSERT INTO COTACAO (blt_id, pap_id, cot_prc_comum, cot_prc_min, cot_prc_max, cot_prc_med, cot_prc_mediana) VALUES (20, 13, 72, 72, 72, 72, 72);</v>
      </c>
    </row>
    <row r="767" spans="1:10" x14ac:dyDescent="0.3">
      <c r="A767" s="1">
        <v>766</v>
      </c>
      <c r="B767" s="1">
        <v>20</v>
      </c>
      <c r="C767" s="1">
        <v>14</v>
      </c>
      <c r="D767" s="1" t="str">
        <f>IF('Boletins Nuppa Site'!G767&lt;&gt;0,'Boletins Nuppa Site'!G767,"NULL")</f>
        <v>NULL</v>
      </c>
      <c r="E767" s="19">
        <f>IF('Boletins Nuppa Site'!H767&lt;&gt;0,'Boletins Nuppa Site'!H767,"NULL")</f>
        <v>60</v>
      </c>
      <c r="F767" s="19">
        <f>IF('Boletins Nuppa Site'!I767&lt;&gt;0,'Boletins Nuppa Site'!I767,"NULL")</f>
        <v>72</v>
      </c>
      <c r="G767" s="19">
        <f>IF('Boletins Nuppa Site'!J767&lt;&gt;0,'Boletins Nuppa Site'!J767,"NULL")</f>
        <v>66</v>
      </c>
      <c r="H767" s="19">
        <f>IF('Boletins Nuppa Site'!K767&lt;&gt;0,'Boletins Nuppa Site'!K767,"NULL")</f>
        <v>66</v>
      </c>
      <c r="J767" s="1" t="str">
        <f t="shared" si="11"/>
        <v>INSERT INTO COTACAO (blt_id, pap_id, cot_prc_comum, cot_prc_min, cot_prc_max, cot_prc_med, cot_prc_mediana) VALUES (20, 14, NULL, 60, 72, 66, 66);</v>
      </c>
    </row>
    <row r="768" spans="1:10" x14ac:dyDescent="0.3">
      <c r="A768" s="1">
        <v>767</v>
      </c>
      <c r="B768" s="1">
        <v>20</v>
      </c>
      <c r="C768" s="1">
        <v>15</v>
      </c>
      <c r="D768" s="19">
        <f>IF('Boletins Nuppa Site'!G768&lt;&gt;0,'Boletins Nuppa Site'!G768,"NULL")</f>
        <v>96</v>
      </c>
      <c r="E768" s="19">
        <f>IF('Boletins Nuppa Site'!H768&lt;&gt;0,'Boletins Nuppa Site'!H768,"NULL")</f>
        <v>60</v>
      </c>
      <c r="F768" s="19">
        <f>IF('Boletins Nuppa Site'!I768&lt;&gt;0,'Boletins Nuppa Site'!I768,"NULL")</f>
        <v>96</v>
      </c>
      <c r="G768" s="19">
        <f>IF('Boletins Nuppa Site'!J768&lt;&gt;0,'Boletins Nuppa Site'!J768,"NULL")</f>
        <v>84</v>
      </c>
      <c r="H768" s="19">
        <f>IF('Boletins Nuppa Site'!K768&lt;&gt;0,'Boletins Nuppa Site'!K768,"NULL")</f>
        <v>96</v>
      </c>
      <c r="J768" s="1" t="str">
        <f t="shared" si="11"/>
        <v>INSERT INTO COTACAO (blt_id, pap_id, cot_prc_comum, cot_prc_min, cot_prc_max, cot_prc_med, cot_prc_mediana) VALUES (20, 15, 96, 60, 96, 84, 96);</v>
      </c>
    </row>
    <row r="769" spans="1:10" x14ac:dyDescent="0.3">
      <c r="A769" s="1">
        <v>768</v>
      </c>
      <c r="B769" s="1">
        <v>20</v>
      </c>
      <c r="C769" s="1">
        <v>16</v>
      </c>
      <c r="D769" s="1" t="str">
        <f>IF('Boletins Nuppa Site'!G769&lt;&gt;0,'Boletins Nuppa Site'!G769,"NULL")</f>
        <v>NULL</v>
      </c>
      <c r="E769" s="19">
        <f>IF('Boletins Nuppa Site'!H769&lt;&gt;0,'Boletins Nuppa Site'!H769,"NULL")</f>
        <v>50</v>
      </c>
      <c r="F769" s="19">
        <f>IF('Boletins Nuppa Site'!I769&lt;&gt;0,'Boletins Nuppa Site'!I769,"NULL")</f>
        <v>65</v>
      </c>
      <c r="G769" s="1" t="str">
        <f>IF('Boletins Nuppa Site'!J769&lt;&gt;0,'Boletins Nuppa Site'!J769,"NULL")</f>
        <v>58.33</v>
      </c>
      <c r="H769" s="19">
        <f>IF('Boletins Nuppa Site'!K769&lt;&gt;0,'Boletins Nuppa Site'!K769,"NULL")</f>
        <v>60</v>
      </c>
      <c r="J769" s="1" t="str">
        <f t="shared" si="11"/>
        <v>INSERT INTO COTACAO (blt_id, pap_id, cot_prc_comum, cot_prc_min, cot_prc_max, cot_prc_med, cot_prc_mediana) VALUES (20, 16, NULL, 50, 65, 58.33, 60);</v>
      </c>
    </row>
    <row r="770" spans="1:10" x14ac:dyDescent="0.3">
      <c r="A770" s="1">
        <v>769</v>
      </c>
      <c r="B770" s="1">
        <v>20</v>
      </c>
      <c r="C770" s="1">
        <v>17</v>
      </c>
      <c r="D770" s="19">
        <f>IF('Boletins Nuppa Site'!G770&lt;&gt;0,'Boletins Nuppa Site'!G770,"NULL")</f>
        <v>5</v>
      </c>
      <c r="E770" s="19">
        <f>IF('Boletins Nuppa Site'!H770&lt;&gt;0,'Boletins Nuppa Site'!H770,"NULL")</f>
        <v>5</v>
      </c>
      <c r="F770" s="19">
        <f>IF('Boletins Nuppa Site'!I770&lt;&gt;0,'Boletins Nuppa Site'!I770,"NULL")</f>
        <v>5</v>
      </c>
      <c r="G770" s="19">
        <f>IF('Boletins Nuppa Site'!J770&lt;&gt;0,'Boletins Nuppa Site'!J770,"NULL")</f>
        <v>5</v>
      </c>
      <c r="H770" s="19">
        <f>IF('Boletins Nuppa Site'!K770&lt;&gt;0,'Boletins Nuppa Site'!K770,"NULL")</f>
        <v>5</v>
      </c>
      <c r="J770" s="1" t="str">
        <f t="shared" ref="J770:J833" si="12">"INSERT INTO COTACAO (blt_id, pap_id, cot_prc_comum, cot_prc_min, cot_prc_max, cot_prc_med, cot_prc_mediana) VALUES ("&amp;B770&amp;", "&amp;C770&amp;", "&amp;D770&amp;", "&amp;E770&amp;", "&amp;F770&amp;", "&amp;G770&amp;", "&amp;H770&amp;");"</f>
        <v>INSERT INTO COTACAO (blt_id, pap_id, cot_prc_comum, cot_prc_min, cot_prc_max, cot_prc_med, cot_prc_mediana) VALUES (20, 17, 5, 5, 5, 5, 5);</v>
      </c>
    </row>
    <row r="771" spans="1:10" x14ac:dyDescent="0.3">
      <c r="A771" s="1">
        <v>770</v>
      </c>
      <c r="B771" s="1">
        <v>20</v>
      </c>
      <c r="C771" s="1">
        <v>18</v>
      </c>
      <c r="D771" s="19">
        <f>IF('Boletins Nuppa Site'!G771&lt;&gt;0,'Boletins Nuppa Site'!G771,"NULL")</f>
        <v>25</v>
      </c>
      <c r="E771" s="19">
        <f>IF('Boletins Nuppa Site'!H771&lt;&gt;0,'Boletins Nuppa Site'!H771,"NULL")</f>
        <v>25</v>
      </c>
      <c r="F771" s="19">
        <f>IF('Boletins Nuppa Site'!I771&lt;&gt;0,'Boletins Nuppa Site'!I771,"NULL")</f>
        <v>25</v>
      </c>
      <c r="G771" s="19">
        <f>IF('Boletins Nuppa Site'!J771&lt;&gt;0,'Boletins Nuppa Site'!J771,"NULL")</f>
        <v>25</v>
      </c>
      <c r="H771" s="19">
        <f>IF('Boletins Nuppa Site'!K771&lt;&gt;0,'Boletins Nuppa Site'!K771,"NULL")</f>
        <v>25</v>
      </c>
      <c r="J771" s="1" t="str">
        <f t="shared" si="12"/>
        <v>INSERT INTO COTACAO (blt_id, pap_id, cot_prc_comum, cot_prc_min, cot_prc_max, cot_prc_med, cot_prc_mediana) VALUES (20, 18, 25, 25, 25, 25, 25);</v>
      </c>
    </row>
    <row r="772" spans="1:10" x14ac:dyDescent="0.3">
      <c r="A772" s="1">
        <v>771</v>
      </c>
      <c r="B772" s="1">
        <v>20</v>
      </c>
      <c r="C772" s="1">
        <v>19</v>
      </c>
      <c r="D772" s="19">
        <f>IF('Boletins Nuppa Site'!G772&lt;&gt;0,'Boletins Nuppa Site'!G772,"NULL")</f>
        <v>30</v>
      </c>
      <c r="E772" s="19">
        <f>IF('Boletins Nuppa Site'!H772&lt;&gt;0,'Boletins Nuppa Site'!H772,"NULL")</f>
        <v>30</v>
      </c>
      <c r="F772" s="19">
        <f>IF('Boletins Nuppa Site'!I772&lt;&gt;0,'Boletins Nuppa Site'!I772,"NULL")</f>
        <v>30</v>
      </c>
      <c r="G772" s="19">
        <f>IF('Boletins Nuppa Site'!J772&lt;&gt;0,'Boletins Nuppa Site'!J772,"NULL")</f>
        <v>30</v>
      </c>
      <c r="H772" s="19">
        <f>IF('Boletins Nuppa Site'!K772&lt;&gt;0,'Boletins Nuppa Site'!K772,"NULL")</f>
        <v>30</v>
      </c>
      <c r="J772" s="1" t="str">
        <f t="shared" si="12"/>
        <v>INSERT INTO COTACAO (blt_id, pap_id, cot_prc_comum, cot_prc_min, cot_prc_max, cot_prc_med, cot_prc_mediana) VALUES (20, 19, 30, 30, 30, 30, 30);</v>
      </c>
    </row>
    <row r="773" spans="1:10" x14ac:dyDescent="0.3">
      <c r="A773" s="1">
        <v>772</v>
      </c>
      <c r="B773" s="1">
        <v>20</v>
      </c>
      <c r="C773" s="1">
        <v>20</v>
      </c>
      <c r="D773" s="1" t="str">
        <f>IF('Boletins Nuppa Site'!G773&lt;&gt;0,'Boletins Nuppa Site'!G773,"NULL")</f>
        <v>NULL</v>
      </c>
      <c r="E773" s="19">
        <f>IF('Boletins Nuppa Site'!H773&lt;&gt;0,'Boletins Nuppa Site'!H773,"NULL")</f>
        <v>90</v>
      </c>
      <c r="F773" s="19">
        <f>IF('Boletins Nuppa Site'!I773&lt;&gt;0,'Boletins Nuppa Site'!I773,"NULL")</f>
        <v>110</v>
      </c>
      <c r="G773" s="1" t="str">
        <f>IF('Boletins Nuppa Site'!J773&lt;&gt;0,'Boletins Nuppa Site'!J773,"NULL")</f>
        <v>98.33</v>
      </c>
      <c r="H773" s="19">
        <f>IF('Boletins Nuppa Site'!K773&lt;&gt;0,'Boletins Nuppa Site'!K773,"NULL")</f>
        <v>95</v>
      </c>
      <c r="J773" s="1" t="str">
        <f t="shared" si="12"/>
        <v>INSERT INTO COTACAO (blt_id, pap_id, cot_prc_comum, cot_prc_min, cot_prc_max, cot_prc_med, cot_prc_mediana) VALUES (20, 20, NULL, 90, 110, 98.33, 95);</v>
      </c>
    </row>
    <row r="774" spans="1:10" x14ac:dyDescent="0.3">
      <c r="A774" s="1">
        <v>773</v>
      </c>
      <c r="B774" s="1">
        <v>20</v>
      </c>
      <c r="C774" s="1">
        <v>21</v>
      </c>
      <c r="D774" s="19">
        <f>IF('Boletins Nuppa Site'!G774&lt;&gt;0,'Boletins Nuppa Site'!G774,"NULL")</f>
        <v>90</v>
      </c>
      <c r="E774" s="19">
        <f>IF('Boletins Nuppa Site'!H774&lt;&gt;0,'Boletins Nuppa Site'!H774,"NULL")</f>
        <v>80</v>
      </c>
      <c r="F774" s="19">
        <f>IF('Boletins Nuppa Site'!I774&lt;&gt;0,'Boletins Nuppa Site'!I774,"NULL")</f>
        <v>100</v>
      </c>
      <c r="G774" s="19">
        <f>IF('Boletins Nuppa Site'!J774&lt;&gt;0,'Boletins Nuppa Site'!J774,"NULL")</f>
        <v>92</v>
      </c>
      <c r="H774" s="19">
        <f>IF('Boletins Nuppa Site'!K774&lt;&gt;0,'Boletins Nuppa Site'!K774,"NULL")</f>
        <v>90</v>
      </c>
      <c r="J774" s="1" t="str">
        <f t="shared" si="12"/>
        <v>INSERT INTO COTACAO (blt_id, pap_id, cot_prc_comum, cot_prc_min, cot_prc_max, cot_prc_med, cot_prc_mediana) VALUES (20, 21, 90, 80, 100, 92, 90);</v>
      </c>
    </row>
    <row r="775" spans="1:10" x14ac:dyDescent="0.3">
      <c r="A775" s="1">
        <v>774</v>
      </c>
      <c r="B775" s="1">
        <v>20</v>
      </c>
      <c r="C775" s="1">
        <v>22</v>
      </c>
      <c r="D775" s="19">
        <f>IF('Boletins Nuppa Site'!G775&lt;&gt;0,'Boletins Nuppa Site'!G775,"NULL")</f>
        <v>65</v>
      </c>
      <c r="E775" s="19">
        <f>IF('Boletins Nuppa Site'!H775&lt;&gt;0,'Boletins Nuppa Site'!H775,"NULL")</f>
        <v>48</v>
      </c>
      <c r="F775" s="19">
        <f>IF('Boletins Nuppa Site'!I775&lt;&gt;0,'Boletins Nuppa Site'!I775,"NULL")</f>
        <v>70</v>
      </c>
      <c r="G775" s="19">
        <f>IF('Boletins Nuppa Site'!J775&lt;&gt;0,'Boletins Nuppa Site'!J775,"NULL")</f>
        <v>63</v>
      </c>
      <c r="H775" s="19">
        <f>IF('Boletins Nuppa Site'!K775&lt;&gt;0,'Boletins Nuppa Site'!K775,"NULL")</f>
        <v>65</v>
      </c>
      <c r="J775" s="1" t="str">
        <f t="shared" si="12"/>
        <v>INSERT INTO COTACAO (blt_id, pap_id, cot_prc_comum, cot_prc_min, cot_prc_max, cot_prc_med, cot_prc_mediana) VALUES (20, 22, 65, 48, 70, 63, 65);</v>
      </c>
    </row>
    <row r="776" spans="1:10" x14ac:dyDescent="0.3">
      <c r="A776" s="1">
        <v>775</v>
      </c>
      <c r="B776" s="1">
        <v>20</v>
      </c>
      <c r="C776" s="1">
        <v>23</v>
      </c>
      <c r="D776" s="19">
        <f>IF('Boletins Nuppa Site'!G776&lt;&gt;0,'Boletins Nuppa Site'!G776,"NULL")</f>
        <v>40</v>
      </c>
      <c r="E776" s="19">
        <f>IF('Boletins Nuppa Site'!H776&lt;&gt;0,'Boletins Nuppa Site'!H776,"NULL")</f>
        <v>35</v>
      </c>
      <c r="F776" s="19">
        <f>IF('Boletins Nuppa Site'!I776&lt;&gt;0,'Boletins Nuppa Site'!I776,"NULL")</f>
        <v>60</v>
      </c>
      <c r="G776" s="19">
        <f>IF('Boletins Nuppa Site'!J776&lt;&gt;0,'Boletins Nuppa Site'!J776,"NULL")</f>
        <v>45</v>
      </c>
      <c r="H776" s="1" t="str">
        <f>IF('Boletins Nuppa Site'!K776&lt;&gt;0,'Boletins Nuppa Site'!K776,"NULL")</f>
        <v>42.5</v>
      </c>
      <c r="J776" s="1" t="str">
        <f t="shared" si="12"/>
        <v>INSERT INTO COTACAO (blt_id, pap_id, cot_prc_comum, cot_prc_min, cot_prc_max, cot_prc_med, cot_prc_mediana) VALUES (20, 23, 40, 35, 60, 45, 42.5);</v>
      </c>
    </row>
    <row r="777" spans="1:10" x14ac:dyDescent="0.3">
      <c r="A777" s="1">
        <v>776</v>
      </c>
      <c r="B777" s="1">
        <v>20</v>
      </c>
      <c r="C777" s="1">
        <v>24</v>
      </c>
      <c r="D777" s="1" t="str">
        <f>IF('Boletins Nuppa Site'!G777&lt;&gt;0,'Boletins Nuppa Site'!G777,"NULL")</f>
        <v>NULL</v>
      </c>
      <c r="E777" s="19">
        <f>IF('Boletins Nuppa Site'!H777&lt;&gt;0,'Boletins Nuppa Site'!H777,"NULL")</f>
        <v>100</v>
      </c>
      <c r="F777" s="19">
        <f>IF('Boletins Nuppa Site'!I777&lt;&gt;0,'Boletins Nuppa Site'!I777,"NULL")</f>
        <v>115</v>
      </c>
      <c r="G777" s="1" t="str">
        <f>IF('Boletins Nuppa Site'!J777&lt;&gt;0,'Boletins Nuppa Site'!J777,"NULL")</f>
        <v>108.33</v>
      </c>
      <c r="H777" s="19">
        <f>IF('Boletins Nuppa Site'!K777&lt;&gt;0,'Boletins Nuppa Site'!K777,"NULL")</f>
        <v>110</v>
      </c>
      <c r="J777" s="1" t="str">
        <f t="shared" si="12"/>
        <v>INSERT INTO COTACAO (blt_id, pap_id, cot_prc_comum, cot_prc_min, cot_prc_max, cot_prc_med, cot_prc_mediana) VALUES (20, 24, NULL, 100, 115, 108.33, 110);</v>
      </c>
    </row>
    <row r="778" spans="1:10" x14ac:dyDescent="0.3">
      <c r="A778" s="1">
        <v>777</v>
      </c>
      <c r="B778" s="1">
        <v>20</v>
      </c>
      <c r="C778" s="1">
        <v>25</v>
      </c>
      <c r="D778" s="19">
        <f>IF('Boletins Nuppa Site'!G778&lt;&gt;0,'Boletins Nuppa Site'!G778,"NULL")</f>
        <v>120</v>
      </c>
      <c r="E778" s="19">
        <f>IF('Boletins Nuppa Site'!H778&lt;&gt;0,'Boletins Nuppa Site'!H778,"NULL")</f>
        <v>100</v>
      </c>
      <c r="F778" s="19">
        <f>IF('Boletins Nuppa Site'!I778&lt;&gt;0,'Boletins Nuppa Site'!I778,"NULL")</f>
        <v>120</v>
      </c>
      <c r="G778" s="19">
        <f>IF('Boletins Nuppa Site'!J778&lt;&gt;0,'Boletins Nuppa Site'!J778,"NULL")</f>
        <v>110</v>
      </c>
      <c r="H778" s="19">
        <f>IF('Boletins Nuppa Site'!K778&lt;&gt;0,'Boletins Nuppa Site'!K778,"NULL")</f>
        <v>110</v>
      </c>
      <c r="J778" s="1" t="str">
        <f t="shared" si="12"/>
        <v>INSERT INTO COTACAO (blt_id, pap_id, cot_prc_comum, cot_prc_min, cot_prc_max, cot_prc_med, cot_prc_mediana) VALUES (20, 25, 120, 100, 120, 110, 110);</v>
      </c>
    </row>
    <row r="779" spans="1:10" x14ac:dyDescent="0.3">
      <c r="A779" s="1">
        <v>778</v>
      </c>
      <c r="B779" s="1">
        <v>20</v>
      </c>
      <c r="C779" s="1">
        <v>26</v>
      </c>
      <c r="D779" s="1" t="str">
        <f>IF('Boletins Nuppa Site'!G779&lt;&gt;0,'Boletins Nuppa Site'!G779,"NULL")</f>
        <v>NULL</v>
      </c>
      <c r="E779" s="19">
        <f>IF('Boletins Nuppa Site'!H779&lt;&gt;0,'Boletins Nuppa Site'!H779,"NULL")</f>
        <v>90</v>
      </c>
      <c r="F779" s="19">
        <f>IF('Boletins Nuppa Site'!I779&lt;&gt;0,'Boletins Nuppa Site'!I779,"NULL")</f>
        <v>145</v>
      </c>
      <c r="G779" s="1" t="str">
        <f>IF('Boletins Nuppa Site'!J779&lt;&gt;0,'Boletins Nuppa Site'!J779,"NULL")</f>
        <v>120.83</v>
      </c>
      <c r="H779" s="19">
        <f>IF('Boletins Nuppa Site'!K779&lt;&gt;0,'Boletins Nuppa Site'!K779,"NULL")</f>
        <v>125</v>
      </c>
      <c r="J779" s="1" t="str">
        <f t="shared" si="12"/>
        <v>INSERT INTO COTACAO (blt_id, pap_id, cot_prc_comum, cot_prc_min, cot_prc_max, cot_prc_med, cot_prc_mediana) VALUES (20, 26, NULL, 90, 145, 120.83, 125);</v>
      </c>
    </row>
    <row r="780" spans="1:10" x14ac:dyDescent="0.3">
      <c r="A780" s="1">
        <v>779</v>
      </c>
      <c r="B780" s="1">
        <v>20</v>
      </c>
      <c r="C780" s="1">
        <v>27</v>
      </c>
      <c r="D780" s="19">
        <f>IF('Boletins Nuppa Site'!G780&lt;&gt;0,'Boletins Nuppa Site'!G780,"NULL")</f>
        <v>80</v>
      </c>
      <c r="E780" s="19">
        <f>IF('Boletins Nuppa Site'!H780&lt;&gt;0,'Boletins Nuppa Site'!H780,"NULL")</f>
        <v>60</v>
      </c>
      <c r="F780" s="19">
        <f>IF('Boletins Nuppa Site'!I780&lt;&gt;0,'Boletins Nuppa Site'!I780,"NULL")</f>
        <v>80</v>
      </c>
      <c r="G780" s="19">
        <f>IF('Boletins Nuppa Site'!J780&lt;&gt;0,'Boletins Nuppa Site'!J780,"NULL")</f>
        <v>74</v>
      </c>
      <c r="H780" s="19">
        <f>IF('Boletins Nuppa Site'!K780&lt;&gt;0,'Boletins Nuppa Site'!K780,"NULL")</f>
        <v>75</v>
      </c>
      <c r="J780" s="1" t="str">
        <f t="shared" si="12"/>
        <v>INSERT INTO COTACAO (blt_id, pap_id, cot_prc_comum, cot_prc_min, cot_prc_max, cot_prc_med, cot_prc_mediana) VALUES (20, 27, 80, 60, 80, 74, 75);</v>
      </c>
    </row>
    <row r="781" spans="1:10" x14ac:dyDescent="0.3">
      <c r="A781" s="1">
        <v>780</v>
      </c>
      <c r="B781" s="1">
        <v>20</v>
      </c>
      <c r="C781" s="1">
        <v>28</v>
      </c>
      <c r="D781" s="1" t="str">
        <f>IF('Boletins Nuppa Site'!G781&lt;&gt;0,'Boletins Nuppa Site'!G781,"NULL")</f>
        <v>NULL</v>
      </c>
      <c r="E781" s="19">
        <f>IF('Boletins Nuppa Site'!H781&lt;&gt;0,'Boletins Nuppa Site'!H781,"NULL")</f>
        <v>90</v>
      </c>
      <c r="F781" s="19">
        <f>IF('Boletins Nuppa Site'!I781&lt;&gt;0,'Boletins Nuppa Site'!I781,"NULL")</f>
        <v>130</v>
      </c>
      <c r="G781" s="19">
        <f>IF('Boletins Nuppa Site'!J781&lt;&gt;0,'Boletins Nuppa Site'!J781,"NULL")</f>
        <v>110</v>
      </c>
      <c r="H781" s="19">
        <f>IF('Boletins Nuppa Site'!K781&lt;&gt;0,'Boletins Nuppa Site'!K781,"NULL")</f>
        <v>110</v>
      </c>
      <c r="J781" s="1" t="str">
        <f t="shared" si="12"/>
        <v>INSERT INTO COTACAO (blt_id, pap_id, cot_prc_comum, cot_prc_min, cot_prc_max, cot_prc_med, cot_prc_mediana) VALUES (20, 28, NULL, 90, 130, 110, 110);</v>
      </c>
    </row>
    <row r="782" spans="1:10" x14ac:dyDescent="0.3">
      <c r="A782" s="1">
        <v>781</v>
      </c>
      <c r="B782" s="1">
        <v>20</v>
      </c>
      <c r="C782" s="1">
        <v>29</v>
      </c>
      <c r="D782" s="19">
        <f>IF('Boletins Nuppa Site'!G782&lt;&gt;0,'Boletins Nuppa Site'!G782,"NULL")</f>
        <v>70</v>
      </c>
      <c r="E782" s="19">
        <f>IF('Boletins Nuppa Site'!H782&lt;&gt;0,'Boletins Nuppa Site'!H782,"NULL")</f>
        <v>35</v>
      </c>
      <c r="F782" s="19">
        <f>IF('Boletins Nuppa Site'!I782&lt;&gt;0,'Boletins Nuppa Site'!I782,"NULL")</f>
        <v>70</v>
      </c>
      <c r="G782" s="1" t="str">
        <f>IF('Boletins Nuppa Site'!J782&lt;&gt;0,'Boletins Nuppa Site'!J782,"NULL")</f>
        <v>53.75</v>
      </c>
      <c r="H782" s="19">
        <f>IF('Boletins Nuppa Site'!K782&lt;&gt;0,'Boletins Nuppa Site'!K782,"NULL")</f>
        <v>55</v>
      </c>
      <c r="J782" s="1" t="str">
        <f t="shared" si="12"/>
        <v>INSERT INTO COTACAO (blt_id, pap_id, cot_prc_comum, cot_prc_min, cot_prc_max, cot_prc_med, cot_prc_mediana) VALUES (20, 29, 70, 35, 70, 53.75, 55);</v>
      </c>
    </row>
    <row r="783" spans="1:10" x14ac:dyDescent="0.3">
      <c r="A783" s="1">
        <v>782</v>
      </c>
      <c r="B783" s="1">
        <v>20</v>
      </c>
      <c r="C783" s="1">
        <v>30</v>
      </c>
      <c r="D783" s="1" t="str">
        <f>IF('Boletins Nuppa Site'!G783&lt;&gt;0,'Boletins Nuppa Site'!G783,"NULL")</f>
        <v>NULL</v>
      </c>
      <c r="E783" s="19">
        <f>IF('Boletins Nuppa Site'!H783&lt;&gt;0,'Boletins Nuppa Site'!H783,"NULL")</f>
        <v>70</v>
      </c>
      <c r="F783" s="19">
        <f>IF('Boletins Nuppa Site'!I783&lt;&gt;0,'Boletins Nuppa Site'!I783,"NULL")</f>
        <v>90</v>
      </c>
      <c r="G783" s="1" t="str">
        <f>IF('Boletins Nuppa Site'!J783&lt;&gt;0,'Boletins Nuppa Site'!J783,"NULL")</f>
        <v>78.33</v>
      </c>
      <c r="H783" s="19">
        <f>IF('Boletins Nuppa Site'!K783&lt;&gt;0,'Boletins Nuppa Site'!K783,"NULL")</f>
        <v>75</v>
      </c>
      <c r="J783" s="1" t="str">
        <f t="shared" si="12"/>
        <v>INSERT INTO COTACAO (blt_id, pap_id, cot_prc_comum, cot_prc_min, cot_prc_max, cot_prc_med, cot_prc_mediana) VALUES (20, 30, NULL, 70, 90, 78.33, 75);</v>
      </c>
    </row>
    <row r="784" spans="1:10" x14ac:dyDescent="0.3">
      <c r="A784" s="1">
        <v>783</v>
      </c>
      <c r="B784" s="1">
        <v>20</v>
      </c>
      <c r="C784" s="1">
        <v>31</v>
      </c>
      <c r="D784" s="19">
        <f>IF('Boletins Nuppa Site'!G784&lt;&gt;0,'Boletins Nuppa Site'!G784,"NULL")</f>
        <v>110</v>
      </c>
      <c r="E784" s="19">
        <f>IF('Boletins Nuppa Site'!H784&lt;&gt;0,'Boletins Nuppa Site'!H784,"NULL")</f>
        <v>90</v>
      </c>
      <c r="F784" s="19">
        <f>IF('Boletins Nuppa Site'!I784&lt;&gt;0,'Boletins Nuppa Site'!I784,"NULL")</f>
        <v>130</v>
      </c>
      <c r="G784" s="1" t="str">
        <f>IF('Boletins Nuppa Site'!J784&lt;&gt;0,'Boletins Nuppa Site'!J784,"NULL")</f>
        <v>106.67</v>
      </c>
      <c r="H784" s="19">
        <f>IF('Boletins Nuppa Site'!K784&lt;&gt;0,'Boletins Nuppa Site'!K784,"NULL")</f>
        <v>105</v>
      </c>
      <c r="J784" s="1" t="str">
        <f t="shared" si="12"/>
        <v>INSERT INTO COTACAO (blt_id, pap_id, cot_prc_comum, cot_prc_min, cot_prc_max, cot_prc_med, cot_prc_mediana) VALUES (20, 31, 110, 90, 130, 106.67, 105);</v>
      </c>
    </row>
    <row r="785" spans="1:10" x14ac:dyDescent="0.3">
      <c r="A785" s="1">
        <v>784</v>
      </c>
      <c r="B785" s="1">
        <v>20</v>
      </c>
      <c r="C785" s="1">
        <v>32</v>
      </c>
      <c r="D785" s="19">
        <f>IF('Boletins Nuppa Site'!G785&lt;&gt;0,'Boletins Nuppa Site'!G785,"NULL")</f>
        <v>60</v>
      </c>
      <c r="E785" s="19">
        <f>IF('Boletins Nuppa Site'!H785&lt;&gt;0,'Boletins Nuppa Site'!H785,"NULL")</f>
        <v>45</v>
      </c>
      <c r="F785" s="19">
        <f>IF('Boletins Nuppa Site'!I785&lt;&gt;0,'Boletins Nuppa Site'!I785,"NULL")</f>
        <v>60</v>
      </c>
      <c r="G785" s="19">
        <f>IF('Boletins Nuppa Site'!J785&lt;&gt;0,'Boletins Nuppa Site'!J785,"NULL")</f>
        <v>54</v>
      </c>
      <c r="H785" s="19">
        <f>IF('Boletins Nuppa Site'!K785&lt;&gt;0,'Boletins Nuppa Site'!K785,"NULL")</f>
        <v>55</v>
      </c>
      <c r="J785" s="1" t="str">
        <f t="shared" si="12"/>
        <v>INSERT INTO COTACAO (blt_id, pap_id, cot_prc_comum, cot_prc_min, cot_prc_max, cot_prc_med, cot_prc_mediana) VALUES (20, 32, 60, 45, 60, 54, 55);</v>
      </c>
    </row>
    <row r="786" spans="1:10" x14ac:dyDescent="0.3">
      <c r="A786" s="1">
        <v>785</v>
      </c>
      <c r="B786" s="1">
        <v>20</v>
      </c>
      <c r="C786" s="1">
        <v>33</v>
      </c>
      <c r="D786" s="19">
        <f>IF('Boletins Nuppa Site'!G786&lt;&gt;0,'Boletins Nuppa Site'!G786,"NULL")</f>
        <v>200</v>
      </c>
      <c r="E786" s="19">
        <f>IF('Boletins Nuppa Site'!H786&lt;&gt;0,'Boletins Nuppa Site'!H786,"NULL")</f>
        <v>100</v>
      </c>
      <c r="F786" s="19">
        <f>IF('Boletins Nuppa Site'!I786&lt;&gt;0,'Boletins Nuppa Site'!I786,"NULL")</f>
        <v>200</v>
      </c>
      <c r="G786" s="19">
        <f>IF('Boletins Nuppa Site'!J786&lt;&gt;0,'Boletins Nuppa Site'!J786,"NULL")</f>
        <v>160</v>
      </c>
      <c r="H786" s="19">
        <f>IF('Boletins Nuppa Site'!K786&lt;&gt;0,'Boletins Nuppa Site'!K786,"NULL")</f>
        <v>160</v>
      </c>
      <c r="J786" s="1" t="str">
        <f t="shared" si="12"/>
        <v>INSERT INTO COTACAO (blt_id, pap_id, cot_prc_comum, cot_prc_min, cot_prc_max, cot_prc_med, cot_prc_mediana) VALUES (20, 33, 200, 100, 200, 160, 160);</v>
      </c>
    </row>
    <row r="787" spans="1:10" x14ac:dyDescent="0.3">
      <c r="A787" s="1">
        <v>786</v>
      </c>
      <c r="B787" s="1">
        <v>20</v>
      </c>
      <c r="C787" s="1">
        <v>34</v>
      </c>
      <c r="D787" s="19">
        <f>IF('Boletins Nuppa Site'!G787&lt;&gt;0,'Boletins Nuppa Site'!G787,"NULL")</f>
        <v>180</v>
      </c>
      <c r="E787" s="19">
        <f>IF('Boletins Nuppa Site'!H787&lt;&gt;0,'Boletins Nuppa Site'!H787,"NULL")</f>
        <v>120</v>
      </c>
      <c r="F787" s="19">
        <f>IF('Boletins Nuppa Site'!I787&lt;&gt;0,'Boletins Nuppa Site'!I787,"NULL")</f>
        <v>180</v>
      </c>
      <c r="G787" s="19">
        <f>IF('Boletins Nuppa Site'!J787&lt;&gt;0,'Boletins Nuppa Site'!J787,"NULL")</f>
        <v>158</v>
      </c>
      <c r="H787" s="19">
        <f>IF('Boletins Nuppa Site'!K787&lt;&gt;0,'Boletins Nuppa Site'!K787,"NULL")</f>
        <v>160</v>
      </c>
      <c r="J787" s="1" t="str">
        <f t="shared" si="12"/>
        <v>INSERT INTO COTACAO (blt_id, pap_id, cot_prc_comum, cot_prc_min, cot_prc_max, cot_prc_med, cot_prc_mediana) VALUES (20, 34, 180, 120, 180, 158, 160);</v>
      </c>
    </row>
    <row r="788" spans="1:10" x14ac:dyDescent="0.3">
      <c r="A788" s="1">
        <v>787</v>
      </c>
      <c r="B788" s="1">
        <v>20</v>
      </c>
      <c r="C788" s="1">
        <v>35</v>
      </c>
      <c r="D788" s="1" t="str">
        <f>IF('Boletins Nuppa Site'!G788&lt;&gt;0,'Boletins Nuppa Site'!G788,"NULL")</f>
        <v>NULL</v>
      </c>
      <c r="E788" s="19">
        <f>IF('Boletins Nuppa Site'!H788&lt;&gt;0,'Boletins Nuppa Site'!H788,"NULL")</f>
        <v>200</v>
      </c>
      <c r="F788" s="19">
        <f>IF('Boletins Nuppa Site'!I788&lt;&gt;0,'Boletins Nuppa Site'!I788,"NULL")</f>
        <v>250</v>
      </c>
      <c r="G788" s="1" t="str">
        <f>IF('Boletins Nuppa Site'!J788&lt;&gt;0,'Boletins Nuppa Site'!J788,"NULL")</f>
        <v>223.33</v>
      </c>
      <c r="H788" s="19">
        <f>IF('Boletins Nuppa Site'!K788&lt;&gt;0,'Boletins Nuppa Site'!K788,"NULL")</f>
        <v>220</v>
      </c>
      <c r="J788" s="1" t="str">
        <f t="shared" si="12"/>
        <v>INSERT INTO COTACAO (blt_id, pap_id, cot_prc_comum, cot_prc_min, cot_prc_max, cot_prc_med, cot_prc_mediana) VALUES (20, 35, NULL, 200, 250, 223.33, 220);</v>
      </c>
    </row>
    <row r="789" spans="1:10" x14ac:dyDescent="0.3">
      <c r="A789" s="1">
        <v>788</v>
      </c>
      <c r="B789" s="1">
        <v>20</v>
      </c>
      <c r="C789" s="1">
        <v>36</v>
      </c>
      <c r="D789" s="1" t="str">
        <f>IF('Boletins Nuppa Site'!G789&lt;&gt;0,'Boletins Nuppa Site'!G789,"NULL")</f>
        <v>NULL</v>
      </c>
      <c r="E789" s="19">
        <f>IF('Boletins Nuppa Site'!H789&lt;&gt;0,'Boletins Nuppa Site'!H789,"NULL")</f>
        <v>110</v>
      </c>
      <c r="F789" s="19">
        <f>IF('Boletins Nuppa Site'!I789&lt;&gt;0,'Boletins Nuppa Site'!I789,"NULL")</f>
        <v>110</v>
      </c>
      <c r="G789" s="19">
        <f>IF('Boletins Nuppa Site'!J789&lt;&gt;0,'Boletins Nuppa Site'!J789,"NULL")</f>
        <v>110</v>
      </c>
      <c r="H789" s="19">
        <f>IF('Boletins Nuppa Site'!K789&lt;&gt;0,'Boletins Nuppa Site'!K789,"NULL")</f>
        <v>110</v>
      </c>
      <c r="J789" s="1" t="str">
        <f t="shared" si="12"/>
        <v>INSERT INTO COTACAO (blt_id, pap_id, cot_prc_comum, cot_prc_min, cot_prc_max, cot_prc_med, cot_prc_mediana) VALUES (20, 36, NULL, 110, 110, 110, 110);</v>
      </c>
    </row>
    <row r="790" spans="1:10" x14ac:dyDescent="0.3">
      <c r="A790" s="1">
        <v>789</v>
      </c>
      <c r="B790" s="1">
        <v>20</v>
      </c>
      <c r="C790" s="1">
        <v>37</v>
      </c>
      <c r="D790" s="1" t="str">
        <f>IF('Boletins Nuppa Site'!G790&lt;&gt;0,'Boletins Nuppa Site'!G790,"NULL")</f>
        <v>NULL</v>
      </c>
      <c r="E790" s="19">
        <f>IF('Boletins Nuppa Site'!H790&lt;&gt;0,'Boletins Nuppa Site'!H790,"NULL")</f>
        <v>110</v>
      </c>
      <c r="F790" s="19">
        <f>IF('Boletins Nuppa Site'!I790&lt;&gt;0,'Boletins Nuppa Site'!I790,"NULL")</f>
        <v>110</v>
      </c>
      <c r="G790" s="19">
        <f>IF('Boletins Nuppa Site'!J790&lt;&gt;0,'Boletins Nuppa Site'!J790,"NULL")</f>
        <v>110</v>
      </c>
      <c r="H790" s="19">
        <f>IF('Boletins Nuppa Site'!K790&lt;&gt;0,'Boletins Nuppa Site'!K790,"NULL")</f>
        <v>110</v>
      </c>
      <c r="J790" s="1" t="str">
        <f t="shared" si="12"/>
        <v>INSERT INTO COTACAO (blt_id, pap_id, cot_prc_comum, cot_prc_min, cot_prc_max, cot_prc_med, cot_prc_mediana) VALUES (20, 37, NULL, 110, 110, 110, 110);</v>
      </c>
    </row>
    <row r="791" spans="1:10" x14ac:dyDescent="0.3">
      <c r="A791" s="1">
        <v>790</v>
      </c>
      <c r="B791" s="1">
        <v>20</v>
      </c>
      <c r="C791" s="1">
        <v>38</v>
      </c>
      <c r="D791" s="1" t="str">
        <f>IF('Boletins Nuppa Site'!G791&lt;&gt;0,'Boletins Nuppa Site'!G791,"NULL")</f>
        <v>NULL</v>
      </c>
      <c r="E791" s="1" t="str">
        <f>IF('Boletins Nuppa Site'!H791&lt;&gt;0,'Boletins Nuppa Site'!H791,"NULL")</f>
        <v>NULL</v>
      </c>
      <c r="F791" s="1" t="str">
        <f>IF('Boletins Nuppa Site'!I791&lt;&gt;0,'Boletins Nuppa Site'!I791,"NULL")</f>
        <v>NULL</v>
      </c>
      <c r="G791" s="1" t="str">
        <f>IF('Boletins Nuppa Site'!J791&lt;&gt;0,'Boletins Nuppa Site'!J791,"NULL")</f>
        <v>NULL</v>
      </c>
      <c r="H791" s="1" t="str">
        <f>IF('Boletins Nuppa Site'!K791&lt;&gt;0,'Boletins Nuppa Site'!K791,"NULL")</f>
        <v>NULL</v>
      </c>
      <c r="J791" s="1" t="str">
        <f t="shared" si="12"/>
        <v>INSERT INTO COTACAO (blt_id, pap_id, cot_prc_comum, cot_prc_min, cot_prc_max, cot_prc_med, cot_prc_mediana) VALUES (20, 38, NULL, NULL, NULL, NULL, NULL);</v>
      </c>
    </row>
    <row r="792" spans="1:10" x14ac:dyDescent="0.3">
      <c r="A792" s="1">
        <v>791</v>
      </c>
      <c r="B792" s="1">
        <v>20</v>
      </c>
      <c r="C792" s="1">
        <v>39</v>
      </c>
      <c r="D792" s="1" t="str">
        <f>IF('Boletins Nuppa Site'!G792&lt;&gt;0,'Boletins Nuppa Site'!G792,"NULL")</f>
        <v>NULL</v>
      </c>
      <c r="E792" s="19">
        <f>IF('Boletins Nuppa Site'!H792&lt;&gt;0,'Boletins Nuppa Site'!H792,"NULL")</f>
        <v>48</v>
      </c>
      <c r="F792" s="19">
        <f>IF('Boletins Nuppa Site'!I792&lt;&gt;0,'Boletins Nuppa Site'!I792,"NULL")</f>
        <v>48</v>
      </c>
      <c r="G792" s="19">
        <f>IF('Boletins Nuppa Site'!J792&lt;&gt;0,'Boletins Nuppa Site'!J792,"NULL")</f>
        <v>48</v>
      </c>
      <c r="H792" s="19">
        <f>IF('Boletins Nuppa Site'!K792&lt;&gt;0,'Boletins Nuppa Site'!K792,"NULL")</f>
        <v>48</v>
      </c>
      <c r="J792" s="1" t="str">
        <f t="shared" si="12"/>
        <v>INSERT INTO COTACAO (blt_id, pap_id, cot_prc_comum, cot_prc_min, cot_prc_max, cot_prc_med, cot_prc_mediana) VALUES (20, 39, NULL, 48, 48, 48, 48);</v>
      </c>
    </row>
    <row r="793" spans="1:10" x14ac:dyDescent="0.3">
      <c r="A793" s="1">
        <v>792</v>
      </c>
      <c r="B793" s="1">
        <v>20</v>
      </c>
      <c r="C793" s="1">
        <v>40</v>
      </c>
      <c r="D793" s="1" t="str">
        <f>IF('Boletins Nuppa Site'!G793&lt;&gt;0,'Boletins Nuppa Site'!G793,"NULL")</f>
        <v>NULL</v>
      </c>
      <c r="E793" s="19">
        <f>IF('Boletins Nuppa Site'!H793&lt;&gt;0,'Boletins Nuppa Site'!H793,"NULL")</f>
        <v>65</v>
      </c>
      <c r="F793" s="19">
        <f>IF('Boletins Nuppa Site'!I793&lt;&gt;0,'Boletins Nuppa Site'!I793,"NULL")</f>
        <v>65</v>
      </c>
      <c r="G793" s="19">
        <f>IF('Boletins Nuppa Site'!J793&lt;&gt;0,'Boletins Nuppa Site'!J793,"NULL")</f>
        <v>65</v>
      </c>
      <c r="H793" s="19">
        <f>IF('Boletins Nuppa Site'!K793&lt;&gt;0,'Boletins Nuppa Site'!K793,"NULL")</f>
        <v>65</v>
      </c>
      <c r="J793" s="1" t="str">
        <f t="shared" si="12"/>
        <v>INSERT INTO COTACAO (blt_id, pap_id, cot_prc_comum, cot_prc_min, cot_prc_max, cot_prc_med, cot_prc_mediana) VALUES (20, 40, NULL, 65, 65, 65, 65);</v>
      </c>
    </row>
    <row r="794" spans="1:10" x14ac:dyDescent="0.3">
      <c r="A794" s="1">
        <v>793</v>
      </c>
      <c r="B794" s="1">
        <v>21</v>
      </c>
      <c r="C794" s="1">
        <v>1</v>
      </c>
      <c r="D794" s="1" t="str">
        <f>IF('Boletins Nuppa Site'!G794&lt;&gt;0,'Boletins Nuppa Site'!G794,"NULL")</f>
        <v>NULL</v>
      </c>
      <c r="E794" s="19">
        <f>IF('Boletins Nuppa Site'!H794&lt;&gt;0,'Boletins Nuppa Site'!H794,"NULL")</f>
        <v>48</v>
      </c>
      <c r="F794" s="19">
        <f>IF('Boletins Nuppa Site'!I794&lt;&gt;0,'Boletins Nuppa Site'!I794,"NULL")</f>
        <v>60</v>
      </c>
      <c r="G794" s="19">
        <f>IF('Boletins Nuppa Site'!J794&lt;&gt;0,'Boletins Nuppa Site'!J794,"NULL")</f>
        <v>54</v>
      </c>
      <c r="H794" s="19">
        <f>IF('Boletins Nuppa Site'!K794&lt;&gt;0,'Boletins Nuppa Site'!K794,"NULL")</f>
        <v>54</v>
      </c>
      <c r="J794" s="1" t="str">
        <f t="shared" si="12"/>
        <v>INSERT INTO COTACAO (blt_id, pap_id, cot_prc_comum, cot_prc_min, cot_prc_max, cot_prc_med, cot_prc_mediana) VALUES (21, 1, NULL, 48, 60, 54, 54);</v>
      </c>
    </row>
    <row r="795" spans="1:10" x14ac:dyDescent="0.3">
      <c r="A795" s="1">
        <v>794</v>
      </c>
      <c r="B795" s="1">
        <v>21</v>
      </c>
      <c r="C795" s="1">
        <v>2</v>
      </c>
      <c r="D795" s="19">
        <f>IF('Boletins Nuppa Site'!G795&lt;&gt;0,'Boletins Nuppa Site'!G795,"NULL")</f>
        <v>84</v>
      </c>
      <c r="E795" s="19">
        <f>IF('Boletins Nuppa Site'!H795&lt;&gt;0,'Boletins Nuppa Site'!H795,"NULL")</f>
        <v>84</v>
      </c>
      <c r="F795" s="19">
        <f>IF('Boletins Nuppa Site'!I795&lt;&gt;0,'Boletins Nuppa Site'!I795,"NULL")</f>
        <v>84</v>
      </c>
      <c r="G795" s="19">
        <f>IF('Boletins Nuppa Site'!J795&lt;&gt;0,'Boletins Nuppa Site'!J795,"NULL")</f>
        <v>84</v>
      </c>
      <c r="H795" s="19">
        <f>IF('Boletins Nuppa Site'!K795&lt;&gt;0,'Boletins Nuppa Site'!K795,"NULL")</f>
        <v>84</v>
      </c>
      <c r="J795" s="1" t="str">
        <f t="shared" si="12"/>
        <v>INSERT INTO COTACAO (blt_id, pap_id, cot_prc_comum, cot_prc_min, cot_prc_max, cot_prc_med, cot_prc_mediana) VALUES (21, 2, 84, 84, 84, 84, 84);</v>
      </c>
    </row>
    <row r="796" spans="1:10" x14ac:dyDescent="0.3">
      <c r="A796" s="1">
        <v>795</v>
      </c>
      <c r="B796" s="1">
        <v>21</v>
      </c>
      <c r="C796" s="1">
        <v>3</v>
      </c>
      <c r="D796" s="1" t="str">
        <f>IF('Boletins Nuppa Site'!G796&lt;&gt;0,'Boletins Nuppa Site'!G796,"NULL")</f>
        <v>NULL</v>
      </c>
      <c r="E796" s="19">
        <f>IF('Boletins Nuppa Site'!H796&lt;&gt;0,'Boletins Nuppa Site'!H796,"NULL")</f>
        <v>36</v>
      </c>
      <c r="F796" s="19">
        <f>IF('Boletins Nuppa Site'!I796&lt;&gt;0,'Boletins Nuppa Site'!I796,"NULL")</f>
        <v>42</v>
      </c>
      <c r="G796" s="19">
        <f>IF('Boletins Nuppa Site'!J796&lt;&gt;0,'Boletins Nuppa Site'!J796,"NULL")</f>
        <v>39</v>
      </c>
      <c r="H796" s="19">
        <f>IF('Boletins Nuppa Site'!K796&lt;&gt;0,'Boletins Nuppa Site'!K796,"NULL")</f>
        <v>39</v>
      </c>
      <c r="J796" s="1" t="str">
        <f t="shared" si="12"/>
        <v>INSERT INTO COTACAO (blt_id, pap_id, cot_prc_comum, cot_prc_min, cot_prc_max, cot_prc_med, cot_prc_mediana) VALUES (21, 3, NULL, 36, 42, 39, 39);</v>
      </c>
    </row>
    <row r="797" spans="1:10" x14ac:dyDescent="0.3">
      <c r="A797" s="1">
        <v>796</v>
      </c>
      <c r="B797" s="1">
        <v>21</v>
      </c>
      <c r="C797" s="1">
        <v>4</v>
      </c>
      <c r="D797" s="1" t="str">
        <f>IF('Boletins Nuppa Site'!G797&lt;&gt;0,'Boletins Nuppa Site'!G797,"NULL")</f>
        <v>NULL</v>
      </c>
      <c r="E797" s="19">
        <f>IF('Boletins Nuppa Site'!H797&lt;&gt;0,'Boletins Nuppa Site'!H797,"NULL")</f>
        <v>20</v>
      </c>
      <c r="F797" s="19">
        <f>IF('Boletins Nuppa Site'!I797&lt;&gt;0,'Boletins Nuppa Site'!I797,"NULL")</f>
        <v>24</v>
      </c>
      <c r="G797" s="19">
        <f>IF('Boletins Nuppa Site'!J797&lt;&gt;0,'Boletins Nuppa Site'!J797,"NULL")</f>
        <v>22</v>
      </c>
      <c r="H797" s="19">
        <f>IF('Boletins Nuppa Site'!K797&lt;&gt;0,'Boletins Nuppa Site'!K797,"NULL")</f>
        <v>22</v>
      </c>
      <c r="J797" s="1" t="str">
        <f t="shared" si="12"/>
        <v>INSERT INTO COTACAO (blt_id, pap_id, cot_prc_comum, cot_prc_min, cot_prc_max, cot_prc_med, cot_prc_mediana) VALUES (21, 4, NULL, 20, 24, 22, 22);</v>
      </c>
    </row>
    <row r="798" spans="1:10" x14ac:dyDescent="0.3">
      <c r="A798" s="1">
        <v>797</v>
      </c>
      <c r="B798" s="1">
        <v>21</v>
      </c>
      <c r="C798" s="1">
        <v>5</v>
      </c>
      <c r="D798" s="1" t="str">
        <f>IF('Boletins Nuppa Site'!G798&lt;&gt;0,'Boletins Nuppa Site'!G798,"NULL")</f>
        <v>NULL</v>
      </c>
      <c r="E798" s="19">
        <f>IF('Boletins Nuppa Site'!H798&lt;&gt;0,'Boletins Nuppa Site'!H798,"NULL")</f>
        <v>20</v>
      </c>
      <c r="F798" s="19">
        <f>IF('Boletins Nuppa Site'!I798&lt;&gt;0,'Boletins Nuppa Site'!I798,"NULL")</f>
        <v>24</v>
      </c>
      <c r="G798" s="19">
        <f>IF('Boletins Nuppa Site'!J798&lt;&gt;0,'Boletins Nuppa Site'!J798,"NULL")</f>
        <v>22</v>
      </c>
      <c r="H798" s="19">
        <f>IF('Boletins Nuppa Site'!K798&lt;&gt;0,'Boletins Nuppa Site'!K798,"NULL")</f>
        <v>22</v>
      </c>
      <c r="J798" s="1" t="str">
        <f t="shared" si="12"/>
        <v>INSERT INTO COTACAO (blt_id, pap_id, cot_prc_comum, cot_prc_min, cot_prc_max, cot_prc_med, cot_prc_mediana) VALUES (21, 5, NULL, 20, 24, 22, 22);</v>
      </c>
    </row>
    <row r="799" spans="1:10" x14ac:dyDescent="0.3">
      <c r="A799" s="1">
        <v>798</v>
      </c>
      <c r="B799" s="1">
        <v>21</v>
      </c>
      <c r="C799" s="1">
        <v>6</v>
      </c>
      <c r="D799" s="19">
        <f>IF('Boletins Nuppa Site'!G799&lt;&gt;0,'Boletins Nuppa Site'!G799,"NULL")</f>
        <v>60</v>
      </c>
      <c r="E799" s="19">
        <f>IF('Boletins Nuppa Site'!H799&lt;&gt;0,'Boletins Nuppa Site'!H799,"NULL")</f>
        <v>60</v>
      </c>
      <c r="F799" s="19">
        <f>IF('Boletins Nuppa Site'!I799&lt;&gt;0,'Boletins Nuppa Site'!I799,"NULL")</f>
        <v>60</v>
      </c>
      <c r="G799" s="19">
        <f>IF('Boletins Nuppa Site'!J799&lt;&gt;0,'Boletins Nuppa Site'!J799,"NULL")</f>
        <v>60</v>
      </c>
      <c r="H799" s="19">
        <f>IF('Boletins Nuppa Site'!K799&lt;&gt;0,'Boletins Nuppa Site'!K799,"NULL")</f>
        <v>60</v>
      </c>
      <c r="J799" s="1" t="str">
        <f t="shared" si="12"/>
        <v>INSERT INTO COTACAO (blt_id, pap_id, cot_prc_comum, cot_prc_min, cot_prc_max, cot_prc_med, cot_prc_mediana) VALUES (21, 6, 60, 60, 60, 60, 60);</v>
      </c>
    </row>
    <row r="800" spans="1:10" x14ac:dyDescent="0.3">
      <c r="A800" s="1">
        <v>799</v>
      </c>
      <c r="B800" s="1">
        <v>21</v>
      </c>
      <c r="C800" s="1">
        <v>7</v>
      </c>
      <c r="D800" s="1" t="str">
        <f>IF('Boletins Nuppa Site'!G800&lt;&gt;0,'Boletins Nuppa Site'!G800,"NULL")</f>
        <v>NULL</v>
      </c>
      <c r="E800" s="19">
        <f>IF('Boletins Nuppa Site'!H800&lt;&gt;0,'Boletins Nuppa Site'!H800,"NULL")</f>
        <v>90</v>
      </c>
      <c r="F800" s="19">
        <f>IF('Boletins Nuppa Site'!I800&lt;&gt;0,'Boletins Nuppa Site'!I800,"NULL")</f>
        <v>96</v>
      </c>
      <c r="G800" s="19">
        <f>IF('Boletins Nuppa Site'!J800&lt;&gt;0,'Boletins Nuppa Site'!J800,"NULL")</f>
        <v>93</v>
      </c>
      <c r="H800" s="19">
        <f>IF('Boletins Nuppa Site'!K800&lt;&gt;0,'Boletins Nuppa Site'!K800,"NULL")</f>
        <v>93</v>
      </c>
      <c r="J800" s="1" t="str">
        <f t="shared" si="12"/>
        <v>INSERT INTO COTACAO (blt_id, pap_id, cot_prc_comum, cot_prc_min, cot_prc_max, cot_prc_med, cot_prc_mediana) VALUES (21, 7, NULL, 90, 96, 93, 93);</v>
      </c>
    </row>
    <row r="801" spans="1:10" x14ac:dyDescent="0.3">
      <c r="A801" s="1">
        <v>800</v>
      </c>
      <c r="B801" s="1">
        <v>21</v>
      </c>
      <c r="C801" s="1">
        <v>8</v>
      </c>
      <c r="D801" s="19">
        <f>IF('Boletins Nuppa Site'!G801&lt;&gt;0,'Boletins Nuppa Site'!G801,"NULL")</f>
        <v>84</v>
      </c>
      <c r="E801" s="19">
        <f>IF('Boletins Nuppa Site'!H801&lt;&gt;0,'Boletins Nuppa Site'!H801,"NULL")</f>
        <v>84</v>
      </c>
      <c r="F801" s="19">
        <f>IF('Boletins Nuppa Site'!I801&lt;&gt;0,'Boletins Nuppa Site'!I801,"NULL")</f>
        <v>84</v>
      </c>
      <c r="G801" s="19">
        <f>IF('Boletins Nuppa Site'!J801&lt;&gt;0,'Boletins Nuppa Site'!J801,"NULL")</f>
        <v>84</v>
      </c>
      <c r="H801" s="19">
        <f>IF('Boletins Nuppa Site'!K801&lt;&gt;0,'Boletins Nuppa Site'!K801,"NULL")</f>
        <v>84</v>
      </c>
      <c r="J801" s="1" t="str">
        <f t="shared" si="12"/>
        <v>INSERT INTO COTACAO (blt_id, pap_id, cot_prc_comum, cot_prc_min, cot_prc_max, cot_prc_med, cot_prc_mediana) VALUES (21, 8, 84, 84, 84, 84, 84);</v>
      </c>
    </row>
    <row r="802" spans="1:10" x14ac:dyDescent="0.3">
      <c r="A802" s="1">
        <v>801</v>
      </c>
      <c r="B802" s="1">
        <v>21</v>
      </c>
      <c r="C802" s="1">
        <v>9</v>
      </c>
      <c r="D802" s="1" t="str">
        <f>IF('Boletins Nuppa Site'!G802&lt;&gt;0,'Boletins Nuppa Site'!G802,"NULL")</f>
        <v>NULL</v>
      </c>
      <c r="E802" s="19">
        <f>IF('Boletins Nuppa Site'!H802&lt;&gt;0,'Boletins Nuppa Site'!H802,"NULL")</f>
        <v>24</v>
      </c>
      <c r="F802" s="19">
        <f>IF('Boletins Nuppa Site'!I802&lt;&gt;0,'Boletins Nuppa Site'!I802,"NULL")</f>
        <v>30</v>
      </c>
      <c r="G802" s="19">
        <f>IF('Boletins Nuppa Site'!J802&lt;&gt;0,'Boletins Nuppa Site'!J802,"NULL")</f>
        <v>27</v>
      </c>
      <c r="H802" s="19">
        <f>IF('Boletins Nuppa Site'!K802&lt;&gt;0,'Boletins Nuppa Site'!K802,"NULL")</f>
        <v>27</v>
      </c>
      <c r="J802" s="1" t="str">
        <f t="shared" si="12"/>
        <v>INSERT INTO COTACAO (blt_id, pap_id, cot_prc_comum, cot_prc_min, cot_prc_max, cot_prc_med, cot_prc_mediana) VALUES (21, 9, NULL, 24, 30, 27, 27);</v>
      </c>
    </row>
    <row r="803" spans="1:10" x14ac:dyDescent="0.3">
      <c r="A803" s="1">
        <v>802</v>
      </c>
      <c r="B803" s="1">
        <v>21</v>
      </c>
      <c r="C803" s="1">
        <v>10</v>
      </c>
      <c r="D803" s="1" t="str">
        <f>IF('Boletins Nuppa Site'!G803&lt;&gt;0,'Boletins Nuppa Site'!G803,"NULL")</f>
        <v>NULL</v>
      </c>
      <c r="E803" s="19">
        <f>IF('Boletins Nuppa Site'!H803&lt;&gt;0,'Boletins Nuppa Site'!H803,"NULL")</f>
        <v>96</v>
      </c>
      <c r="F803" s="19">
        <f>IF('Boletins Nuppa Site'!I803&lt;&gt;0,'Boletins Nuppa Site'!I803,"NULL")</f>
        <v>108</v>
      </c>
      <c r="G803" s="19">
        <f>IF('Boletins Nuppa Site'!J803&lt;&gt;0,'Boletins Nuppa Site'!J803,"NULL")</f>
        <v>102</v>
      </c>
      <c r="H803" s="19">
        <f>IF('Boletins Nuppa Site'!K803&lt;&gt;0,'Boletins Nuppa Site'!K803,"NULL")</f>
        <v>102</v>
      </c>
      <c r="J803" s="1" t="str">
        <f t="shared" si="12"/>
        <v>INSERT INTO COTACAO (blt_id, pap_id, cot_prc_comum, cot_prc_min, cot_prc_max, cot_prc_med, cot_prc_mediana) VALUES (21, 10, NULL, 96, 108, 102, 102);</v>
      </c>
    </row>
    <row r="804" spans="1:10" x14ac:dyDescent="0.3">
      <c r="A804" s="1">
        <v>803</v>
      </c>
      <c r="B804" s="1">
        <v>21</v>
      </c>
      <c r="C804" s="1">
        <v>11</v>
      </c>
      <c r="D804" s="1" t="str">
        <f>IF('Boletins Nuppa Site'!G804&lt;&gt;0,'Boletins Nuppa Site'!G804,"NULL")</f>
        <v>NULL</v>
      </c>
      <c r="E804" s="19">
        <f>IF('Boletins Nuppa Site'!H804&lt;&gt;0,'Boletins Nuppa Site'!H804,"NULL")</f>
        <v>20</v>
      </c>
      <c r="F804" s="19">
        <f>IF('Boletins Nuppa Site'!I804&lt;&gt;0,'Boletins Nuppa Site'!I804,"NULL")</f>
        <v>24</v>
      </c>
      <c r="G804" s="19">
        <f>IF('Boletins Nuppa Site'!J804&lt;&gt;0,'Boletins Nuppa Site'!J804,"NULL")</f>
        <v>22</v>
      </c>
      <c r="H804" s="19">
        <f>IF('Boletins Nuppa Site'!K804&lt;&gt;0,'Boletins Nuppa Site'!K804,"NULL")</f>
        <v>22</v>
      </c>
      <c r="J804" s="1" t="str">
        <f t="shared" si="12"/>
        <v>INSERT INTO COTACAO (blt_id, pap_id, cot_prc_comum, cot_prc_min, cot_prc_max, cot_prc_med, cot_prc_mediana) VALUES (21, 11, NULL, 20, 24, 22, 22);</v>
      </c>
    </row>
    <row r="805" spans="1:10" x14ac:dyDescent="0.3">
      <c r="A805" s="1">
        <v>804</v>
      </c>
      <c r="B805" s="1">
        <v>21</v>
      </c>
      <c r="C805" s="1">
        <v>12</v>
      </c>
      <c r="D805" s="1" t="str">
        <f>IF('Boletins Nuppa Site'!G805&lt;&gt;0,'Boletins Nuppa Site'!G805,"NULL")</f>
        <v>NULL</v>
      </c>
      <c r="E805" s="19">
        <f>IF('Boletins Nuppa Site'!H805&lt;&gt;0,'Boletins Nuppa Site'!H805,"NULL")</f>
        <v>72</v>
      </c>
      <c r="F805" s="19">
        <f>IF('Boletins Nuppa Site'!I805&lt;&gt;0,'Boletins Nuppa Site'!I805,"NULL")</f>
        <v>78</v>
      </c>
      <c r="G805" s="19">
        <f>IF('Boletins Nuppa Site'!J805&lt;&gt;0,'Boletins Nuppa Site'!J805,"NULL")</f>
        <v>75</v>
      </c>
      <c r="H805" s="19">
        <f>IF('Boletins Nuppa Site'!K805&lt;&gt;0,'Boletins Nuppa Site'!K805,"NULL")</f>
        <v>75</v>
      </c>
      <c r="J805" s="1" t="str">
        <f t="shared" si="12"/>
        <v>INSERT INTO COTACAO (blt_id, pap_id, cot_prc_comum, cot_prc_min, cot_prc_max, cot_prc_med, cot_prc_mediana) VALUES (21, 12, NULL, 72, 78, 75, 75);</v>
      </c>
    </row>
    <row r="806" spans="1:10" x14ac:dyDescent="0.3">
      <c r="A806" s="1">
        <v>805</v>
      </c>
      <c r="B806" s="1">
        <v>21</v>
      </c>
      <c r="C806" s="1">
        <v>13</v>
      </c>
      <c r="D806" s="19">
        <f>IF('Boletins Nuppa Site'!G806&lt;&gt;0,'Boletins Nuppa Site'!G806,"NULL")</f>
        <v>60</v>
      </c>
      <c r="E806" s="19">
        <f>IF('Boletins Nuppa Site'!H806&lt;&gt;0,'Boletins Nuppa Site'!H806,"NULL")</f>
        <v>60</v>
      </c>
      <c r="F806" s="19">
        <f>IF('Boletins Nuppa Site'!I806&lt;&gt;0,'Boletins Nuppa Site'!I806,"NULL")</f>
        <v>60</v>
      </c>
      <c r="G806" s="19">
        <f>IF('Boletins Nuppa Site'!J806&lt;&gt;0,'Boletins Nuppa Site'!J806,"NULL")</f>
        <v>60</v>
      </c>
      <c r="H806" s="19">
        <f>IF('Boletins Nuppa Site'!K806&lt;&gt;0,'Boletins Nuppa Site'!K806,"NULL")</f>
        <v>60</v>
      </c>
      <c r="J806" s="1" t="str">
        <f t="shared" si="12"/>
        <v>INSERT INTO COTACAO (blt_id, pap_id, cot_prc_comum, cot_prc_min, cot_prc_max, cot_prc_med, cot_prc_mediana) VALUES (21, 13, 60, 60, 60, 60, 60);</v>
      </c>
    </row>
    <row r="807" spans="1:10" x14ac:dyDescent="0.3">
      <c r="A807" s="1">
        <v>806</v>
      </c>
      <c r="B807" s="1">
        <v>21</v>
      </c>
      <c r="C807" s="1">
        <v>14</v>
      </c>
      <c r="D807" s="1" t="str">
        <f>IF('Boletins Nuppa Site'!G807&lt;&gt;0,'Boletins Nuppa Site'!G807,"NULL")</f>
        <v>NULL</v>
      </c>
      <c r="E807" s="19">
        <f>IF('Boletins Nuppa Site'!H807&lt;&gt;0,'Boletins Nuppa Site'!H807,"NULL")</f>
        <v>66</v>
      </c>
      <c r="F807" s="19">
        <f>IF('Boletins Nuppa Site'!I807&lt;&gt;0,'Boletins Nuppa Site'!I807,"NULL")</f>
        <v>72</v>
      </c>
      <c r="G807" s="19">
        <f>IF('Boletins Nuppa Site'!J807&lt;&gt;0,'Boletins Nuppa Site'!J807,"NULL")</f>
        <v>69</v>
      </c>
      <c r="H807" s="19">
        <f>IF('Boletins Nuppa Site'!K807&lt;&gt;0,'Boletins Nuppa Site'!K807,"NULL")</f>
        <v>69</v>
      </c>
      <c r="J807" s="1" t="str">
        <f t="shared" si="12"/>
        <v>INSERT INTO COTACAO (blt_id, pap_id, cot_prc_comum, cot_prc_min, cot_prc_max, cot_prc_med, cot_prc_mediana) VALUES (21, 14, NULL, 66, 72, 69, 69);</v>
      </c>
    </row>
    <row r="808" spans="1:10" x14ac:dyDescent="0.3">
      <c r="A808" s="1">
        <v>807</v>
      </c>
      <c r="B808" s="1">
        <v>21</v>
      </c>
      <c r="C808" s="1">
        <v>15</v>
      </c>
      <c r="D808" s="1" t="str">
        <f>IF('Boletins Nuppa Site'!G808&lt;&gt;0,'Boletins Nuppa Site'!G808,"NULL")</f>
        <v>NULL</v>
      </c>
      <c r="E808" s="19">
        <f>IF('Boletins Nuppa Site'!H808&lt;&gt;0,'Boletins Nuppa Site'!H808,"NULL")</f>
        <v>45</v>
      </c>
      <c r="F808" s="19">
        <f>IF('Boletins Nuppa Site'!I808&lt;&gt;0,'Boletins Nuppa Site'!I808,"NULL")</f>
        <v>48</v>
      </c>
      <c r="G808" s="1" t="str">
        <f>IF('Boletins Nuppa Site'!J808&lt;&gt;0,'Boletins Nuppa Site'!J808,"NULL")</f>
        <v>46.5</v>
      </c>
      <c r="H808" s="1" t="str">
        <f>IF('Boletins Nuppa Site'!K808&lt;&gt;0,'Boletins Nuppa Site'!K808,"NULL")</f>
        <v>46.5</v>
      </c>
      <c r="J808" s="1" t="str">
        <f t="shared" si="12"/>
        <v>INSERT INTO COTACAO (blt_id, pap_id, cot_prc_comum, cot_prc_min, cot_prc_max, cot_prc_med, cot_prc_mediana) VALUES (21, 15, NULL, 45, 48, 46.5, 46.5);</v>
      </c>
    </row>
    <row r="809" spans="1:10" x14ac:dyDescent="0.3">
      <c r="A809" s="1">
        <v>808</v>
      </c>
      <c r="B809" s="1">
        <v>21</v>
      </c>
      <c r="C809" s="1">
        <v>16</v>
      </c>
      <c r="D809" s="1" t="str">
        <f>IF('Boletins Nuppa Site'!G809&lt;&gt;0,'Boletins Nuppa Site'!G809,"NULL")</f>
        <v>NULL</v>
      </c>
      <c r="E809" s="19">
        <f>IF('Boletins Nuppa Site'!H809&lt;&gt;0,'Boletins Nuppa Site'!H809,"NULL")</f>
        <v>48</v>
      </c>
      <c r="F809" s="19">
        <f>IF('Boletins Nuppa Site'!I809&lt;&gt;0,'Boletins Nuppa Site'!I809,"NULL")</f>
        <v>54</v>
      </c>
      <c r="G809" s="19">
        <f>IF('Boletins Nuppa Site'!J809&lt;&gt;0,'Boletins Nuppa Site'!J809,"NULL")</f>
        <v>51</v>
      </c>
      <c r="H809" s="19">
        <f>IF('Boletins Nuppa Site'!K809&lt;&gt;0,'Boletins Nuppa Site'!K809,"NULL")</f>
        <v>51</v>
      </c>
      <c r="J809" s="1" t="str">
        <f t="shared" si="12"/>
        <v>INSERT INTO COTACAO (blt_id, pap_id, cot_prc_comum, cot_prc_min, cot_prc_max, cot_prc_med, cot_prc_mediana) VALUES (21, 16, NULL, 48, 54, 51, 51);</v>
      </c>
    </row>
    <row r="810" spans="1:10" x14ac:dyDescent="0.3">
      <c r="A810" s="1">
        <v>809</v>
      </c>
      <c r="B810" s="1">
        <v>21</v>
      </c>
      <c r="C810" s="1">
        <v>17</v>
      </c>
      <c r="D810" s="19">
        <f>IF('Boletins Nuppa Site'!G810&lt;&gt;0,'Boletins Nuppa Site'!G810,"NULL")</f>
        <v>5</v>
      </c>
      <c r="E810" s="19">
        <f>IF('Boletins Nuppa Site'!H810&lt;&gt;0,'Boletins Nuppa Site'!H810,"NULL")</f>
        <v>5</v>
      </c>
      <c r="F810" s="19">
        <f>IF('Boletins Nuppa Site'!I810&lt;&gt;0,'Boletins Nuppa Site'!I810,"NULL")</f>
        <v>5</v>
      </c>
      <c r="G810" s="19">
        <f>IF('Boletins Nuppa Site'!J810&lt;&gt;0,'Boletins Nuppa Site'!J810,"NULL")</f>
        <v>5</v>
      </c>
      <c r="H810" s="19">
        <f>IF('Boletins Nuppa Site'!K810&lt;&gt;0,'Boletins Nuppa Site'!K810,"NULL")</f>
        <v>5</v>
      </c>
      <c r="J810" s="1" t="str">
        <f t="shared" si="12"/>
        <v>INSERT INTO COTACAO (blt_id, pap_id, cot_prc_comum, cot_prc_min, cot_prc_max, cot_prc_med, cot_prc_mediana) VALUES (21, 17, 5, 5, 5, 5, 5);</v>
      </c>
    </row>
    <row r="811" spans="1:10" x14ac:dyDescent="0.3">
      <c r="A811" s="1">
        <v>810</v>
      </c>
      <c r="B811" s="1">
        <v>21</v>
      </c>
      <c r="C811" s="1">
        <v>18</v>
      </c>
      <c r="D811" s="19">
        <f>IF('Boletins Nuppa Site'!G811&lt;&gt;0,'Boletins Nuppa Site'!G811,"NULL")</f>
        <v>20</v>
      </c>
      <c r="E811" s="19">
        <f>IF('Boletins Nuppa Site'!H811&lt;&gt;0,'Boletins Nuppa Site'!H811,"NULL")</f>
        <v>20</v>
      </c>
      <c r="F811" s="19">
        <f>IF('Boletins Nuppa Site'!I811&lt;&gt;0,'Boletins Nuppa Site'!I811,"NULL")</f>
        <v>20</v>
      </c>
      <c r="G811" s="19">
        <f>IF('Boletins Nuppa Site'!J811&lt;&gt;0,'Boletins Nuppa Site'!J811,"NULL")</f>
        <v>20</v>
      </c>
      <c r="H811" s="19">
        <f>IF('Boletins Nuppa Site'!K811&lt;&gt;0,'Boletins Nuppa Site'!K811,"NULL")</f>
        <v>20</v>
      </c>
      <c r="J811" s="1" t="str">
        <f t="shared" si="12"/>
        <v>INSERT INTO COTACAO (blt_id, pap_id, cot_prc_comum, cot_prc_min, cot_prc_max, cot_prc_med, cot_prc_mediana) VALUES (21, 18, 20, 20, 20, 20, 20);</v>
      </c>
    </row>
    <row r="812" spans="1:10" x14ac:dyDescent="0.3">
      <c r="A812" s="1">
        <v>811</v>
      </c>
      <c r="B812" s="1">
        <v>21</v>
      </c>
      <c r="C812" s="1">
        <v>19</v>
      </c>
      <c r="D812" s="1" t="str">
        <f>IF('Boletins Nuppa Site'!G812&lt;&gt;0,'Boletins Nuppa Site'!G812,"NULL")</f>
        <v>NULL</v>
      </c>
      <c r="E812" s="19">
        <f>IF('Boletins Nuppa Site'!H812&lt;&gt;0,'Boletins Nuppa Site'!H812,"NULL")</f>
        <v>25</v>
      </c>
      <c r="F812" s="19">
        <f>IF('Boletins Nuppa Site'!I812&lt;&gt;0,'Boletins Nuppa Site'!I812,"NULL")</f>
        <v>35</v>
      </c>
      <c r="G812" s="19">
        <f>IF('Boletins Nuppa Site'!J812&lt;&gt;0,'Boletins Nuppa Site'!J812,"NULL")</f>
        <v>30</v>
      </c>
      <c r="H812" s="19">
        <f>IF('Boletins Nuppa Site'!K812&lt;&gt;0,'Boletins Nuppa Site'!K812,"NULL")</f>
        <v>30</v>
      </c>
      <c r="J812" s="1" t="str">
        <f t="shared" si="12"/>
        <v>INSERT INTO COTACAO (blt_id, pap_id, cot_prc_comum, cot_prc_min, cot_prc_max, cot_prc_med, cot_prc_mediana) VALUES (21, 19, NULL, 25, 35, 30, 30);</v>
      </c>
    </row>
    <row r="813" spans="1:10" x14ac:dyDescent="0.3">
      <c r="A813" s="1">
        <v>812</v>
      </c>
      <c r="B813" s="1">
        <v>21</v>
      </c>
      <c r="C813" s="1">
        <v>20</v>
      </c>
      <c r="D813" s="1" t="str">
        <f>IF('Boletins Nuppa Site'!G813&lt;&gt;0,'Boletins Nuppa Site'!G813,"NULL")</f>
        <v>NULL</v>
      </c>
      <c r="E813" s="19">
        <f>IF('Boletins Nuppa Site'!H813&lt;&gt;0,'Boletins Nuppa Site'!H813,"NULL")</f>
        <v>80</v>
      </c>
      <c r="F813" s="19">
        <f>IF('Boletins Nuppa Site'!I813&lt;&gt;0,'Boletins Nuppa Site'!I813,"NULL")</f>
        <v>95</v>
      </c>
      <c r="G813" s="1" t="str">
        <f>IF('Boletins Nuppa Site'!J813&lt;&gt;0,'Boletins Nuppa Site'!J813,"NULL")</f>
        <v>87.5</v>
      </c>
      <c r="H813" s="1" t="str">
        <f>IF('Boletins Nuppa Site'!K813&lt;&gt;0,'Boletins Nuppa Site'!K813,"NULL")</f>
        <v>87.5</v>
      </c>
      <c r="J813" s="1" t="str">
        <f t="shared" si="12"/>
        <v>INSERT INTO COTACAO (blt_id, pap_id, cot_prc_comum, cot_prc_min, cot_prc_max, cot_prc_med, cot_prc_mediana) VALUES (21, 20, NULL, 80, 95, 87.5, 87.5);</v>
      </c>
    </row>
    <row r="814" spans="1:10" x14ac:dyDescent="0.3">
      <c r="A814" s="1">
        <v>813</v>
      </c>
      <c r="B814" s="1">
        <v>21</v>
      </c>
      <c r="C814" s="1">
        <v>21</v>
      </c>
      <c r="D814" s="19">
        <f>IF('Boletins Nuppa Site'!G814&lt;&gt;0,'Boletins Nuppa Site'!G814,"NULL")</f>
        <v>50</v>
      </c>
      <c r="E814" s="19">
        <f>IF('Boletins Nuppa Site'!H814&lt;&gt;0,'Boletins Nuppa Site'!H814,"NULL")</f>
        <v>50</v>
      </c>
      <c r="F814" s="19">
        <f>IF('Boletins Nuppa Site'!I814&lt;&gt;0,'Boletins Nuppa Site'!I814,"NULL")</f>
        <v>60</v>
      </c>
      <c r="G814" s="19">
        <f>IF('Boletins Nuppa Site'!J814&lt;&gt;0,'Boletins Nuppa Site'!J814,"NULL")</f>
        <v>54</v>
      </c>
      <c r="H814" s="19">
        <f>IF('Boletins Nuppa Site'!K814&lt;&gt;0,'Boletins Nuppa Site'!K814,"NULL")</f>
        <v>50</v>
      </c>
      <c r="J814" s="1" t="str">
        <f t="shared" si="12"/>
        <v>INSERT INTO COTACAO (blt_id, pap_id, cot_prc_comum, cot_prc_min, cot_prc_max, cot_prc_med, cot_prc_mediana) VALUES (21, 21, 50, 50, 60, 54, 50);</v>
      </c>
    </row>
    <row r="815" spans="1:10" x14ac:dyDescent="0.3">
      <c r="A815" s="1">
        <v>814</v>
      </c>
      <c r="B815" s="1">
        <v>21</v>
      </c>
      <c r="C815" s="1">
        <v>22</v>
      </c>
      <c r="D815" s="19">
        <f>IF('Boletins Nuppa Site'!G815&lt;&gt;0,'Boletins Nuppa Site'!G815,"NULL")</f>
        <v>65</v>
      </c>
      <c r="E815" s="19">
        <f>IF('Boletins Nuppa Site'!H815&lt;&gt;0,'Boletins Nuppa Site'!H815,"NULL")</f>
        <v>45</v>
      </c>
      <c r="F815" s="19">
        <f>IF('Boletins Nuppa Site'!I815&lt;&gt;0,'Boletins Nuppa Site'!I815,"NULL")</f>
        <v>65</v>
      </c>
      <c r="G815" s="19">
        <f>IF('Boletins Nuppa Site'!J815&lt;&gt;0,'Boletins Nuppa Site'!J815,"NULL")</f>
        <v>57</v>
      </c>
      <c r="H815" s="19">
        <f>IF('Boletins Nuppa Site'!K815&lt;&gt;0,'Boletins Nuppa Site'!K815,"NULL")</f>
        <v>60</v>
      </c>
      <c r="J815" s="1" t="str">
        <f t="shared" si="12"/>
        <v>INSERT INTO COTACAO (blt_id, pap_id, cot_prc_comum, cot_prc_min, cot_prc_max, cot_prc_med, cot_prc_mediana) VALUES (21, 22, 65, 45, 65, 57, 60);</v>
      </c>
    </row>
    <row r="816" spans="1:10" x14ac:dyDescent="0.3">
      <c r="A816" s="1">
        <v>815</v>
      </c>
      <c r="B816" s="1">
        <v>21</v>
      </c>
      <c r="C816" s="1">
        <v>23</v>
      </c>
      <c r="D816" s="1" t="str">
        <f>IF('Boletins Nuppa Site'!G816&lt;&gt;0,'Boletins Nuppa Site'!G816,"NULL")</f>
        <v>NULL</v>
      </c>
      <c r="E816" s="19">
        <f>IF('Boletins Nuppa Site'!H816&lt;&gt;0,'Boletins Nuppa Site'!H816,"NULL")</f>
        <v>40</v>
      </c>
      <c r="F816" s="19">
        <f>IF('Boletins Nuppa Site'!I816&lt;&gt;0,'Boletins Nuppa Site'!I816,"NULL")</f>
        <v>55</v>
      </c>
      <c r="G816" s="1" t="str">
        <f>IF('Boletins Nuppa Site'!J816&lt;&gt;0,'Boletins Nuppa Site'!J816,"NULL")</f>
        <v>47.5</v>
      </c>
      <c r="H816" s="1" t="str">
        <f>IF('Boletins Nuppa Site'!K816&lt;&gt;0,'Boletins Nuppa Site'!K816,"NULL")</f>
        <v>47.5</v>
      </c>
      <c r="J816" s="1" t="str">
        <f t="shared" si="12"/>
        <v>INSERT INTO COTACAO (blt_id, pap_id, cot_prc_comum, cot_prc_min, cot_prc_max, cot_prc_med, cot_prc_mediana) VALUES (21, 23, NULL, 40, 55, 47.5, 47.5);</v>
      </c>
    </row>
    <row r="817" spans="1:10" x14ac:dyDescent="0.3">
      <c r="A817" s="1">
        <v>816</v>
      </c>
      <c r="B817" s="1">
        <v>21</v>
      </c>
      <c r="C817" s="1">
        <v>24</v>
      </c>
      <c r="D817" s="1" t="str">
        <f>IF('Boletins Nuppa Site'!G817&lt;&gt;0,'Boletins Nuppa Site'!G817,"NULL")</f>
        <v>NULL</v>
      </c>
      <c r="E817" s="19">
        <f>IF('Boletins Nuppa Site'!H817&lt;&gt;0,'Boletins Nuppa Site'!H817,"NULL")</f>
        <v>90</v>
      </c>
      <c r="F817" s="19">
        <f>IF('Boletins Nuppa Site'!I817&lt;&gt;0,'Boletins Nuppa Site'!I817,"NULL")</f>
        <v>110</v>
      </c>
      <c r="G817" s="19">
        <f>IF('Boletins Nuppa Site'!J817&lt;&gt;0,'Boletins Nuppa Site'!J817,"NULL")</f>
        <v>100</v>
      </c>
      <c r="H817" s="19">
        <f>IF('Boletins Nuppa Site'!K817&lt;&gt;0,'Boletins Nuppa Site'!K817,"NULL")</f>
        <v>100</v>
      </c>
      <c r="J817" s="1" t="str">
        <f t="shared" si="12"/>
        <v>INSERT INTO COTACAO (blt_id, pap_id, cot_prc_comum, cot_prc_min, cot_prc_max, cot_prc_med, cot_prc_mediana) VALUES (21, 24, NULL, 90, 110, 100, 100);</v>
      </c>
    </row>
    <row r="818" spans="1:10" x14ac:dyDescent="0.3">
      <c r="A818" s="1">
        <v>817</v>
      </c>
      <c r="B818" s="1">
        <v>21</v>
      </c>
      <c r="C818" s="1">
        <v>25</v>
      </c>
      <c r="D818" s="19">
        <f>IF('Boletins Nuppa Site'!G818&lt;&gt;0,'Boletins Nuppa Site'!G818,"NULL")</f>
        <v>110</v>
      </c>
      <c r="E818" s="19">
        <f>IF('Boletins Nuppa Site'!H818&lt;&gt;0,'Boletins Nuppa Site'!H818,"NULL")</f>
        <v>90</v>
      </c>
      <c r="F818" s="19">
        <f>IF('Boletins Nuppa Site'!I818&lt;&gt;0,'Boletins Nuppa Site'!I818,"NULL")</f>
        <v>110</v>
      </c>
      <c r="G818" s="1" t="str">
        <f>IF('Boletins Nuppa Site'!J818&lt;&gt;0,'Boletins Nuppa Site'!J818,"NULL")</f>
        <v>102.5</v>
      </c>
      <c r="H818" s="19">
        <f>IF('Boletins Nuppa Site'!K818&lt;&gt;0,'Boletins Nuppa Site'!K818,"NULL")</f>
        <v>105</v>
      </c>
      <c r="J818" s="1" t="str">
        <f t="shared" si="12"/>
        <v>INSERT INTO COTACAO (blt_id, pap_id, cot_prc_comum, cot_prc_min, cot_prc_max, cot_prc_med, cot_prc_mediana) VALUES (21, 25, 110, 90, 110, 102.5, 105);</v>
      </c>
    </row>
    <row r="819" spans="1:10" x14ac:dyDescent="0.3">
      <c r="A819" s="1">
        <v>818</v>
      </c>
      <c r="B819" s="1">
        <v>21</v>
      </c>
      <c r="C819" s="1">
        <v>26</v>
      </c>
      <c r="D819" s="19">
        <f>IF('Boletins Nuppa Site'!G819&lt;&gt;0,'Boletins Nuppa Site'!G819,"NULL")</f>
        <v>80</v>
      </c>
      <c r="E819" s="19">
        <f>IF('Boletins Nuppa Site'!H819&lt;&gt;0,'Boletins Nuppa Site'!H819,"NULL")</f>
        <v>70</v>
      </c>
      <c r="F819" s="19">
        <f>IF('Boletins Nuppa Site'!I819&lt;&gt;0,'Boletins Nuppa Site'!I819,"NULL")</f>
        <v>100</v>
      </c>
      <c r="G819" s="19">
        <f>IF('Boletins Nuppa Site'!J819&lt;&gt;0,'Boletins Nuppa Site'!J819,"NULL")</f>
        <v>84</v>
      </c>
      <c r="H819" s="19">
        <f>IF('Boletins Nuppa Site'!K819&lt;&gt;0,'Boletins Nuppa Site'!K819,"NULL")</f>
        <v>80</v>
      </c>
      <c r="J819" s="1" t="str">
        <f t="shared" si="12"/>
        <v>INSERT INTO COTACAO (blt_id, pap_id, cot_prc_comum, cot_prc_min, cot_prc_max, cot_prc_med, cot_prc_mediana) VALUES (21, 26, 80, 70, 100, 84, 80);</v>
      </c>
    </row>
    <row r="820" spans="1:10" x14ac:dyDescent="0.3">
      <c r="A820" s="1">
        <v>819</v>
      </c>
      <c r="B820" s="1">
        <v>21</v>
      </c>
      <c r="C820" s="1">
        <v>27</v>
      </c>
      <c r="D820" s="1" t="str">
        <f>IF('Boletins Nuppa Site'!G820&lt;&gt;0,'Boletins Nuppa Site'!G820,"NULL")</f>
        <v>NULL</v>
      </c>
      <c r="E820" s="19">
        <f>IF('Boletins Nuppa Site'!H820&lt;&gt;0,'Boletins Nuppa Site'!H820,"NULL")</f>
        <v>50</v>
      </c>
      <c r="F820" s="19">
        <f>IF('Boletins Nuppa Site'!I820&lt;&gt;0,'Boletins Nuppa Site'!I820,"NULL")</f>
        <v>85</v>
      </c>
      <c r="G820" s="1" t="str">
        <f>IF('Boletins Nuppa Site'!J820&lt;&gt;0,'Boletins Nuppa Site'!J820,"NULL")</f>
        <v>66.25</v>
      </c>
      <c r="H820" s="19">
        <f>IF('Boletins Nuppa Site'!K820&lt;&gt;0,'Boletins Nuppa Site'!K820,"NULL")</f>
        <v>65</v>
      </c>
      <c r="J820" s="1" t="str">
        <f t="shared" si="12"/>
        <v>INSERT INTO COTACAO (blt_id, pap_id, cot_prc_comum, cot_prc_min, cot_prc_max, cot_prc_med, cot_prc_mediana) VALUES (21, 27, NULL, 50, 85, 66.25, 65);</v>
      </c>
    </row>
    <row r="821" spans="1:10" x14ac:dyDescent="0.3">
      <c r="A821" s="1">
        <v>820</v>
      </c>
      <c r="B821" s="1">
        <v>21</v>
      </c>
      <c r="C821" s="1">
        <v>28</v>
      </c>
      <c r="D821" s="19">
        <f>IF('Boletins Nuppa Site'!G821&lt;&gt;0,'Boletins Nuppa Site'!G821,"NULL")</f>
        <v>100</v>
      </c>
      <c r="E821" s="19">
        <f>IF('Boletins Nuppa Site'!H821&lt;&gt;0,'Boletins Nuppa Site'!H821,"NULL")</f>
        <v>100</v>
      </c>
      <c r="F821" s="19">
        <f>IF('Boletins Nuppa Site'!I821&lt;&gt;0,'Boletins Nuppa Site'!I821,"NULL")</f>
        <v>100</v>
      </c>
      <c r="G821" s="19">
        <f>IF('Boletins Nuppa Site'!J821&lt;&gt;0,'Boletins Nuppa Site'!J821,"NULL")</f>
        <v>100</v>
      </c>
      <c r="H821" s="19">
        <f>IF('Boletins Nuppa Site'!K821&lt;&gt;0,'Boletins Nuppa Site'!K821,"NULL")</f>
        <v>100</v>
      </c>
      <c r="J821" s="1" t="str">
        <f t="shared" si="12"/>
        <v>INSERT INTO COTACAO (blt_id, pap_id, cot_prc_comum, cot_prc_min, cot_prc_max, cot_prc_med, cot_prc_mediana) VALUES (21, 28, 100, 100, 100, 100, 100);</v>
      </c>
    </row>
    <row r="822" spans="1:10" x14ac:dyDescent="0.3">
      <c r="A822" s="1">
        <v>821</v>
      </c>
      <c r="B822" s="1">
        <v>21</v>
      </c>
      <c r="C822" s="1">
        <v>29</v>
      </c>
      <c r="D822" s="1" t="str">
        <f>IF('Boletins Nuppa Site'!G822&lt;&gt;0,'Boletins Nuppa Site'!G822,"NULL")</f>
        <v>NULL</v>
      </c>
      <c r="E822" s="19">
        <f>IF('Boletins Nuppa Site'!H822&lt;&gt;0,'Boletins Nuppa Site'!H822,"NULL")</f>
        <v>60</v>
      </c>
      <c r="F822" s="19">
        <f>IF('Boletins Nuppa Site'!I822&lt;&gt;0,'Boletins Nuppa Site'!I822,"NULL")</f>
        <v>70</v>
      </c>
      <c r="G822" s="19">
        <f>IF('Boletins Nuppa Site'!J822&lt;&gt;0,'Boletins Nuppa Site'!J822,"NULL")</f>
        <v>65</v>
      </c>
      <c r="H822" s="19">
        <f>IF('Boletins Nuppa Site'!K822&lt;&gt;0,'Boletins Nuppa Site'!K822,"NULL")</f>
        <v>65</v>
      </c>
      <c r="J822" s="1" t="str">
        <f t="shared" si="12"/>
        <v>INSERT INTO COTACAO (blt_id, pap_id, cot_prc_comum, cot_prc_min, cot_prc_max, cot_prc_med, cot_prc_mediana) VALUES (21, 29, NULL, 60, 70, 65, 65);</v>
      </c>
    </row>
    <row r="823" spans="1:10" x14ac:dyDescent="0.3">
      <c r="A823" s="1">
        <v>822</v>
      </c>
      <c r="B823" s="1">
        <v>21</v>
      </c>
      <c r="C823" s="1">
        <v>30</v>
      </c>
      <c r="D823" s="19">
        <f>IF('Boletins Nuppa Site'!G823&lt;&gt;0,'Boletins Nuppa Site'!G823,"NULL")</f>
        <v>80</v>
      </c>
      <c r="E823" s="19">
        <f>IF('Boletins Nuppa Site'!H823&lt;&gt;0,'Boletins Nuppa Site'!H823,"NULL")</f>
        <v>80</v>
      </c>
      <c r="F823" s="19">
        <f>IF('Boletins Nuppa Site'!I823&lt;&gt;0,'Boletins Nuppa Site'!I823,"NULL")</f>
        <v>80</v>
      </c>
      <c r="G823" s="19">
        <f>IF('Boletins Nuppa Site'!J823&lt;&gt;0,'Boletins Nuppa Site'!J823,"NULL")</f>
        <v>80</v>
      </c>
      <c r="H823" s="19">
        <f>IF('Boletins Nuppa Site'!K823&lt;&gt;0,'Boletins Nuppa Site'!K823,"NULL")</f>
        <v>80</v>
      </c>
      <c r="J823" s="1" t="str">
        <f t="shared" si="12"/>
        <v>INSERT INTO COTACAO (blt_id, pap_id, cot_prc_comum, cot_prc_min, cot_prc_max, cot_prc_med, cot_prc_mediana) VALUES (21, 30, 80, 80, 80, 80, 80);</v>
      </c>
    </row>
    <row r="824" spans="1:10" x14ac:dyDescent="0.3">
      <c r="A824" s="1">
        <v>823</v>
      </c>
      <c r="B824" s="1">
        <v>21</v>
      </c>
      <c r="C824" s="1">
        <v>31</v>
      </c>
      <c r="D824" s="19">
        <f>IF('Boletins Nuppa Site'!G824&lt;&gt;0,'Boletins Nuppa Site'!G824,"NULL")</f>
        <v>80</v>
      </c>
      <c r="E824" s="19">
        <f>IF('Boletins Nuppa Site'!H824&lt;&gt;0,'Boletins Nuppa Site'!H824,"NULL")</f>
        <v>65</v>
      </c>
      <c r="F824" s="19">
        <f>IF('Boletins Nuppa Site'!I824&lt;&gt;0,'Boletins Nuppa Site'!I824,"NULL")</f>
        <v>80</v>
      </c>
      <c r="G824" s="19">
        <f>IF('Boletins Nuppa Site'!J824&lt;&gt;0,'Boletins Nuppa Site'!J824,"NULL")</f>
        <v>75</v>
      </c>
      <c r="H824" s="19">
        <f>IF('Boletins Nuppa Site'!K824&lt;&gt;0,'Boletins Nuppa Site'!K824,"NULL")</f>
        <v>80</v>
      </c>
      <c r="J824" s="1" t="str">
        <f t="shared" si="12"/>
        <v>INSERT INTO COTACAO (blt_id, pap_id, cot_prc_comum, cot_prc_min, cot_prc_max, cot_prc_med, cot_prc_mediana) VALUES (21, 31, 80, 65, 80, 75, 80);</v>
      </c>
    </row>
    <row r="825" spans="1:10" x14ac:dyDescent="0.3">
      <c r="A825" s="1">
        <v>824</v>
      </c>
      <c r="B825" s="1">
        <v>21</v>
      </c>
      <c r="C825" s="1">
        <v>32</v>
      </c>
      <c r="D825" s="19">
        <f>IF('Boletins Nuppa Site'!G825&lt;&gt;0,'Boletins Nuppa Site'!G825,"NULL")</f>
        <v>60</v>
      </c>
      <c r="E825" s="19">
        <f>IF('Boletins Nuppa Site'!H825&lt;&gt;0,'Boletins Nuppa Site'!H825,"NULL")</f>
        <v>50</v>
      </c>
      <c r="F825" s="19">
        <f>IF('Boletins Nuppa Site'!I825&lt;&gt;0,'Boletins Nuppa Site'!I825,"NULL")</f>
        <v>60</v>
      </c>
      <c r="G825" s="1" t="str">
        <f>IF('Boletins Nuppa Site'!J825&lt;&gt;0,'Boletins Nuppa Site'!J825,"NULL")</f>
        <v>56.25</v>
      </c>
      <c r="H825" s="1" t="str">
        <f>IF('Boletins Nuppa Site'!K825&lt;&gt;0,'Boletins Nuppa Site'!K825,"NULL")</f>
        <v>57.5</v>
      </c>
      <c r="J825" s="1" t="str">
        <f t="shared" si="12"/>
        <v>INSERT INTO COTACAO (blt_id, pap_id, cot_prc_comum, cot_prc_min, cot_prc_max, cot_prc_med, cot_prc_mediana) VALUES (21, 32, 60, 50, 60, 56.25, 57.5);</v>
      </c>
    </row>
    <row r="826" spans="1:10" x14ac:dyDescent="0.3">
      <c r="A826" s="1">
        <v>825</v>
      </c>
      <c r="B826" s="1">
        <v>21</v>
      </c>
      <c r="C826" s="1">
        <v>33</v>
      </c>
      <c r="D826" s="19">
        <f>IF('Boletins Nuppa Site'!G826&lt;&gt;0,'Boletins Nuppa Site'!G826,"NULL")</f>
        <v>180</v>
      </c>
      <c r="E826" s="19">
        <f>IF('Boletins Nuppa Site'!H826&lt;&gt;0,'Boletins Nuppa Site'!H826,"NULL")</f>
        <v>180</v>
      </c>
      <c r="F826" s="19">
        <f>IF('Boletins Nuppa Site'!I826&lt;&gt;0,'Boletins Nuppa Site'!I826,"NULL")</f>
        <v>180</v>
      </c>
      <c r="G826" s="19">
        <f>IF('Boletins Nuppa Site'!J826&lt;&gt;0,'Boletins Nuppa Site'!J826,"NULL")</f>
        <v>180</v>
      </c>
      <c r="H826" s="19">
        <f>IF('Boletins Nuppa Site'!K826&lt;&gt;0,'Boletins Nuppa Site'!K826,"NULL")</f>
        <v>180</v>
      </c>
      <c r="J826" s="1" t="str">
        <f t="shared" si="12"/>
        <v>INSERT INTO COTACAO (blt_id, pap_id, cot_prc_comum, cot_prc_min, cot_prc_max, cot_prc_med, cot_prc_mediana) VALUES (21, 33, 180, 180, 180, 180, 180);</v>
      </c>
    </row>
    <row r="827" spans="1:10" x14ac:dyDescent="0.3">
      <c r="A827" s="1">
        <v>826</v>
      </c>
      <c r="B827" s="1">
        <v>21</v>
      </c>
      <c r="C827" s="1">
        <v>34</v>
      </c>
      <c r="D827" s="19">
        <f>IF('Boletins Nuppa Site'!G827&lt;&gt;0,'Boletins Nuppa Site'!G827,"NULL")</f>
        <v>90</v>
      </c>
      <c r="E827" s="19">
        <f>IF('Boletins Nuppa Site'!H827&lt;&gt;0,'Boletins Nuppa Site'!H827,"NULL")</f>
        <v>80</v>
      </c>
      <c r="F827" s="19">
        <f>IF('Boletins Nuppa Site'!I827&lt;&gt;0,'Boletins Nuppa Site'!I827,"NULL")</f>
        <v>100</v>
      </c>
      <c r="G827" s="19">
        <f>IF('Boletins Nuppa Site'!J827&lt;&gt;0,'Boletins Nuppa Site'!J827,"NULL")</f>
        <v>92</v>
      </c>
      <c r="H827" s="19">
        <f>IF('Boletins Nuppa Site'!K827&lt;&gt;0,'Boletins Nuppa Site'!K827,"NULL")</f>
        <v>90</v>
      </c>
      <c r="J827" s="1" t="str">
        <f t="shared" si="12"/>
        <v>INSERT INTO COTACAO (blt_id, pap_id, cot_prc_comum, cot_prc_min, cot_prc_max, cot_prc_med, cot_prc_mediana) VALUES (21, 34, 90, 80, 100, 92, 90);</v>
      </c>
    </row>
    <row r="828" spans="1:10" x14ac:dyDescent="0.3">
      <c r="A828" s="1">
        <v>827</v>
      </c>
      <c r="B828" s="1">
        <v>21</v>
      </c>
      <c r="C828" s="1">
        <v>35</v>
      </c>
      <c r="D828" s="1" t="str">
        <f>IF('Boletins Nuppa Site'!G828&lt;&gt;0,'Boletins Nuppa Site'!G828,"NULL")</f>
        <v>NULL</v>
      </c>
      <c r="E828" s="19">
        <f>IF('Boletins Nuppa Site'!H828&lt;&gt;0,'Boletins Nuppa Site'!H828,"NULL")</f>
        <v>150</v>
      </c>
      <c r="F828" s="19">
        <f>IF('Boletins Nuppa Site'!I828&lt;&gt;0,'Boletins Nuppa Site'!I828,"NULL")</f>
        <v>220</v>
      </c>
      <c r="G828" s="1" t="str">
        <f>IF('Boletins Nuppa Site'!J828&lt;&gt;0,'Boletins Nuppa Site'!J828,"NULL")</f>
        <v>176.67</v>
      </c>
      <c r="H828" s="19">
        <f>IF('Boletins Nuppa Site'!K828&lt;&gt;0,'Boletins Nuppa Site'!K828,"NULL")</f>
        <v>160</v>
      </c>
      <c r="J828" s="1" t="str">
        <f t="shared" si="12"/>
        <v>INSERT INTO COTACAO (blt_id, pap_id, cot_prc_comum, cot_prc_min, cot_prc_max, cot_prc_med, cot_prc_mediana) VALUES (21, 35, NULL, 150, 220, 176.67, 160);</v>
      </c>
    </row>
    <row r="829" spans="1:10" x14ac:dyDescent="0.3">
      <c r="A829" s="1">
        <v>828</v>
      </c>
      <c r="B829" s="1">
        <v>21</v>
      </c>
      <c r="C829" s="1">
        <v>36</v>
      </c>
      <c r="D829" s="1" t="str">
        <f>IF('Boletins Nuppa Site'!G829&lt;&gt;0,'Boletins Nuppa Site'!G829,"NULL")</f>
        <v>NULL</v>
      </c>
      <c r="E829" s="19">
        <f>IF('Boletins Nuppa Site'!H829&lt;&gt;0,'Boletins Nuppa Site'!H829,"NULL")</f>
        <v>120</v>
      </c>
      <c r="F829" s="19">
        <f>IF('Boletins Nuppa Site'!I829&lt;&gt;0,'Boletins Nuppa Site'!I829,"NULL")</f>
        <v>120</v>
      </c>
      <c r="G829" s="19">
        <f>IF('Boletins Nuppa Site'!J829&lt;&gt;0,'Boletins Nuppa Site'!J829,"NULL")</f>
        <v>120</v>
      </c>
      <c r="H829" s="19">
        <f>IF('Boletins Nuppa Site'!K829&lt;&gt;0,'Boletins Nuppa Site'!K829,"NULL")</f>
        <v>120</v>
      </c>
      <c r="J829" s="1" t="str">
        <f t="shared" si="12"/>
        <v>INSERT INTO COTACAO (blt_id, pap_id, cot_prc_comum, cot_prc_min, cot_prc_max, cot_prc_med, cot_prc_mediana) VALUES (21, 36, NULL, 120, 120, 120, 120);</v>
      </c>
    </row>
    <row r="830" spans="1:10" x14ac:dyDescent="0.3">
      <c r="A830" s="1">
        <v>829</v>
      </c>
      <c r="B830" s="1">
        <v>21</v>
      </c>
      <c r="C830" s="1">
        <v>37</v>
      </c>
      <c r="D830" s="1" t="str">
        <f>IF('Boletins Nuppa Site'!G830&lt;&gt;0,'Boletins Nuppa Site'!G830,"NULL")</f>
        <v>NULL</v>
      </c>
      <c r="E830" s="1" t="str">
        <f>IF('Boletins Nuppa Site'!H830&lt;&gt;0,'Boletins Nuppa Site'!H830,"NULL")</f>
        <v>NULL</v>
      </c>
      <c r="F830" s="1" t="str">
        <f>IF('Boletins Nuppa Site'!I830&lt;&gt;0,'Boletins Nuppa Site'!I830,"NULL")</f>
        <v>NULL</v>
      </c>
      <c r="G830" s="1" t="str">
        <f>IF('Boletins Nuppa Site'!J830&lt;&gt;0,'Boletins Nuppa Site'!J830,"NULL")</f>
        <v>NULL</v>
      </c>
      <c r="H830" s="1" t="str">
        <f>IF('Boletins Nuppa Site'!K830&lt;&gt;0,'Boletins Nuppa Site'!K830,"NULL")</f>
        <v>NULL</v>
      </c>
      <c r="J830" s="1" t="str">
        <f t="shared" si="12"/>
        <v>INSERT INTO COTACAO (blt_id, pap_id, cot_prc_comum, cot_prc_min, cot_prc_max, cot_prc_med, cot_prc_mediana) VALUES (21, 37, NULL, NULL, NULL, NULL, NULL);</v>
      </c>
    </row>
    <row r="831" spans="1:10" x14ac:dyDescent="0.3">
      <c r="A831" s="1">
        <v>830</v>
      </c>
      <c r="B831" s="1">
        <v>21</v>
      </c>
      <c r="C831" s="1">
        <v>38</v>
      </c>
      <c r="D831" s="1" t="str">
        <f>IF('Boletins Nuppa Site'!G831&lt;&gt;0,'Boletins Nuppa Site'!G831,"NULL")</f>
        <v>NULL</v>
      </c>
      <c r="E831" s="1" t="str">
        <f>IF('Boletins Nuppa Site'!H831&lt;&gt;0,'Boletins Nuppa Site'!H831,"NULL")</f>
        <v>NULL</v>
      </c>
      <c r="F831" s="1" t="str">
        <f>IF('Boletins Nuppa Site'!I831&lt;&gt;0,'Boletins Nuppa Site'!I831,"NULL")</f>
        <v>NULL</v>
      </c>
      <c r="G831" s="1" t="str">
        <f>IF('Boletins Nuppa Site'!J831&lt;&gt;0,'Boletins Nuppa Site'!J831,"NULL")</f>
        <v>NULL</v>
      </c>
      <c r="H831" s="1" t="str">
        <f>IF('Boletins Nuppa Site'!K831&lt;&gt;0,'Boletins Nuppa Site'!K831,"NULL")</f>
        <v>NULL</v>
      </c>
      <c r="J831" s="1" t="str">
        <f t="shared" si="12"/>
        <v>INSERT INTO COTACAO (blt_id, pap_id, cot_prc_comum, cot_prc_min, cot_prc_max, cot_prc_med, cot_prc_mediana) VALUES (21, 38, NULL, NULL, NULL, NULL, NULL);</v>
      </c>
    </row>
    <row r="832" spans="1:10" x14ac:dyDescent="0.3">
      <c r="A832" s="1">
        <v>831</v>
      </c>
      <c r="B832" s="1">
        <v>21</v>
      </c>
      <c r="C832" s="1">
        <v>39</v>
      </c>
      <c r="D832" s="1" t="str">
        <f>IF('Boletins Nuppa Site'!G832&lt;&gt;0,'Boletins Nuppa Site'!G832,"NULL")</f>
        <v>NULL</v>
      </c>
      <c r="E832" s="19">
        <f>IF('Boletins Nuppa Site'!H832&lt;&gt;0,'Boletins Nuppa Site'!H832,"NULL")</f>
        <v>50</v>
      </c>
      <c r="F832" s="19">
        <f>IF('Boletins Nuppa Site'!I832&lt;&gt;0,'Boletins Nuppa Site'!I832,"NULL")</f>
        <v>50</v>
      </c>
      <c r="G832" s="19">
        <f>IF('Boletins Nuppa Site'!J832&lt;&gt;0,'Boletins Nuppa Site'!J832,"NULL")</f>
        <v>50</v>
      </c>
      <c r="H832" s="19">
        <f>IF('Boletins Nuppa Site'!K832&lt;&gt;0,'Boletins Nuppa Site'!K832,"NULL")</f>
        <v>50</v>
      </c>
      <c r="J832" s="1" t="str">
        <f t="shared" si="12"/>
        <v>INSERT INTO COTACAO (blt_id, pap_id, cot_prc_comum, cot_prc_min, cot_prc_max, cot_prc_med, cot_prc_mediana) VALUES (21, 39, NULL, 50, 50, 50, 50);</v>
      </c>
    </row>
    <row r="833" spans="1:10" x14ac:dyDescent="0.3">
      <c r="A833" s="1">
        <v>832</v>
      </c>
      <c r="B833" s="1">
        <v>21</v>
      </c>
      <c r="C833" s="1">
        <v>40</v>
      </c>
      <c r="D833" s="1" t="str">
        <f>IF('Boletins Nuppa Site'!G833&lt;&gt;0,'Boletins Nuppa Site'!G833,"NULL")</f>
        <v>NULL</v>
      </c>
      <c r="E833" s="19">
        <f>IF('Boletins Nuppa Site'!H833&lt;&gt;0,'Boletins Nuppa Site'!H833,"NULL")</f>
        <v>60</v>
      </c>
      <c r="F833" s="19">
        <f>IF('Boletins Nuppa Site'!I833&lt;&gt;0,'Boletins Nuppa Site'!I833,"NULL")</f>
        <v>60</v>
      </c>
      <c r="G833" s="19">
        <f>IF('Boletins Nuppa Site'!J833&lt;&gt;0,'Boletins Nuppa Site'!J833,"NULL")</f>
        <v>60</v>
      </c>
      <c r="H833" s="19">
        <f>IF('Boletins Nuppa Site'!K833&lt;&gt;0,'Boletins Nuppa Site'!K833,"NULL")</f>
        <v>60</v>
      </c>
      <c r="J833" s="1" t="str">
        <f t="shared" si="12"/>
        <v>INSERT INTO COTACAO (blt_id, pap_id, cot_prc_comum, cot_prc_min, cot_prc_max, cot_prc_med, cot_prc_mediana) VALUES (21, 40, NULL, 60, 60, 60, 60);</v>
      </c>
    </row>
    <row r="834" spans="1:10" x14ac:dyDescent="0.3">
      <c r="A834" s="1">
        <v>833</v>
      </c>
      <c r="B834" s="1">
        <v>22</v>
      </c>
      <c r="C834" s="1">
        <v>1</v>
      </c>
      <c r="D834" s="19">
        <f>IF('Boletins Nuppa Site'!G834&lt;&gt;0,'Boletins Nuppa Site'!G834,"NULL")</f>
        <v>60</v>
      </c>
      <c r="E834" s="19">
        <f>IF('Boletins Nuppa Site'!H834&lt;&gt;0,'Boletins Nuppa Site'!H834,"NULL")</f>
        <v>60</v>
      </c>
      <c r="F834" s="19">
        <f>IF('Boletins Nuppa Site'!I834&lt;&gt;0,'Boletins Nuppa Site'!I834,"NULL")</f>
        <v>60</v>
      </c>
      <c r="G834" s="19">
        <f>IF('Boletins Nuppa Site'!J834&lt;&gt;0,'Boletins Nuppa Site'!J834,"NULL")</f>
        <v>60</v>
      </c>
      <c r="H834" s="19">
        <f>IF('Boletins Nuppa Site'!K834&lt;&gt;0,'Boletins Nuppa Site'!K834,"NULL")</f>
        <v>60</v>
      </c>
      <c r="J834" s="1" t="str">
        <f t="shared" ref="J834:J897" si="13">"INSERT INTO COTACAO (blt_id, pap_id, cot_prc_comum, cot_prc_min, cot_prc_max, cot_prc_med, cot_prc_mediana) VALUES ("&amp;B834&amp;", "&amp;C834&amp;", "&amp;D834&amp;", "&amp;E834&amp;", "&amp;F834&amp;", "&amp;G834&amp;", "&amp;H834&amp;");"</f>
        <v>INSERT INTO COTACAO (blt_id, pap_id, cot_prc_comum, cot_prc_min, cot_prc_max, cot_prc_med, cot_prc_mediana) VALUES (22, 1, 60, 60, 60, 60, 60);</v>
      </c>
    </row>
    <row r="835" spans="1:10" x14ac:dyDescent="0.3">
      <c r="A835" s="1">
        <v>834</v>
      </c>
      <c r="B835" s="1">
        <v>22</v>
      </c>
      <c r="C835" s="1">
        <v>2</v>
      </c>
      <c r="D835" s="19">
        <f>IF('Boletins Nuppa Site'!G835&lt;&gt;0,'Boletins Nuppa Site'!G835,"NULL")</f>
        <v>84</v>
      </c>
      <c r="E835" s="19">
        <f>IF('Boletins Nuppa Site'!H835&lt;&gt;0,'Boletins Nuppa Site'!H835,"NULL")</f>
        <v>84</v>
      </c>
      <c r="F835" s="19">
        <f>IF('Boletins Nuppa Site'!I835&lt;&gt;0,'Boletins Nuppa Site'!I835,"NULL")</f>
        <v>84</v>
      </c>
      <c r="G835" s="19">
        <f>IF('Boletins Nuppa Site'!J835&lt;&gt;0,'Boletins Nuppa Site'!J835,"NULL")</f>
        <v>84</v>
      </c>
      <c r="H835" s="19">
        <f>IF('Boletins Nuppa Site'!K835&lt;&gt;0,'Boletins Nuppa Site'!K835,"NULL")</f>
        <v>84</v>
      </c>
      <c r="J835" s="1" t="str">
        <f t="shared" si="13"/>
        <v>INSERT INTO COTACAO (blt_id, pap_id, cot_prc_comum, cot_prc_min, cot_prc_max, cot_prc_med, cot_prc_mediana) VALUES (22, 2, 84, 84, 84, 84, 84);</v>
      </c>
    </row>
    <row r="836" spans="1:10" x14ac:dyDescent="0.3">
      <c r="A836" s="1">
        <v>835</v>
      </c>
      <c r="B836" s="1">
        <v>22</v>
      </c>
      <c r="C836" s="1">
        <v>3</v>
      </c>
      <c r="D836" s="1" t="str">
        <f>IF('Boletins Nuppa Site'!G836&lt;&gt;0,'Boletins Nuppa Site'!G836,"NULL")</f>
        <v>NULL</v>
      </c>
      <c r="E836" s="19">
        <f>IF('Boletins Nuppa Site'!H836&lt;&gt;0,'Boletins Nuppa Site'!H836,"NULL")</f>
        <v>36</v>
      </c>
      <c r="F836" s="19">
        <f>IF('Boletins Nuppa Site'!I836&lt;&gt;0,'Boletins Nuppa Site'!I836,"NULL")</f>
        <v>40</v>
      </c>
      <c r="G836" s="19">
        <f>IF('Boletins Nuppa Site'!J836&lt;&gt;0,'Boletins Nuppa Site'!J836,"NULL")</f>
        <v>38</v>
      </c>
      <c r="H836" s="19">
        <f>IF('Boletins Nuppa Site'!K836&lt;&gt;0,'Boletins Nuppa Site'!K836,"NULL")</f>
        <v>38</v>
      </c>
      <c r="J836" s="1" t="str">
        <f t="shared" si="13"/>
        <v>INSERT INTO COTACAO (blt_id, pap_id, cot_prc_comum, cot_prc_min, cot_prc_max, cot_prc_med, cot_prc_mediana) VALUES (22, 3, NULL, 36, 40, 38, 38);</v>
      </c>
    </row>
    <row r="837" spans="1:10" x14ac:dyDescent="0.3">
      <c r="A837" s="1">
        <v>836</v>
      </c>
      <c r="B837" s="1">
        <v>22</v>
      </c>
      <c r="C837" s="1">
        <v>4</v>
      </c>
      <c r="D837" s="1" t="str">
        <f>IF('Boletins Nuppa Site'!G837&lt;&gt;0,'Boletins Nuppa Site'!G837,"NULL")</f>
        <v>NULL</v>
      </c>
      <c r="E837" s="19">
        <f>IF('Boletins Nuppa Site'!H837&lt;&gt;0,'Boletins Nuppa Site'!H837,"NULL")</f>
        <v>20</v>
      </c>
      <c r="F837" s="19">
        <f>IF('Boletins Nuppa Site'!I837&lt;&gt;0,'Boletins Nuppa Site'!I837,"NULL")</f>
        <v>24</v>
      </c>
      <c r="G837" s="19">
        <f>IF('Boletins Nuppa Site'!J837&lt;&gt;0,'Boletins Nuppa Site'!J837,"NULL")</f>
        <v>22</v>
      </c>
      <c r="H837" s="19">
        <f>IF('Boletins Nuppa Site'!K837&lt;&gt;0,'Boletins Nuppa Site'!K837,"NULL")</f>
        <v>22</v>
      </c>
      <c r="J837" s="1" t="str">
        <f t="shared" si="13"/>
        <v>INSERT INTO COTACAO (blt_id, pap_id, cot_prc_comum, cot_prc_min, cot_prc_max, cot_prc_med, cot_prc_mediana) VALUES (22, 4, NULL, 20, 24, 22, 22);</v>
      </c>
    </row>
    <row r="838" spans="1:10" x14ac:dyDescent="0.3">
      <c r="A838" s="1">
        <v>837</v>
      </c>
      <c r="B838" s="1">
        <v>22</v>
      </c>
      <c r="C838" s="1">
        <v>5</v>
      </c>
      <c r="D838" s="1" t="str">
        <f>IF('Boletins Nuppa Site'!G838&lt;&gt;0,'Boletins Nuppa Site'!G838,"NULL")</f>
        <v>NULL</v>
      </c>
      <c r="E838" s="19">
        <f>IF('Boletins Nuppa Site'!H838&lt;&gt;0,'Boletins Nuppa Site'!H838,"NULL")</f>
        <v>20</v>
      </c>
      <c r="F838" s="19">
        <f>IF('Boletins Nuppa Site'!I838&lt;&gt;0,'Boletins Nuppa Site'!I838,"NULL")</f>
        <v>24</v>
      </c>
      <c r="G838" s="19">
        <f>IF('Boletins Nuppa Site'!J838&lt;&gt;0,'Boletins Nuppa Site'!J838,"NULL")</f>
        <v>22</v>
      </c>
      <c r="H838" s="19">
        <f>IF('Boletins Nuppa Site'!K838&lt;&gt;0,'Boletins Nuppa Site'!K838,"NULL")</f>
        <v>22</v>
      </c>
      <c r="J838" s="1" t="str">
        <f t="shared" si="13"/>
        <v>INSERT INTO COTACAO (blt_id, pap_id, cot_prc_comum, cot_prc_min, cot_prc_max, cot_prc_med, cot_prc_mediana) VALUES (22, 5, NULL, 20, 24, 22, 22);</v>
      </c>
    </row>
    <row r="839" spans="1:10" x14ac:dyDescent="0.3">
      <c r="A839" s="1">
        <v>838</v>
      </c>
      <c r="B839" s="1">
        <v>22</v>
      </c>
      <c r="C839" s="1">
        <v>6</v>
      </c>
      <c r="D839" s="19">
        <f>IF('Boletins Nuppa Site'!G839&lt;&gt;0,'Boletins Nuppa Site'!G839,"NULL")</f>
        <v>60</v>
      </c>
      <c r="E839" s="19">
        <f>IF('Boletins Nuppa Site'!H839&lt;&gt;0,'Boletins Nuppa Site'!H839,"NULL")</f>
        <v>60</v>
      </c>
      <c r="F839" s="19">
        <f>IF('Boletins Nuppa Site'!I839&lt;&gt;0,'Boletins Nuppa Site'!I839,"NULL")</f>
        <v>60</v>
      </c>
      <c r="G839" s="19">
        <f>IF('Boletins Nuppa Site'!J839&lt;&gt;0,'Boletins Nuppa Site'!J839,"NULL")</f>
        <v>60</v>
      </c>
      <c r="H839" s="19">
        <f>IF('Boletins Nuppa Site'!K839&lt;&gt;0,'Boletins Nuppa Site'!K839,"NULL")</f>
        <v>60</v>
      </c>
      <c r="J839" s="1" t="str">
        <f t="shared" si="13"/>
        <v>INSERT INTO COTACAO (blt_id, pap_id, cot_prc_comum, cot_prc_min, cot_prc_max, cot_prc_med, cot_prc_mediana) VALUES (22, 6, 60, 60, 60, 60, 60);</v>
      </c>
    </row>
    <row r="840" spans="1:10" x14ac:dyDescent="0.3">
      <c r="A840" s="1">
        <v>839</v>
      </c>
      <c r="B840" s="1">
        <v>22</v>
      </c>
      <c r="C840" s="1">
        <v>7</v>
      </c>
      <c r="D840" s="19">
        <f>IF('Boletins Nuppa Site'!G840&lt;&gt;0,'Boletins Nuppa Site'!G840,"NULL")</f>
        <v>84</v>
      </c>
      <c r="E840" s="19">
        <f>IF('Boletins Nuppa Site'!H840&lt;&gt;0,'Boletins Nuppa Site'!H840,"NULL")</f>
        <v>60</v>
      </c>
      <c r="F840" s="19">
        <f>IF('Boletins Nuppa Site'!I840&lt;&gt;0,'Boletins Nuppa Site'!I840,"NULL")</f>
        <v>84</v>
      </c>
      <c r="G840" s="19">
        <f>IF('Boletins Nuppa Site'!J840&lt;&gt;0,'Boletins Nuppa Site'!J840,"NULL")</f>
        <v>76</v>
      </c>
      <c r="H840" s="19">
        <f>IF('Boletins Nuppa Site'!K840&lt;&gt;0,'Boletins Nuppa Site'!K840,"NULL")</f>
        <v>84</v>
      </c>
      <c r="J840" s="1" t="str">
        <f t="shared" si="13"/>
        <v>INSERT INTO COTACAO (blt_id, pap_id, cot_prc_comum, cot_prc_min, cot_prc_max, cot_prc_med, cot_prc_mediana) VALUES (22, 7, 84, 60, 84, 76, 84);</v>
      </c>
    </row>
    <row r="841" spans="1:10" x14ac:dyDescent="0.3">
      <c r="A841" s="1">
        <v>840</v>
      </c>
      <c r="B841" s="1">
        <v>22</v>
      </c>
      <c r="C841" s="1">
        <v>8</v>
      </c>
      <c r="D841" s="1" t="str">
        <f>IF('Boletins Nuppa Site'!G841&lt;&gt;0,'Boletins Nuppa Site'!G841,"NULL")</f>
        <v>NULL</v>
      </c>
      <c r="E841" s="19">
        <f>IF('Boletins Nuppa Site'!H841&lt;&gt;0,'Boletins Nuppa Site'!H841,"NULL")</f>
        <v>84</v>
      </c>
      <c r="F841" s="19">
        <f>IF('Boletins Nuppa Site'!I841&lt;&gt;0,'Boletins Nuppa Site'!I841,"NULL")</f>
        <v>96</v>
      </c>
      <c r="G841" s="19">
        <f>IF('Boletins Nuppa Site'!J841&lt;&gt;0,'Boletins Nuppa Site'!J841,"NULL")</f>
        <v>90</v>
      </c>
      <c r="H841" s="19">
        <f>IF('Boletins Nuppa Site'!K841&lt;&gt;0,'Boletins Nuppa Site'!K841,"NULL")</f>
        <v>90</v>
      </c>
      <c r="J841" s="1" t="str">
        <f t="shared" si="13"/>
        <v>INSERT INTO COTACAO (blt_id, pap_id, cot_prc_comum, cot_prc_min, cot_prc_max, cot_prc_med, cot_prc_mediana) VALUES (22, 8, NULL, 84, 96, 90, 90);</v>
      </c>
    </row>
    <row r="842" spans="1:10" x14ac:dyDescent="0.3">
      <c r="A842" s="1">
        <v>841</v>
      </c>
      <c r="B842" s="1">
        <v>22</v>
      </c>
      <c r="C842" s="1">
        <v>9</v>
      </c>
      <c r="D842" s="19">
        <f>IF('Boletins Nuppa Site'!G842&lt;&gt;0,'Boletins Nuppa Site'!G842,"NULL")</f>
        <v>24</v>
      </c>
      <c r="E842" s="19">
        <f>IF('Boletins Nuppa Site'!H842&lt;&gt;0,'Boletins Nuppa Site'!H842,"NULL")</f>
        <v>24</v>
      </c>
      <c r="F842" s="19">
        <f>IF('Boletins Nuppa Site'!I842&lt;&gt;0,'Boletins Nuppa Site'!I842,"NULL")</f>
        <v>30</v>
      </c>
      <c r="G842" s="19">
        <f>IF('Boletins Nuppa Site'!J842&lt;&gt;0,'Boletins Nuppa Site'!J842,"NULL")</f>
        <v>26</v>
      </c>
      <c r="H842" s="19">
        <f>IF('Boletins Nuppa Site'!K842&lt;&gt;0,'Boletins Nuppa Site'!K842,"NULL")</f>
        <v>24</v>
      </c>
      <c r="J842" s="1" t="str">
        <f t="shared" si="13"/>
        <v>INSERT INTO COTACAO (blt_id, pap_id, cot_prc_comum, cot_prc_min, cot_prc_max, cot_prc_med, cot_prc_mediana) VALUES (22, 9, 24, 24, 30, 26, 24);</v>
      </c>
    </row>
    <row r="843" spans="1:10" x14ac:dyDescent="0.3">
      <c r="A843" s="1">
        <v>842</v>
      </c>
      <c r="B843" s="1">
        <v>22</v>
      </c>
      <c r="C843" s="1">
        <v>10</v>
      </c>
      <c r="D843" s="1" t="str">
        <f>IF('Boletins Nuppa Site'!G843&lt;&gt;0,'Boletins Nuppa Site'!G843,"NULL")</f>
        <v>NULL</v>
      </c>
      <c r="E843" s="19">
        <f>IF('Boletins Nuppa Site'!H843&lt;&gt;0,'Boletins Nuppa Site'!H843,"NULL")</f>
        <v>84</v>
      </c>
      <c r="F843" s="19">
        <f>IF('Boletins Nuppa Site'!I843&lt;&gt;0,'Boletins Nuppa Site'!I843,"NULL")</f>
        <v>96</v>
      </c>
      <c r="G843" s="19">
        <f>IF('Boletins Nuppa Site'!J843&lt;&gt;0,'Boletins Nuppa Site'!J843,"NULL")</f>
        <v>90</v>
      </c>
      <c r="H843" s="19">
        <f>IF('Boletins Nuppa Site'!K843&lt;&gt;0,'Boletins Nuppa Site'!K843,"NULL")</f>
        <v>90</v>
      </c>
      <c r="J843" s="1" t="str">
        <f t="shared" si="13"/>
        <v>INSERT INTO COTACAO (blt_id, pap_id, cot_prc_comum, cot_prc_min, cot_prc_max, cot_prc_med, cot_prc_mediana) VALUES (22, 10, NULL, 84, 96, 90, 90);</v>
      </c>
    </row>
    <row r="844" spans="1:10" x14ac:dyDescent="0.3">
      <c r="A844" s="1">
        <v>843</v>
      </c>
      <c r="B844" s="1">
        <v>22</v>
      </c>
      <c r="C844" s="1">
        <v>11</v>
      </c>
      <c r="D844" s="1" t="str">
        <f>IF('Boletins Nuppa Site'!G844&lt;&gt;0,'Boletins Nuppa Site'!G844,"NULL")</f>
        <v>NULL</v>
      </c>
      <c r="E844" s="19">
        <f>IF('Boletins Nuppa Site'!H844&lt;&gt;0,'Boletins Nuppa Site'!H844,"NULL")</f>
        <v>20</v>
      </c>
      <c r="F844" s="19">
        <f>IF('Boletins Nuppa Site'!I844&lt;&gt;0,'Boletins Nuppa Site'!I844,"NULL")</f>
        <v>24</v>
      </c>
      <c r="G844" s="19">
        <f>IF('Boletins Nuppa Site'!J844&lt;&gt;0,'Boletins Nuppa Site'!J844,"NULL")</f>
        <v>22</v>
      </c>
      <c r="H844" s="19">
        <f>IF('Boletins Nuppa Site'!K844&lt;&gt;0,'Boletins Nuppa Site'!K844,"NULL")</f>
        <v>22</v>
      </c>
      <c r="J844" s="1" t="str">
        <f t="shared" si="13"/>
        <v>INSERT INTO COTACAO (blt_id, pap_id, cot_prc_comum, cot_prc_min, cot_prc_max, cot_prc_med, cot_prc_mediana) VALUES (22, 11, NULL, 20, 24, 22, 22);</v>
      </c>
    </row>
    <row r="845" spans="1:10" x14ac:dyDescent="0.3">
      <c r="A845" s="1">
        <v>844</v>
      </c>
      <c r="B845" s="1">
        <v>22</v>
      </c>
      <c r="C845" s="1">
        <v>12</v>
      </c>
      <c r="D845" s="19">
        <f>IF('Boletins Nuppa Site'!G845&lt;&gt;0,'Boletins Nuppa Site'!G845,"NULL")</f>
        <v>72</v>
      </c>
      <c r="E845" s="19">
        <f>IF('Boletins Nuppa Site'!H845&lt;&gt;0,'Boletins Nuppa Site'!H845,"NULL")</f>
        <v>72</v>
      </c>
      <c r="F845" s="19">
        <f>IF('Boletins Nuppa Site'!I845&lt;&gt;0,'Boletins Nuppa Site'!I845,"NULL")</f>
        <v>72</v>
      </c>
      <c r="G845" s="19">
        <f>IF('Boletins Nuppa Site'!J845&lt;&gt;0,'Boletins Nuppa Site'!J845,"NULL")</f>
        <v>72</v>
      </c>
      <c r="H845" s="19">
        <f>IF('Boletins Nuppa Site'!K845&lt;&gt;0,'Boletins Nuppa Site'!K845,"NULL")</f>
        <v>72</v>
      </c>
      <c r="J845" s="1" t="str">
        <f t="shared" si="13"/>
        <v>INSERT INTO COTACAO (blt_id, pap_id, cot_prc_comum, cot_prc_min, cot_prc_max, cot_prc_med, cot_prc_mediana) VALUES (22, 12, 72, 72, 72, 72, 72);</v>
      </c>
    </row>
    <row r="846" spans="1:10" x14ac:dyDescent="0.3">
      <c r="A846" s="1">
        <v>845</v>
      </c>
      <c r="B846" s="1">
        <v>22</v>
      </c>
      <c r="C846" s="1">
        <v>13</v>
      </c>
      <c r="D846" s="1" t="str">
        <f>IF('Boletins Nuppa Site'!G846&lt;&gt;0,'Boletins Nuppa Site'!G846,"NULL")</f>
        <v>NULL</v>
      </c>
      <c r="E846" s="19">
        <f>IF('Boletins Nuppa Site'!H846&lt;&gt;0,'Boletins Nuppa Site'!H846,"NULL")</f>
        <v>60</v>
      </c>
      <c r="F846" s="19">
        <f>IF('Boletins Nuppa Site'!I846&lt;&gt;0,'Boletins Nuppa Site'!I846,"NULL")</f>
        <v>72</v>
      </c>
      <c r="G846" s="19">
        <f>IF('Boletins Nuppa Site'!J846&lt;&gt;0,'Boletins Nuppa Site'!J846,"NULL")</f>
        <v>66</v>
      </c>
      <c r="H846" s="19">
        <f>IF('Boletins Nuppa Site'!K846&lt;&gt;0,'Boletins Nuppa Site'!K846,"NULL")</f>
        <v>66</v>
      </c>
      <c r="J846" s="1" t="str">
        <f t="shared" si="13"/>
        <v>INSERT INTO COTACAO (blt_id, pap_id, cot_prc_comum, cot_prc_min, cot_prc_max, cot_prc_med, cot_prc_mediana) VALUES (22, 13, NULL, 60, 72, 66, 66);</v>
      </c>
    </row>
    <row r="847" spans="1:10" x14ac:dyDescent="0.3">
      <c r="A847" s="1">
        <v>846</v>
      </c>
      <c r="B847" s="1">
        <v>22</v>
      </c>
      <c r="C847" s="1">
        <v>14</v>
      </c>
      <c r="D847" s="1" t="str">
        <f>IF('Boletins Nuppa Site'!G847&lt;&gt;0,'Boletins Nuppa Site'!G847,"NULL")</f>
        <v>NULL</v>
      </c>
      <c r="E847" s="19">
        <f>IF('Boletins Nuppa Site'!H847&lt;&gt;0,'Boletins Nuppa Site'!H847,"NULL")</f>
        <v>65</v>
      </c>
      <c r="F847" s="19">
        <f>IF('Boletins Nuppa Site'!I847&lt;&gt;0,'Boletins Nuppa Site'!I847,"NULL")</f>
        <v>72</v>
      </c>
      <c r="G847" s="1" t="str">
        <f>IF('Boletins Nuppa Site'!J847&lt;&gt;0,'Boletins Nuppa Site'!J847,"NULL")</f>
        <v>68.5</v>
      </c>
      <c r="H847" s="1" t="str">
        <f>IF('Boletins Nuppa Site'!K847&lt;&gt;0,'Boletins Nuppa Site'!K847,"NULL")</f>
        <v>68.5</v>
      </c>
      <c r="J847" s="1" t="str">
        <f t="shared" si="13"/>
        <v>INSERT INTO COTACAO (blt_id, pap_id, cot_prc_comum, cot_prc_min, cot_prc_max, cot_prc_med, cot_prc_mediana) VALUES (22, 14, NULL, 65, 72, 68.5, 68.5);</v>
      </c>
    </row>
    <row r="848" spans="1:10" x14ac:dyDescent="0.3">
      <c r="A848" s="1">
        <v>847</v>
      </c>
      <c r="B848" s="1">
        <v>22</v>
      </c>
      <c r="C848" s="1">
        <v>15</v>
      </c>
      <c r="D848" s="19">
        <f>IF('Boletins Nuppa Site'!G848&lt;&gt;0,'Boletins Nuppa Site'!G848,"NULL")</f>
        <v>60</v>
      </c>
      <c r="E848" s="19">
        <f>IF('Boletins Nuppa Site'!H848&lt;&gt;0,'Boletins Nuppa Site'!H848,"NULL")</f>
        <v>50</v>
      </c>
      <c r="F848" s="19">
        <f>IF('Boletins Nuppa Site'!I848&lt;&gt;0,'Boletins Nuppa Site'!I848,"NULL")</f>
        <v>60</v>
      </c>
      <c r="G848" s="1" t="str">
        <f>IF('Boletins Nuppa Site'!J848&lt;&gt;0,'Boletins Nuppa Site'!J848,"NULL")</f>
        <v>56.67</v>
      </c>
      <c r="H848" s="19">
        <f>IF('Boletins Nuppa Site'!K848&lt;&gt;0,'Boletins Nuppa Site'!K848,"NULL")</f>
        <v>60</v>
      </c>
      <c r="J848" s="1" t="str">
        <f t="shared" si="13"/>
        <v>INSERT INTO COTACAO (blt_id, pap_id, cot_prc_comum, cot_prc_min, cot_prc_max, cot_prc_med, cot_prc_mediana) VALUES (22, 15, 60, 50, 60, 56.67, 60);</v>
      </c>
    </row>
    <row r="849" spans="1:10" x14ac:dyDescent="0.3">
      <c r="A849" s="1">
        <v>848</v>
      </c>
      <c r="B849" s="1">
        <v>22</v>
      </c>
      <c r="C849" s="1">
        <v>16</v>
      </c>
      <c r="D849" s="1" t="str">
        <f>IF('Boletins Nuppa Site'!G849&lt;&gt;0,'Boletins Nuppa Site'!G849,"NULL")</f>
        <v>NULL</v>
      </c>
      <c r="E849" s="19">
        <f>IF('Boletins Nuppa Site'!H849&lt;&gt;0,'Boletins Nuppa Site'!H849,"NULL")</f>
        <v>54</v>
      </c>
      <c r="F849" s="19">
        <f>IF('Boletins Nuppa Site'!I849&lt;&gt;0,'Boletins Nuppa Site'!I849,"NULL")</f>
        <v>72</v>
      </c>
      <c r="G849" s="19">
        <f>IF('Boletins Nuppa Site'!J849&lt;&gt;0,'Boletins Nuppa Site'!J849,"NULL")</f>
        <v>62</v>
      </c>
      <c r="H849" s="19">
        <f>IF('Boletins Nuppa Site'!K849&lt;&gt;0,'Boletins Nuppa Site'!K849,"NULL")</f>
        <v>60</v>
      </c>
      <c r="J849" s="1" t="str">
        <f t="shared" si="13"/>
        <v>INSERT INTO COTACAO (blt_id, pap_id, cot_prc_comum, cot_prc_min, cot_prc_max, cot_prc_med, cot_prc_mediana) VALUES (22, 16, NULL, 54, 72, 62, 60);</v>
      </c>
    </row>
    <row r="850" spans="1:10" x14ac:dyDescent="0.3">
      <c r="A850" s="1">
        <v>849</v>
      </c>
      <c r="B850" s="1">
        <v>22</v>
      </c>
      <c r="C850" s="1">
        <v>17</v>
      </c>
      <c r="D850" s="19">
        <f>IF('Boletins Nuppa Site'!G850&lt;&gt;0,'Boletins Nuppa Site'!G850,"NULL")</f>
        <v>5</v>
      </c>
      <c r="E850" s="19">
        <f>IF('Boletins Nuppa Site'!H850&lt;&gt;0,'Boletins Nuppa Site'!H850,"NULL")</f>
        <v>5</v>
      </c>
      <c r="F850" s="19">
        <f>IF('Boletins Nuppa Site'!I850&lt;&gt;0,'Boletins Nuppa Site'!I850,"NULL")</f>
        <v>5</v>
      </c>
      <c r="G850" s="19">
        <f>IF('Boletins Nuppa Site'!J850&lt;&gt;0,'Boletins Nuppa Site'!J850,"NULL")</f>
        <v>5</v>
      </c>
      <c r="H850" s="19">
        <f>IF('Boletins Nuppa Site'!K850&lt;&gt;0,'Boletins Nuppa Site'!K850,"NULL")</f>
        <v>5</v>
      </c>
      <c r="J850" s="1" t="str">
        <f t="shared" si="13"/>
        <v>INSERT INTO COTACAO (blt_id, pap_id, cot_prc_comum, cot_prc_min, cot_prc_max, cot_prc_med, cot_prc_mediana) VALUES (22, 17, 5, 5, 5, 5, 5);</v>
      </c>
    </row>
    <row r="851" spans="1:10" x14ac:dyDescent="0.3">
      <c r="A851" s="1">
        <v>850</v>
      </c>
      <c r="B851" s="1">
        <v>22</v>
      </c>
      <c r="C851" s="1">
        <v>18</v>
      </c>
      <c r="D851" s="19">
        <f>IF('Boletins Nuppa Site'!G851&lt;&gt;0,'Boletins Nuppa Site'!G851,"NULL")</f>
        <v>20</v>
      </c>
      <c r="E851" s="19">
        <f>IF('Boletins Nuppa Site'!H851&lt;&gt;0,'Boletins Nuppa Site'!H851,"NULL")</f>
        <v>20</v>
      </c>
      <c r="F851" s="19">
        <f>IF('Boletins Nuppa Site'!I851&lt;&gt;0,'Boletins Nuppa Site'!I851,"NULL")</f>
        <v>20</v>
      </c>
      <c r="G851" s="19">
        <f>IF('Boletins Nuppa Site'!J851&lt;&gt;0,'Boletins Nuppa Site'!J851,"NULL")</f>
        <v>20</v>
      </c>
      <c r="H851" s="19">
        <f>IF('Boletins Nuppa Site'!K851&lt;&gt;0,'Boletins Nuppa Site'!K851,"NULL")</f>
        <v>20</v>
      </c>
      <c r="J851" s="1" t="str">
        <f t="shared" si="13"/>
        <v>INSERT INTO COTACAO (blt_id, pap_id, cot_prc_comum, cot_prc_min, cot_prc_max, cot_prc_med, cot_prc_mediana) VALUES (22, 18, 20, 20, 20, 20, 20);</v>
      </c>
    </row>
    <row r="852" spans="1:10" x14ac:dyDescent="0.3">
      <c r="A852" s="1">
        <v>851</v>
      </c>
      <c r="B852" s="1">
        <v>22</v>
      </c>
      <c r="C852" s="1">
        <v>19</v>
      </c>
      <c r="D852" s="1" t="str">
        <f>IF('Boletins Nuppa Site'!G852&lt;&gt;0,'Boletins Nuppa Site'!G852,"NULL")</f>
        <v>NULL</v>
      </c>
      <c r="E852" s="19">
        <f>IF('Boletins Nuppa Site'!H852&lt;&gt;0,'Boletins Nuppa Site'!H852,"NULL")</f>
        <v>15</v>
      </c>
      <c r="F852" s="19">
        <f>IF('Boletins Nuppa Site'!I852&lt;&gt;0,'Boletins Nuppa Site'!I852,"NULL")</f>
        <v>35</v>
      </c>
      <c r="G852" s="19">
        <f>IF('Boletins Nuppa Site'!J852&lt;&gt;0,'Boletins Nuppa Site'!J852,"NULL")</f>
        <v>25</v>
      </c>
      <c r="H852" s="19">
        <f>IF('Boletins Nuppa Site'!K852&lt;&gt;0,'Boletins Nuppa Site'!K852,"NULL")</f>
        <v>25</v>
      </c>
      <c r="J852" s="1" t="str">
        <f t="shared" si="13"/>
        <v>INSERT INTO COTACAO (blt_id, pap_id, cot_prc_comum, cot_prc_min, cot_prc_max, cot_prc_med, cot_prc_mediana) VALUES (22, 19, NULL, 15, 35, 25, 25);</v>
      </c>
    </row>
    <row r="853" spans="1:10" x14ac:dyDescent="0.3">
      <c r="A853" s="1">
        <v>852</v>
      </c>
      <c r="B853" s="1">
        <v>22</v>
      </c>
      <c r="C853" s="1">
        <v>20</v>
      </c>
      <c r="D853" s="1" t="str">
        <f>IF('Boletins Nuppa Site'!G853&lt;&gt;0,'Boletins Nuppa Site'!G853,"NULL")</f>
        <v>NULL</v>
      </c>
      <c r="E853" s="19">
        <f>IF('Boletins Nuppa Site'!H853&lt;&gt;0,'Boletins Nuppa Site'!H853,"NULL")</f>
        <v>70</v>
      </c>
      <c r="F853" s="19">
        <f>IF('Boletins Nuppa Site'!I853&lt;&gt;0,'Boletins Nuppa Site'!I853,"NULL")</f>
        <v>90</v>
      </c>
      <c r="G853" s="19">
        <f>IF('Boletins Nuppa Site'!J853&lt;&gt;0,'Boletins Nuppa Site'!J853,"NULL")</f>
        <v>80</v>
      </c>
      <c r="H853" s="19">
        <f>IF('Boletins Nuppa Site'!K853&lt;&gt;0,'Boletins Nuppa Site'!K853,"NULL")</f>
        <v>80</v>
      </c>
      <c r="J853" s="1" t="str">
        <f t="shared" si="13"/>
        <v>INSERT INTO COTACAO (blt_id, pap_id, cot_prc_comum, cot_prc_min, cot_prc_max, cot_prc_med, cot_prc_mediana) VALUES (22, 20, NULL, 70, 90, 80, 80);</v>
      </c>
    </row>
    <row r="854" spans="1:10" x14ac:dyDescent="0.3">
      <c r="A854" s="1">
        <v>853</v>
      </c>
      <c r="B854" s="1">
        <v>22</v>
      </c>
      <c r="C854" s="1">
        <v>21</v>
      </c>
      <c r="D854" s="19">
        <f>IF('Boletins Nuppa Site'!G854&lt;&gt;0,'Boletins Nuppa Site'!G854,"NULL")</f>
        <v>45</v>
      </c>
      <c r="E854" s="19">
        <f>IF('Boletins Nuppa Site'!H854&lt;&gt;0,'Boletins Nuppa Site'!H854,"NULL")</f>
        <v>40</v>
      </c>
      <c r="F854" s="19">
        <f>IF('Boletins Nuppa Site'!I854&lt;&gt;0,'Boletins Nuppa Site'!I854,"NULL")</f>
        <v>100</v>
      </c>
      <c r="G854" s="1" t="str">
        <f>IF('Boletins Nuppa Site'!J854&lt;&gt;0,'Boletins Nuppa Site'!J854,"NULL")</f>
        <v>53.33</v>
      </c>
      <c r="H854" s="19">
        <f>IF('Boletins Nuppa Site'!K854&lt;&gt;0,'Boletins Nuppa Site'!K854,"NULL")</f>
        <v>45</v>
      </c>
      <c r="J854" s="1" t="str">
        <f t="shared" si="13"/>
        <v>INSERT INTO COTACAO (blt_id, pap_id, cot_prc_comum, cot_prc_min, cot_prc_max, cot_prc_med, cot_prc_mediana) VALUES (22, 21, 45, 40, 100, 53.33, 45);</v>
      </c>
    </row>
    <row r="855" spans="1:10" x14ac:dyDescent="0.3">
      <c r="A855" s="1">
        <v>854</v>
      </c>
      <c r="B855" s="1">
        <v>22</v>
      </c>
      <c r="C855" s="1">
        <v>22</v>
      </c>
      <c r="D855" s="19">
        <f>IF('Boletins Nuppa Site'!G855&lt;&gt;0,'Boletins Nuppa Site'!G855,"NULL")</f>
        <v>65</v>
      </c>
      <c r="E855" s="19">
        <f>IF('Boletins Nuppa Site'!H855&lt;&gt;0,'Boletins Nuppa Site'!H855,"NULL")</f>
        <v>45</v>
      </c>
      <c r="F855" s="19">
        <f>IF('Boletins Nuppa Site'!I855&lt;&gt;0,'Boletins Nuppa Site'!I855,"NULL")</f>
        <v>70</v>
      </c>
      <c r="G855" s="1" t="str">
        <f>IF('Boletins Nuppa Site'!J855&lt;&gt;0,'Boletins Nuppa Site'!J855,"NULL")</f>
        <v>60.83</v>
      </c>
      <c r="H855" s="1" t="str">
        <f>IF('Boletins Nuppa Site'!K855&lt;&gt;0,'Boletins Nuppa Site'!K855,"NULL")</f>
        <v>62.5</v>
      </c>
      <c r="J855" s="1" t="str">
        <f t="shared" si="13"/>
        <v>INSERT INTO COTACAO (blt_id, pap_id, cot_prc_comum, cot_prc_min, cot_prc_max, cot_prc_med, cot_prc_mediana) VALUES (22, 22, 65, 45, 70, 60.83, 62.5);</v>
      </c>
    </row>
    <row r="856" spans="1:10" x14ac:dyDescent="0.3">
      <c r="A856" s="1">
        <v>855</v>
      </c>
      <c r="B856" s="1">
        <v>22</v>
      </c>
      <c r="C856" s="1">
        <v>23</v>
      </c>
      <c r="D856" s="19">
        <f>IF('Boletins Nuppa Site'!G856&lt;&gt;0,'Boletins Nuppa Site'!G856,"NULL")</f>
        <v>40</v>
      </c>
      <c r="E856" s="19">
        <f>IF('Boletins Nuppa Site'!H856&lt;&gt;0,'Boletins Nuppa Site'!H856,"NULL")</f>
        <v>40</v>
      </c>
      <c r="F856" s="19">
        <f>IF('Boletins Nuppa Site'!I856&lt;&gt;0,'Boletins Nuppa Site'!I856,"NULL")</f>
        <v>55</v>
      </c>
      <c r="G856" s="1" t="str">
        <f>IF('Boletins Nuppa Site'!J856&lt;&gt;0,'Boletins Nuppa Site'!J856,"NULL")</f>
        <v>45.83</v>
      </c>
      <c r="H856" s="19">
        <f>IF('Boletins Nuppa Site'!K856&lt;&gt;0,'Boletins Nuppa Site'!K856,"NULL")</f>
        <v>45</v>
      </c>
      <c r="J856" s="1" t="str">
        <f t="shared" si="13"/>
        <v>INSERT INTO COTACAO (blt_id, pap_id, cot_prc_comum, cot_prc_min, cot_prc_max, cot_prc_med, cot_prc_mediana) VALUES (22, 23, 40, 40, 55, 45.83, 45);</v>
      </c>
    </row>
    <row r="857" spans="1:10" x14ac:dyDescent="0.3">
      <c r="A857" s="1">
        <v>856</v>
      </c>
      <c r="B857" s="1">
        <v>22</v>
      </c>
      <c r="C857" s="1">
        <v>24</v>
      </c>
      <c r="D857" s="1" t="str">
        <f>IF('Boletins Nuppa Site'!G857&lt;&gt;0,'Boletins Nuppa Site'!G857,"NULL")</f>
        <v>NULL</v>
      </c>
      <c r="E857" s="19">
        <f>IF('Boletins Nuppa Site'!H857&lt;&gt;0,'Boletins Nuppa Site'!H857,"NULL")</f>
        <v>45</v>
      </c>
      <c r="F857" s="19">
        <f>IF('Boletins Nuppa Site'!I857&lt;&gt;0,'Boletins Nuppa Site'!I857,"NULL")</f>
        <v>115</v>
      </c>
      <c r="G857" s="1" t="str">
        <f>IF('Boletins Nuppa Site'!J857&lt;&gt;0,'Boletins Nuppa Site'!J857,"NULL")</f>
        <v>78.75</v>
      </c>
      <c r="H857" s="1" t="str">
        <f>IF('Boletins Nuppa Site'!K857&lt;&gt;0,'Boletins Nuppa Site'!K857,"NULL")</f>
        <v>77.5</v>
      </c>
      <c r="J857" s="1" t="str">
        <f t="shared" si="13"/>
        <v>INSERT INTO COTACAO (blt_id, pap_id, cot_prc_comum, cot_prc_min, cot_prc_max, cot_prc_med, cot_prc_mediana) VALUES (22, 24, NULL, 45, 115, 78.75, 77.5);</v>
      </c>
    </row>
    <row r="858" spans="1:10" x14ac:dyDescent="0.3">
      <c r="A858" s="1">
        <v>857</v>
      </c>
      <c r="B858" s="1">
        <v>22</v>
      </c>
      <c r="C858" s="1">
        <v>25</v>
      </c>
      <c r="D858" s="19">
        <f>IF('Boletins Nuppa Site'!G858&lt;&gt;0,'Boletins Nuppa Site'!G858,"NULL")</f>
        <v>80</v>
      </c>
      <c r="E858" s="19">
        <f>IF('Boletins Nuppa Site'!H858&lt;&gt;0,'Boletins Nuppa Site'!H858,"NULL")</f>
        <v>70</v>
      </c>
      <c r="F858" s="19">
        <f>IF('Boletins Nuppa Site'!I858&lt;&gt;0,'Boletins Nuppa Site'!I858,"NULL")</f>
        <v>100</v>
      </c>
      <c r="G858" s="19">
        <f>IF('Boletins Nuppa Site'!J858&lt;&gt;0,'Boletins Nuppa Site'!J858,"NULL")</f>
        <v>85</v>
      </c>
      <c r="H858" s="19">
        <f>IF('Boletins Nuppa Site'!K858&lt;&gt;0,'Boletins Nuppa Site'!K858,"NULL")</f>
        <v>80</v>
      </c>
      <c r="J858" s="1" t="str">
        <f t="shared" si="13"/>
        <v>INSERT INTO COTACAO (blt_id, pap_id, cot_prc_comum, cot_prc_min, cot_prc_max, cot_prc_med, cot_prc_mediana) VALUES (22, 25, 80, 70, 100, 85, 80);</v>
      </c>
    </row>
    <row r="859" spans="1:10" x14ac:dyDescent="0.3">
      <c r="A859" s="1">
        <v>858</v>
      </c>
      <c r="B859" s="1">
        <v>22</v>
      </c>
      <c r="C859" s="1">
        <v>26</v>
      </c>
      <c r="D859" s="19">
        <f>IF('Boletins Nuppa Site'!G859&lt;&gt;0,'Boletins Nuppa Site'!G859,"NULL")</f>
        <v>90</v>
      </c>
      <c r="E859" s="19">
        <f>IF('Boletins Nuppa Site'!H859&lt;&gt;0,'Boletins Nuppa Site'!H859,"NULL")</f>
        <v>65</v>
      </c>
      <c r="F859" s="19">
        <f>IF('Boletins Nuppa Site'!I859&lt;&gt;0,'Boletins Nuppa Site'!I859,"NULL")</f>
        <v>90</v>
      </c>
      <c r="G859" s="19">
        <f>IF('Boletins Nuppa Site'!J859&lt;&gt;0,'Boletins Nuppa Site'!J859,"NULL")</f>
        <v>81</v>
      </c>
      <c r="H859" s="19">
        <f>IF('Boletins Nuppa Site'!K859&lt;&gt;0,'Boletins Nuppa Site'!K859,"NULL")</f>
        <v>90</v>
      </c>
      <c r="J859" s="1" t="str">
        <f t="shared" si="13"/>
        <v>INSERT INTO COTACAO (blt_id, pap_id, cot_prc_comum, cot_prc_min, cot_prc_max, cot_prc_med, cot_prc_mediana) VALUES (22, 26, 90, 65, 90, 81, 90);</v>
      </c>
    </row>
    <row r="860" spans="1:10" x14ac:dyDescent="0.3">
      <c r="A860" s="1">
        <v>859</v>
      </c>
      <c r="B860" s="1">
        <v>22</v>
      </c>
      <c r="C860" s="1">
        <v>27</v>
      </c>
      <c r="D860" s="1" t="str">
        <f>IF('Boletins Nuppa Site'!G860&lt;&gt;0,'Boletins Nuppa Site'!G860,"NULL")</f>
        <v>NULL</v>
      </c>
      <c r="E860" s="19">
        <f>IF('Boletins Nuppa Site'!H860&lt;&gt;0,'Boletins Nuppa Site'!H860,"NULL")</f>
        <v>55</v>
      </c>
      <c r="F860" s="19">
        <f>IF('Boletins Nuppa Site'!I860&lt;&gt;0,'Boletins Nuppa Site'!I860,"NULL")</f>
        <v>80</v>
      </c>
      <c r="G860" s="1" t="str">
        <f>IF('Boletins Nuppa Site'!J860&lt;&gt;0,'Boletins Nuppa Site'!J860,"NULL")</f>
        <v>66.25</v>
      </c>
      <c r="H860" s="19">
        <f>IF('Boletins Nuppa Site'!K860&lt;&gt;0,'Boletins Nuppa Site'!K860,"NULL")</f>
        <v>65</v>
      </c>
      <c r="J860" s="1" t="str">
        <f t="shared" si="13"/>
        <v>INSERT INTO COTACAO (blt_id, pap_id, cot_prc_comum, cot_prc_min, cot_prc_max, cot_prc_med, cot_prc_mediana) VALUES (22, 27, NULL, 55, 80, 66.25, 65);</v>
      </c>
    </row>
    <row r="861" spans="1:10" x14ac:dyDescent="0.3">
      <c r="A861" s="1">
        <v>860</v>
      </c>
      <c r="B861" s="1">
        <v>22</v>
      </c>
      <c r="C861" s="1">
        <v>28</v>
      </c>
      <c r="D861" s="19">
        <f>IF('Boletins Nuppa Site'!G861&lt;&gt;0,'Boletins Nuppa Site'!G861,"NULL")</f>
        <v>100</v>
      </c>
      <c r="E861" s="19">
        <f>IF('Boletins Nuppa Site'!H861&lt;&gt;0,'Boletins Nuppa Site'!H861,"NULL")</f>
        <v>80</v>
      </c>
      <c r="F861" s="19">
        <f>IF('Boletins Nuppa Site'!I861&lt;&gt;0,'Boletins Nuppa Site'!I861,"NULL")</f>
        <v>100</v>
      </c>
      <c r="G861" s="19">
        <f>IF('Boletins Nuppa Site'!J861&lt;&gt;0,'Boletins Nuppa Site'!J861,"NULL")</f>
        <v>95</v>
      </c>
      <c r="H861" s="19">
        <f>IF('Boletins Nuppa Site'!K861&lt;&gt;0,'Boletins Nuppa Site'!K861,"NULL")</f>
        <v>100</v>
      </c>
      <c r="J861" s="1" t="str">
        <f t="shared" si="13"/>
        <v>INSERT INTO COTACAO (blt_id, pap_id, cot_prc_comum, cot_prc_min, cot_prc_max, cot_prc_med, cot_prc_mediana) VALUES (22, 28, 100, 80, 100, 95, 100);</v>
      </c>
    </row>
    <row r="862" spans="1:10" x14ac:dyDescent="0.3">
      <c r="A862" s="1">
        <v>861</v>
      </c>
      <c r="B862" s="1">
        <v>22</v>
      </c>
      <c r="C862" s="1">
        <v>29</v>
      </c>
      <c r="D862" s="1" t="str">
        <f>IF('Boletins Nuppa Site'!G862&lt;&gt;0,'Boletins Nuppa Site'!G862,"NULL")</f>
        <v>NULL</v>
      </c>
      <c r="E862" s="19">
        <f>IF('Boletins Nuppa Site'!H862&lt;&gt;0,'Boletins Nuppa Site'!H862,"NULL")</f>
        <v>40</v>
      </c>
      <c r="F862" s="19">
        <f>IF('Boletins Nuppa Site'!I862&lt;&gt;0,'Boletins Nuppa Site'!I862,"NULL")</f>
        <v>60</v>
      </c>
      <c r="G862" s="1" t="str">
        <f>IF('Boletins Nuppa Site'!J862&lt;&gt;0,'Boletins Nuppa Site'!J862,"NULL")</f>
        <v>51.25</v>
      </c>
      <c r="H862" s="1" t="str">
        <f>IF('Boletins Nuppa Site'!K862&lt;&gt;0,'Boletins Nuppa Site'!K862,"NULL")</f>
        <v>52.5</v>
      </c>
      <c r="J862" s="1" t="str">
        <f t="shared" si="13"/>
        <v>INSERT INTO COTACAO (blt_id, pap_id, cot_prc_comum, cot_prc_min, cot_prc_max, cot_prc_med, cot_prc_mediana) VALUES (22, 29, NULL, 40, 60, 51.25, 52.5);</v>
      </c>
    </row>
    <row r="863" spans="1:10" x14ac:dyDescent="0.3">
      <c r="A863" s="1">
        <v>862</v>
      </c>
      <c r="B863" s="1">
        <v>22</v>
      </c>
      <c r="C863" s="1">
        <v>30</v>
      </c>
      <c r="D863" s="1" t="str">
        <f>IF('Boletins Nuppa Site'!G863&lt;&gt;0,'Boletins Nuppa Site'!G863,"NULL")</f>
        <v>NULL</v>
      </c>
      <c r="E863" s="19">
        <f>IF('Boletins Nuppa Site'!H863&lt;&gt;0,'Boletins Nuppa Site'!H863,"NULL")</f>
        <v>50</v>
      </c>
      <c r="F863" s="19">
        <f>IF('Boletins Nuppa Site'!I863&lt;&gt;0,'Boletins Nuppa Site'!I863,"NULL")</f>
        <v>70</v>
      </c>
      <c r="G863" s="1" t="str">
        <f>IF('Boletins Nuppa Site'!J863&lt;&gt;0,'Boletins Nuppa Site'!J863,"NULL")</f>
        <v>61.67</v>
      </c>
      <c r="H863" s="19">
        <f>IF('Boletins Nuppa Site'!K863&lt;&gt;0,'Boletins Nuppa Site'!K863,"NULL")</f>
        <v>65</v>
      </c>
      <c r="J863" s="1" t="str">
        <f t="shared" si="13"/>
        <v>INSERT INTO COTACAO (blt_id, pap_id, cot_prc_comum, cot_prc_min, cot_prc_max, cot_prc_med, cot_prc_mediana) VALUES (22, 30, NULL, 50, 70, 61.67, 65);</v>
      </c>
    </row>
    <row r="864" spans="1:10" x14ac:dyDescent="0.3">
      <c r="A864" s="1">
        <v>863</v>
      </c>
      <c r="B864" s="1">
        <v>22</v>
      </c>
      <c r="C864" s="1">
        <v>31</v>
      </c>
      <c r="D864" s="19">
        <f>IF('Boletins Nuppa Site'!G864&lt;&gt;0,'Boletins Nuppa Site'!G864,"NULL")</f>
        <v>60</v>
      </c>
      <c r="E864" s="19">
        <f>IF('Boletins Nuppa Site'!H864&lt;&gt;0,'Boletins Nuppa Site'!H864,"NULL")</f>
        <v>60</v>
      </c>
      <c r="F864" s="19">
        <f>IF('Boletins Nuppa Site'!I864&lt;&gt;0,'Boletins Nuppa Site'!I864,"NULL")</f>
        <v>70</v>
      </c>
      <c r="G864" s="19">
        <f>IF('Boletins Nuppa Site'!J864&lt;&gt;0,'Boletins Nuppa Site'!J864,"NULL")</f>
        <v>65</v>
      </c>
      <c r="H864" s="19">
        <f>IF('Boletins Nuppa Site'!K864&lt;&gt;0,'Boletins Nuppa Site'!K864,"NULL")</f>
        <v>65</v>
      </c>
      <c r="J864" s="1" t="str">
        <f t="shared" si="13"/>
        <v>INSERT INTO COTACAO (blt_id, pap_id, cot_prc_comum, cot_prc_min, cot_prc_max, cot_prc_med, cot_prc_mediana) VALUES (22, 31, 60, 60, 70, 65, 65);</v>
      </c>
    </row>
    <row r="865" spans="1:10" x14ac:dyDescent="0.3">
      <c r="A865" s="1">
        <v>864</v>
      </c>
      <c r="B865" s="1">
        <v>22</v>
      </c>
      <c r="C865" s="1">
        <v>32</v>
      </c>
      <c r="D865" s="19">
        <f>IF('Boletins Nuppa Site'!G865&lt;&gt;0,'Boletins Nuppa Site'!G865,"NULL")</f>
        <v>45</v>
      </c>
      <c r="E865" s="19">
        <f>IF('Boletins Nuppa Site'!H865&lt;&gt;0,'Boletins Nuppa Site'!H865,"NULL")</f>
        <v>40</v>
      </c>
      <c r="F865" s="19">
        <f>IF('Boletins Nuppa Site'!I865&lt;&gt;0,'Boletins Nuppa Site'!I865,"NULL")</f>
        <v>60</v>
      </c>
      <c r="G865" s="1" t="str">
        <f>IF('Boletins Nuppa Site'!J865&lt;&gt;0,'Boletins Nuppa Site'!J865,"NULL")</f>
        <v>49.29</v>
      </c>
      <c r="H865" s="19">
        <f>IF('Boletins Nuppa Site'!K865&lt;&gt;0,'Boletins Nuppa Site'!K865,"NULL")</f>
        <v>50</v>
      </c>
      <c r="J865" s="1" t="str">
        <f t="shared" si="13"/>
        <v>INSERT INTO COTACAO (blt_id, pap_id, cot_prc_comum, cot_prc_min, cot_prc_max, cot_prc_med, cot_prc_mediana) VALUES (22, 32, 45, 40, 60, 49.29, 50);</v>
      </c>
    </row>
    <row r="866" spans="1:10" x14ac:dyDescent="0.3">
      <c r="A866" s="1">
        <v>865</v>
      </c>
      <c r="B866" s="1">
        <v>22</v>
      </c>
      <c r="C866" s="1">
        <v>33</v>
      </c>
      <c r="D866" s="1" t="str">
        <f>IF('Boletins Nuppa Site'!G866&lt;&gt;0,'Boletins Nuppa Site'!G866,"NULL")</f>
        <v>NULL</v>
      </c>
      <c r="E866" s="19">
        <f>IF('Boletins Nuppa Site'!H866&lt;&gt;0,'Boletins Nuppa Site'!H866,"NULL")</f>
        <v>120</v>
      </c>
      <c r="F866" s="19">
        <f>IF('Boletins Nuppa Site'!I866&lt;&gt;0,'Boletins Nuppa Site'!I866,"NULL")</f>
        <v>180</v>
      </c>
      <c r="G866" s="1" t="str">
        <f>IF('Boletins Nuppa Site'!J866&lt;&gt;0,'Boletins Nuppa Site'!J866,"NULL")</f>
        <v>143.33</v>
      </c>
      <c r="H866" s="19">
        <f>IF('Boletins Nuppa Site'!K866&lt;&gt;0,'Boletins Nuppa Site'!K866,"NULL")</f>
        <v>130</v>
      </c>
      <c r="J866" s="1" t="str">
        <f t="shared" si="13"/>
        <v>INSERT INTO COTACAO (blt_id, pap_id, cot_prc_comum, cot_prc_min, cot_prc_max, cot_prc_med, cot_prc_mediana) VALUES (22, 33, NULL, 120, 180, 143.33, 130);</v>
      </c>
    </row>
    <row r="867" spans="1:10" x14ac:dyDescent="0.3">
      <c r="A867" s="1">
        <v>866</v>
      </c>
      <c r="B867" s="1">
        <v>22</v>
      </c>
      <c r="C867" s="1">
        <v>34</v>
      </c>
      <c r="D867" s="19">
        <f>IF('Boletins Nuppa Site'!G867&lt;&gt;0,'Boletins Nuppa Site'!G867,"NULL")</f>
        <v>70</v>
      </c>
      <c r="E867" s="19">
        <f>IF('Boletins Nuppa Site'!H867&lt;&gt;0,'Boletins Nuppa Site'!H867,"NULL")</f>
        <v>70</v>
      </c>
      <c r="F867" s="19">
        <f>IF('Boletins Nuppa Site'!I867&lt;&gt;0,'Boletins Nuppa Site'!I867,"NULL")</f>
        <v>100</v>
      </c>
      <c r="G867" s="1" t="str">
        <f>IF('Boletins Nuppa Site'!J867&lt;&gt;0,'Boletins Nuppa Site'!J867,"NULL")</f>
        <v>83.33</v>
      </c>
      <c r="H867" s="19">
        <f>IF('Boletins Nuppa Site'!K867&lt;&gt;0,'Boletins Nuppa Site'!K867,"NULL")</f>
        <v>80</v>
      </c>
      <c r="J867" s="1" t="str">
        <f t="shared" si="13"/>
        <v>INSERT INTO COTACAO (blt_id, pap_id, cot_prc_comum, cot_prc_min, cot_prc_max, cot_prc_med, cot_prc_mediana) VALUES (22, 34, 70, 70, 100, 83.33, 80);</v>
      </c>
    </row>
    <row r="868" spans="1:10" x14ac:dyDescent="0.3">
      <c r="A868" s="1">
        <v>867</v>
      </c>
      <c r="B868" s="1">
        <v>22</v>
      </c>
      <c r="C868" s="1">
        <v>35</v>
      </c>
      <c r="D868" s="19">
        <f>IF('Boletins Nuppa Site'!G868&lt;&gt;0,'Boletins Nuppa Site'!G868,"NULL")</f>
        <v>120</v>
      </c>
      <c r="E868" s="19">
        <f>IF('Boletins Nuppa Site'!H868&lt;&gt;0,'Boletins Nuppa Site'!H868,"NULL")</f>
        <v>100</v>
      </c>
      <c r="F868" s="19">
        <f>IF('Boletins Nuppa Site'!I868&lt;&gt;0,'Boletins Nuppa Site'!I868,"NULL")</f>
        <v>200</v>
      </c>
      <c r="G868" s="19">
        <f>IF('Boletins Nuppa Site'!J868&lt;&gt;0,'Boletins Nuppa Site'!J868,"NULL")</f>
        <v>135</v>
      </c>
      <c r="H868" s="19">
        <f>IF('Boletins Nuppa Site'!K868&lt;&gt;0,'Boletins Nuppa Site'!K868,"NULL")</f>
        <v>120</v>
      </c>
      <c r="J868" s="1" t="str">
        <f t="shared" si="13"/>
        <v>INSERT INTO COTACAO (blt_id, pap_id, cot_prc_comum, cot_prc_min, cot_prc_max, cot_prc_med, cot_prc_mediana) VALUES (22, 35, 120, 100, 200, 135, 120);</v>
      </c>
    </row>
    <row r="869" spans="1:10" x14ac:dyDescent="0.3">
      <c r="A869" s="1">
        <v>868</v>
      </c>
      <c r="B869" s="1">
        <v>22</v>
      </c>
      <c r="C869" s="1">
        <v>36</v>
      </c>
      <c r="D869" s="1" t="str">
        <f>IF('Boletins Nuppa Site'!G869&lt;&gt;0,'Boletins Nuppa Site'!G869,"NULL")</f>
        <v>NULL</v>
      </c>
      <c r="E869" s="19">
        <f>IF('Boletins Nuppa Site'!H869&lt;&gt;0,'Boletins Nuppa Site'!H869,"NULL")</f>
        <v>130</v>
      </c>
      <c r="F869" s="19">
        <f>IF('Boletins Nuppa Site'!I869&lt;&gt;0,'Boletins Nuppa Site'!I869,"NULL")</f>
        <v>130</v>
      </c>
      <c r="G869" s="19">
        <f>IF('Boletins Nuppa Site'!J869&lt;&gt;0,'Boletins Nuppa Site'!J869,"NULL")</f>
        <v>130</v>
      </c>
      <c r="H869" s="19">
        <f>IF('Boletins Nuppa Site'!K869&lt;&gt;0,'Boletins Nuppa Site'!K869,"NULL")</f>
        <v>130</v>
      </c>
      <c r="J869" s="1" t="str">
        <f t="shared" si="13"/>
        <v>INSERT INTO COTACAO (blt_id, pap_id, cot_prc_comum, cot_prc_min, cot_prc_max, cot_prc_med, cot_prc_mediana) VALUES (22, 36, NULL, 130, 130, 130, 130);</v>
      </c>
    </row>
    <row r="870" spans="1:10" x14ac:dyDescent="0.3">
      <c r="A870" s="1">
        <v>869</v>
      </c>
      <c r="B870" s="1">
        <v>22</v>
      </c>
      <c r="C870" s="1">
        <v>37</v>
      </c>
      <c r="D870" s="1" t="str">
        <f>IF('Boletins Nuppa Site'!G870&lt;&gt;0,'Boletins Nuppa Site'!G870,"NULL")</f>
        <v>NULL</v>
      </c>
      <c r="E870" s="1" t="str">
        <f>IF('Boletins Nuppa Site'!H870&lt;&gt;0,'Boletins Nuppa Site'!H870,"NULL")</f>
        <v>NULL</v>
      </c>
      <c r="F870" s="1" t="str">
        <f>IF('Boletins Nuppa Site'!I870&lt;&gt;0,'Boletins Nuppa Site'!I870,"NULL")</f>
        <v>NULL</v>
      </c>
      <c r="G870" s="1" t="str">
        <f>IF('Boletins Nuppa Site'!J870&lt;&gt;0,'Boletins Nuppa Site'!J870,"NULL")</f>
        <v>NULL</v>
      </c>
      <c r="H870" s="1" t="str">
        <f>IF('Boletins Nuppa Site'!K870&lt;&gt;0,'Boletins Nuppa Site'!K870,"NULL")</f>
        <v>NULL</v>
      </c>
      <c r="J870" s="1" t="str">
        <f t="shared" si="13"/>
        <v>INSERT INTO COTACAO (blt_id, pap_id, cot_prc_comum, cot_prc_min, cot_prc_max, cot_prc_med, cot_prc_mediana) VALUES (22, 37, NULL, NULL, NULL, NULL, NULL);</v>
      </c>
    </row>
    <row r="871" spans="1:10" x14ac:dyDescent="0.3">
      <c r="A871" s="1">
        <v>870</v>
      </c>
      <c r="B871" s="1">
        <v>22</v>
      </c>
      <c r="C871" s="1">
        <v>38</v>
      </c>
      <c r="D871" s="1" t="str">
        <f>IF('Boletins Nuppa Site'!G871&lt;&gt;0,'Boletins Nuppa Site'!G871,"NULL")</f>
        <v>NULL</v>
      </c>
      <c r="E871" s="1" t="str">
        <f>IF('Boletins Nuppa Site'!H871&lt;&gt;0,'Boletins Nuppa Site'!H871,"NULL")</f>
        <v>NULL</v>
      </c>
      <c r="F871" s="1" t="str">
        <f>IF('Boletins Nuppa Site'!I871&lt;&gt;0,'Boletins Nuppa Site'!I871,"NULL")</f>
        <v>NULL</v>
      </c>
      <c r="G871" s="1" t="str">
        <f>IF('Boletins Nuppa Site'!J871&lt;&gt;0,'Boletins Nuppa Site'!J871,"NULL")</f>
        <v>NULL</v>
      </c>
      <c r="H871" s="1" t="str">
        <f>IF('Boletins Nuppa Site'!K871&lt;&gt;0,'Boletins Nuppa Site'!K871,"NULL")</f>
        <v>NULL</v>
      </c>
      <c r="J871" s="1" t="str">
        <f t="shared" si="13"/>
        <v>INSERT INTO COTACAO (blt_id, pap_id, cot_prc_comum, cot_prc_min, cot_prc_max, cot_prc_med, cot_prc_mediana) VALUES (22, 38, NULL, NULL, NULL, NULL, NULL);</v>
      </c>
    </row>
    <row r="872" spans="1:10" x14ac:dyDescent="0.3">
      <c r="A872" s="1">
        <v>871</v>
      </c>
      <c r="B872" s="1">
        <v>22</v>
      </c>
      <c r="C872" s="1">
        <v>39</v>
      </c>
      <c r="D872" s="1" t="str">
        <f>IF('Boletins Nuppa Site'!G872&lt;&gt;0,'Boletins Nuppa Site'!G872,"NULL")</f>
        <v>NULL</v>
      </c>
      <c r="E872" s="19">
        <f>IF('Boletins Nuppa Site'!H872&lt;&gt;0,'Boletins Nuppa Site'!H872,"NULL")</f>
        <v>50</v>
      </c>
      <c r="F872" s="19">
        <f>IF('Boletins Nuppa Site'!I872&lt;&gt;0,'Boletins Nuppa Site'!I872,"NULL")</f>
        <v>50</v>
      </c>
      <c r="G872" s="19">
        <f>IF('Boletins Nuppa Site'!J872&lt;&gt;0,'Boletins Nuppa Site'!J872,"NULL")</f>
        <v>50</v>
      </c>
      <c r="H872" s="19">
        <f>IF('Boletins Nuppa Site'!K872&lt;&gt;0,'Boletins Nuppa Site'!K872,"NULL")</f>
        <v>50</v>
      </c>
      <c r="J872" s="1" t="str">
        <f t="shared" si="13"/>
        <v>INSERT INTO COTACAO (blt_id, pap_id, cot_prc_comum, cot_prc_min, cot_prc_max, cot_prc_med, cot_prc_mediana) VALUES (22, 39, NULL, 50, 50, 50, 50);</v>
      </c>
    </row>
    <row r="873" spans="1:10" x14ac:dyDescent="0.3">
      <c r="A873" s="1">
        <v>872</v>
      </c>
      <c r="B873" s="1">
        <v>22</v>
      </c>
      <c r="C873" s="1">
        <v>40</v>
      </c>
      <c r="D873" s="1" t="str">
        <f>IF('Boletins Nuppa Site'!G873&lt;&gt;0,'Boletins Nuppa Site'!G873,"NULL")</f>
        <v>NULL</v>
      </c>
      <c r="E873" s="19">
        <f>IF('Boletins Nuppa Site'!H873&lt;&gt;0,'Boletins Nuppa Site'!H873,"NULL")</f>
        <v>60</v>
      </c>
      <c r="F873" s="19">
        <f>IF('Boletins Nuppa Site'!I873&lt;&gt;0,'Boletins Nuppa Site'!I873,"NULL")</f>
        <v>65</v>
      </c>
      <c r="G873" s="1" t="str">
        <f>IF('Boletins Nuppa Site'!J873&lt;&gt;0,'Boletins Nuppa Site'!J873,"NULL")</f>
        <v>62.5</v>
      </c>
      <c r="H873" s="1" t="str">
        <f>IF('Boletins Nuppa Site'!K873&lt;&gt;0,'Boletins Nuppa Site'!K873,"NULL")</f>
        <v>62.5</v>
      </c>
      <c r="J873" s="1" t="str">
        <f t="shared" si="13"/>
        <v>INSERT INTO COTACAO (blt_id, pap_id, cot_prc_comum, cot_prc_min, cot_prc_max, cot_prc_med, cot_prc_mediana) VALUES (22, 40, NULL, 60, 65, 62.5, 62.5);</v>
      </c>
    </row>
    <row r="874" spans="1:10" x14ac:dyDescent="0.3">
      <c r="A874" s="1">
        <v>873</v>
      </c>
      <c r="B874" s="1">
        <v>23</v>
      </c>
      <c r="C874" s="1">
        <v>1</v>
      </c>
      <c r="D874" s="19">
        <f>IF('Boletins Nuppa Site'!G874&lt;&gt;0,'Boletins Nuppa Site'!G874,"NULL")</f>
        <v>60</v>
      </c>
      <c r="E874" s="19">
        <f>IF('Boletins Nuppa Site'!H874&lt;&gt;0,'Boletins Nuppa Site'!H874,"NULL")</f>
        <v>48</v>
      </c>
      <c r="F874" s="19">
        <f>IF('Boletins Nuppa Site'!I874&lt;&gt;0,'Boletins Nuppa Site'!I874,"NULL")</f>
        <v>60</v>
      </c>
      <c r="G874" s="19">
        <f>IF('Boletins Nuppa Site'!J874&lt;&gt;0,'Boletins Nuppa Site'!J874,"NULL")</f>
        <v>57</v>
      </c>
      <c r="H874" s="19">
        <f>IF('Boletins Nuppa Site'!K874&lt;&gt;0,'Boletins Nuppa Site'!K874,"NULL")</f>
        <v>60</v>
      </c>
      <c r="J874" s="1" t="str">
        <f t="shared" si="13"/>
        <v>INSERT INTO COTACAO (blt_id, pap_id, cot_prc_comum, cot_prc_min, cot_prc_max, cot_prc_med, cot_prc_mediana) VALUES (23, 1, 60, 48, 60, 57, 60);</v>
      </c>
    </row>
    <row r="875" spans="1:10" x14ac:dyDescent="0.3">
      <c r="A875" s="1">
        <v>874</v>
      </c>
      <c r="B875" s="1">
        <v>23</v>
      </c>
      <c r="C875" s="1">
        <v>2</v>
      </c>
      <c r="D875" s="19">
        <f>IF('Boletins Nuppa Site'!G875&lt;&gt;0,'Boletins Nuppa Site'!G875,"NULL")</f>
        <v>72</v>
      </c>
      <c r="E875" s="19">
        <f>IF('Boletins Nuppa Site'!H875&lt;&gt;0,'Boletins Nuppa Site'!H875,"NULL")</f>
        <v>72</v>
      </c>
      <c r="F875" s="19">
        <f>IF('Boletins Nuppa Site'!I875&lt;&gt;0,'Boletins Nuppa Site'!I875,"NULL")</f>
        <v>84</v>
      </c>
      <c r="G875" s="19">
        <f>IF('Boletins Nuppa Site'!J875&lt;&gt;0,'Boletins Nuppa Site'!J875,"NULL")</f>
        <v>75</v>
      </c>
      <c r="H875" s="19">
        <f>IF('Boletins Nuppa Site'!K875&lt;&gt;0,'Boletins Nuppa Site'!K875,"NULL")</f>
        <v>72</v>
      </c>
      <c r="J875" s="1" t="str">
        <f t="shared" si="13"/>
        <v>INSERT INTO COTACAO (blt_id, pap_id, cot_prc_comum, cot_prc_min, cot_prc_max, cot_prc_med, cot_prc_mediana) VALUES (23, 2, 72, 72, 84, 75, 72);</v>
      </c>
    </row>
    <row r="876" spans="1:10" x14ac:dyDescent="0.3">
      <c r="A876" s="1">
        <v>875</v>
      </c>
      <c r="B876" s="1">
        <v>23</v>
      </c>
      <c r="C876" s="1">
        <v>3</v>
      </c>
      <c r="D876" s="1" t="str">
        <f>IF('Boletins Nuppa Site'!G876&lt;&gt;0,'Boletins Nuppa Site'!G876,"NULL")</f>
        <v>NULL</v>
      </c>
      <c r="E876" s="19">
        <f>IF('Boletins Nuppa Site'!H876&lt;&gt;0,'Boletins Nuppa Site'!H876,"NULL")</f>
        <v>30</v>
      </c>
      <c r="F876" s="19">
        <f>IF('Boletins Nuppa Site'!I876&lt;&gt;0,'Boletins Nuppa Site'!I876,"NULL")</f>
        <v>48</v>
      </c>
      <c r="G876" s="19">
        <f>IF('Boletins Nuppa Site'!J876&lt;&gt;0,'Boletins Nuppa Site'!J876,"NULL")</f>
        <v>39</v>
      </c>
      <c r="H876" s="19">
        <f>IF('Boletins Nuppa Site'!K876&lt;&gt;0,'Boletins Nuppa Site'!K876,"NULL")</f>
        <v>39</v>
      </c>
      <c r="J876" s="1" t="str">
        <f t="shared" si="13"/>
        <v>INSERT INTO COTACAO (blt_id, pap_id, cot_prc_comum, cot_prc_min, cot_prc_max, cot_prc_med, cot_prc_mediana) VALUES (23, 3, NULL, 30, 48, 39, 39);</v>
      </c>
    </row>
    <row r="877" spans="1:10" x14ac:dyDescent="0.3">
      <c r="A877" s="1">
        <v>876</v>
      </c>
      <c r="B877" s="1">
        <v>23</v>
      </c>
      <c r="C877" s="1">
        <v>4</v>
      </c>
      <c r="D877" s="19">
        <f>IF('Boletins Nuppa Site'!G877&lt;&gt;0,'Boletins Nuppa Site'!G877,"NULL")</f>
        <v>30</v>
      </c>
      <c r="E877" s="19">
        <f>IF('Boletins Nuppa Site'!H877&lt;&gt;0,'Boletins Nuppa Site'!H877,"NULL")</f>
        <v>20</v>
      </c>
      <c r="F877" s="19">
        <f>IF('Boletins Nuppa Site'!I877&lt;&gt;0,'Boletins Nuppa Site'!I877,"NULL")</f>
        <v>30</v>
      </c>
      <c r="G877" s="19">
        <f>IF('Boletins Nuppa Site'!J877&lt;&gt;0,'Boletins Nuppa Site'!J877,"NULL")</f>
        <v>26</v>
      </c>
      <c r="H877" s="19">
        <f>IF('Boletins Nuppa Site'!K877&lt;&gt;0,'Boletins Nuppa Site'!K877,"NULL")</f>
        <v>27</v>
      </c>
      <c r="J877" s="1" t="str">
        <f t="shared" si="13"/>
        <v>INSERT INTO COTACAO (blt_id, pap_id, cot_prc_comum, cot_prc_min, cot_prc_max, cot_prc_med, cot_prc_mediana) VALUES (23, 4, 30, 20, 30, 26, 27);</v>
      </c>
    </row>
    <row r="878" spans="1:10" x14ac:dyDescent="0.3">
      <c r="A878" s="1">
        <v>877</v>
      </c>
      <c r="B878" s="1">
        <v>23</v>
      </c>
      <c r="C878" s="1">
        <v>5</v>
      </c>
      <c r="D878" s="19">
        <f>IF('Boletins Nuppa Site'!G878&lt;&gt;0,'Boletins Nuppa Site'!G878,"NULL")</f>
        <v>30</v>
      </c>
      <c r="E878" s="19">
        <f>IF('Boletins Nuppa Site'!H878&lt;&gt;0,'Boletins Nuppa Site'!H878,"NULL")</f>
        <v>18</v>
      </c>
      <c r="F878" s="19">
        <f>IF('Boletins Nuppa Site'!I878&lt;&gt;0,'Boletins Nuppa Site'!I878,"NULL")</f>
        <v>30</v>
      </c>
      <c r="G878" s="1" t="str">
        <f>IF('Boletins Nuppa Site'!J878&lt;&gt;0,'Boletins Nuppa Site'!J878,"NULL")</f>
        <v>24.5</v>
      </c>
      <c r="H878" s="19">
        <f>IF('Boletins Nuppa Site'!K878&lt;&gt;0,'Boletins Nuppa Site'!K878,"NULL")</f>
        <v>25</v>
      </c>
      <c r="J878" s="1" t="str">
        <f t="shared" si="13"/>
        <v>INSERT INTO COTACAO (blt_id, pap_id, cot_prc_comum, cot_prc_min, cot_prc_max, cot_prc_med, cot_prc_mediana) VALUES (23, 5, 30, 18, 30, 24.5, 25);</v>
      </c>
    </row>
    <row r="879" spans="1:10" x14ac:dyDescent="0.3">
      <c r="A879" s="1">
        <v>878</v>
      </c>
      <c r="B879" s="1">
        <v>23</v>
      </c>
      <c r="C879" s="1">
        <v>6</v>
      </c>
      <c r="D879" s="19">
        <f>IF('Boletins Nuppa Site'!G879&lt;&gt;0,'Boletins Nuppa Site'!G879,"NULL")</f>
        <v>60</v>
      </c>
      <c r="E879" s="19">
        <f>IF('Boletins Nuppa Site'!H879&lt;&gt;0,'Boletins Nuppa Site'!H879,"NULL")</f>
        <v>48</v>
      </c>
      <c r="F879" s="19">
        <f>IF('Boletins Nuppa Site'!I879&lt;&gt;0,'Boletins Nuppa Site'!I879,"NULL")</f>
        <v>60</v>
      </c>
      <c r="G879" s="19">
        <f>IF('Boletins Nuppa Site'!J879&lt;&gt;0,'Boletins Nuppa Site'!J879,"NULL")</f>
        <v>57</v>
      </c>
      <c r="H879" s="19">
        <f>IF('Boletins Nuppa Site'!K879&lt;&gt;0,'Boletins Nuppa Site'!K879,"NULL")</f>
        <v>60</v>
      </c>
      <c r="J879" s="1" t="str">
        <f t="shared" si="13"/>
        <v>INSERT INTO COTACAO (blt_id, pap_id, cot_prc_comum, cot_prc_min, cot_prc_max, cot_prc_med, cot_prc_mediana) VALUES (23, 6, 60, 48, 60, 57, 60);</v>
      </c>
    </row>
    <row r="880" spans="1:10" x14ac:dyDescent="0.3">
      <c r="A880" s="1">
        <v>879</v>
      </c>
      <c r="B880" s="1">
        <v>23</v>
      </c>
      <c r="C880" s="1">
        <v>7</v>
      </c>
      <c r="D880" s="19">
        <f>IF('Boletins Nuppa Site'!G880&lt;&gt;0,'Boletins Nuppa Site'!G880,"NULL")</f>
        <v>60</v>
      </c>
      <c r="E880" s="19">
        <f>IF('Boletins Nuppa Site'!H880&lt;&gt;0,'Boletins Nuppa Site'!H880,"NULL")</f>
        <v>60</v>
      </c>
      <c r="F880" s="19">
        <f>IF('Boletins Nuppa Site'!I880&lt;&gt;0,'Boletins Nuppa Site'!I880,"NULL")</f>
        <v>76</v>
      </c>
      <c r="G880" s="19">
        <f>IF('Boletins Nuppa Site'!J880&lt;&gt;0,'Boletins Nuppa Site'!J880,"NULL")</f>
        <v>64</v>
      </c>
      <c r="H880" s="19">
        <f>IF('Boletins Nuppa Site'!K880&lt;&gt;0,'Boletins Nuppa Site'!K880,"NULL")</f>
        <v>60</v>
      </c>
      <c r="J880" s="1" t="str">
        <f t="shared" si="13"/>
        <v>INSERT INTO COTACAO (blt_id, pap_id, cot_prc_comum, cot_prc_min, cot_prc_max, cot_prc_med, cot_prc_mediana) VALUES (23, 7, 60, 60, 76, 64, 60);</v>
      </c>
    </row>
    <row r="881" spans="1:10" x14ac:dyDescent="0.3">
      <c r="A881" s="1">
        <v>880</v>
      </c>
      <c r="B881" s="1">
        <v>23</v>
      </c>
      <c r="C881" s="1">
        <v>8</v>
      </c>
      <c r="D881" s="19">
        <f>IF('Boletins Nuppa Site'!G881&lt;&gt;0,'Boletins Nuppa Site'!G881,"NULL")</f>
        <v>84</v>
      </c>
      <c r="E881" s="19">
        <f>IF('Boletins Nuppa Site'!H881&lt;&gt;0,'Boletins Nuppa Site'!H881,"NULL")</f>
        <v>72</v>
      </c>
      <c r="F881" s="19">
        <f>IF('Boletins Nuppa Site'!I881&lt;&gt;0,'Boletins Nuppa Site'!I881,"NULL")</f>
        <v>84</v>
      </c>
      <c r="G881" s="19">
        <f>IF('Boletins Nuppa Site'!J881&lt;&gt;0,'Boletins Nuppa Site'!J881,"NULL")</f>
        <v>80</v>
      </c>
      <c r="H881" s="19">
        <f>IF('Boletins Nuppa Site'!K881&lt;&gt;0,'Boletins Nuppa Site'!K881,"NULL")</f>
        <v>82</v>
      </c>
      <c r="J881" s="1" t="str">
        <f t="shared" si="13"/>
        <v>INSERT INTO COTACAO (blt_id, pap_id, cot_prc_comum, cot_prc_min, cot_prc_max, cot_prc_med, cot_prc_mediana) VALUES (23, 8, 84, 72, 84, 80, 82);</v>
      </c>
    </row>
    <row r="882" spans="1:10" x14ac:dyDescent="0.3">
      <c r="A882" s="1">
        <v>881</v>
      </c>
      <c r="B882" s="1">
        <v>23</v>
      </c>
      <c r="C882" s="1">
        <v>9</v>
      </c>
      <c r="D882" s="19">
        <f>IF('Boletins Nuppa Site'!G882&lt;&gt;0,'Boletins Nuppa Site'!G882,"NULL")</f>
        <v>24</v>
      </c>
      <c r="E882" s="19">
        <f>IF('Boletins Nuppa Site'!H882&lt;&gt;0,'Boletins Nuppa Site'!H882,"NULL")</f>
        <v>20</v>
      </c>
      <c r="F882" s="19">
        <f>IF('Boletins Nuppa Site'!I882&lt;&gt;0,'Boletins Nuppa Site'!I882,"NULL")</f>
        <v>30</v>
      </c>
      <c r="G882" s="1" t="str">
        <f>IF('Boletins Nuppa Site'!J882&lt;&gt;0,'Boletins Nuppa Site'!J882,"NULL")</f>
        <v>24.5</v>
      </c>
      <c r="H882" s="19">
        <f>IF('Boletins Nuppa Site'!K882&lt;&gt;0,'Boletins Nuppa Site'!K882,"NULL")</f>
        <v>24</v>
      </c>
      <c r="J882" s="1" t="str">
        <f t="shared" si="13"/>
        <v>INSERT INTO COTACAO (blt_id, pap_id, cot_prc_comum, cot_prc_min, cot_prc_max, cot_prc_med, cot_prc_mediana) VALUES (23, 9, 24, 20, 30, 24.5, 24);</v>
      </c>
    </row>
    <row r="883" spans="1:10" x14ac:dyDescent="0.3">
      <c r="A883" s="1">
        <v>882</v>
      </c>
      <c r="B883" s="1">
        <v>23</v>
      </c>
      <c r="C883" s="1">
        <v>10</v>
      </c>
      <c r="D883" s="1" t="str">
        <f>IF('Boletins Nuppa Site'!G883&lt;&gt;0,'Boletins Nuppa Site'!G883,"NULL")</f>
        <v>NULL</v>
      </c>
      <c r="E883" s="19">
        <f>IF('Boletins Nuppa Site'!H883&lt;&gt;0,'Boletins Nuppa Site'!H883,"NULL")</f>
        <v>60</v>
      </c>
      <c r="F883" s="19">
        <f>IF('Boletins Nuppa Site'!I883&lt;&gt;0,'Boletins Nuppa Site'!I883,"NULL")</f>
        <v>84</v>
      </c>
      <c r="G883" s="1" t="str">
        <f>IF('Boletins Nuppa Site'!J883&lt;&gt;0,'Boletins Nuppa Site'!J883,"NULL")</f>
        <v>71.5</v>
      </c>
      <c r="H883" s="19">
        <f>IF('Boletins Nuppa Site'!K883&lt;&gt;0,'Boletins Nuppa Site'!K883,"NULL")</f>
        <v>71</v>
      </c>
      <c r="J883" s="1" t="str">
        <f t="shared" si="13"/>
        <v>INSERT INTO COTACAO (blt_id, pap_id, cot_prc_comum, cot_prc_min, cot_prc_max, cot_prc_med, cot_prc_mediana) VALUES (23, 10, NULL, 60, 84, 71.5, 71);</v>
      </c>
    </row>
    <row r="884" spans="1:10" x14ac:dyDescent="0.3">
      <c r="A884" s="1">
        <v>883</v>
      </c>
      <c r="B884" s="1">
        <v>23</v>
      </c>
      <c r="C884" s="1">
        <v>11</v>
      </c>
      <c r="D884" s="19">
        <f>IF('Boletins Nuppa Site'!G884&lt;&gt;0,'Boletins Nuppa Site'!G884,"NULL")</f>
        <v>24</v>
      </c>
      <c r="E884" s="19">
        <f>IF('Boletins Nuppa Site'!H884&lt;&gt;0,'Boletins Nuppa Site'!H884,"NULL")</f>
        <v>24</v>
      </c>
      <c r="F884" s="19">
        <f>IF('Boletins Nuppa Site'!I884&lt;&gt;0,'Boletins Nuppa Site'!I884,"NULL")</f>
        <v>30</v>
      </c>
      <c r="G884" s="19">
        <f>IF('Boletins Nuppa Site'!J884&lt;&gt;0,'Boletins Nuppa Site'!J884,"NULL")</f>
        <v>27</v>
      </c>
      <c r="H884" s="19">
        <f>IF('Boletins Nuppa Site'!K884&lt;&gt;0,'Boletins Nuppa Site'!K884,"NULL")</f>
        <v>27</v>
      </c>
      <c r="J884" s="1" t="str">
        <f t="shared" si="13"/>
        <v>INSERT INTO COTACAO (blt_id, pap_id, cot_prc_comum, cot_prc_min, cot_prc_max, cot_prc_med, cot_prc_mediana) VALUES (23, 11, 24, 24, 30, 27, 27);</v>
      </c>
    </row>
    <row r="885" spans="1:10" x14ac:dyDescent="0.3">
      <c r="A885" s="1">
        <v>884</v>
      </c>
      <c r="B885" s="1">
        <v>23</v>
      </c>
      <c r="C885" s="1">
        <v>12</v>
      </c>
      <c r="D885" s="19">
        <f>IF('Boletins Nuppa Site'!G885&lt;&gt;0,'Boletins Nuppa Site'!G885,"NULL")</f>
        <v>72</v>
      </c>
      <c r="E885" s="19">
        <f>IF('Boletins Nuppa Site'!H885&lt;&gt;0,'Boletins Nuppa Site'!H885,"NULL")</f>
        <v>60</v>
      </c>
      <c r="F885" s="19">
        <f>IF('Boletins Nuppa Site'!I885&lt;&gt;0,'Boletins Nuppa Site'!I885,"NULL")</f>
        <v>72</v>
      </c>
      <c r="G885" s="19">
        <f>IF('Boletins Nuppa Site'!J885&lt;&gt;0,'Boletins Nuppa Site'!J885,"NULL")</f>
        <v>69</v>
      </c>
      <c r="H885" s="19">
        <f>IF('Boletins Nuppa Site'!K885&lt;&gt;0,'Boletins Nuppa Site'!K885,"NULL")</f>
        <v>72</v>
      </c>
      <c r="J885" s="1" t="str">
        <f t="shared" si="13"/>
        <v>INSERT INTO COTACAO (blt_id, pap_id, cot_prc_comum, cot_prc_min, cot_prc_max, cot_prc_med, cot_prc_mediana) VALUES (23, 12, 72, 60, 72, 69, 72);</v>
      </c>
    </row>
    <row r="886" spans="1:10" x14ac:dyDescent="0.3">
      <c r="A886" s="1">
        <v>885</v>
      </c>
      <c r="B886" s="1">
        <v>23</v>
      </c>
      <c r="C886" s="1">
        <v>13</v>
      </c>
      <c r="D886" s="19">
        <f>IF('Boletins Nuppa Site'!G886&lt;&gt;0,'Boletins Nuppa Site'!G886,"NULL")</f>
        <v>60</v>
      </c>
      <c r="E886" s="19">
        <f>IF('Boletins Nuppa Site'!H886&lt;&gt;0,'Boletins Nuppa Site'!H886,"NULL")</f>
        <v>60</v>
      </c>
      <c r="F886" s="19">
        <f>IF('Boletins Nuppa Site'!I886&lt;&gt;0,'Boletins Nuppa Site'!I886,"NULL")</f>
        <v>60</v>
      </c>
      <c r="G886" s="19">
        <f>IF('Boletins Nuppa Site'!J886&lt;&gt;0,'Boletins Nuppa Site'!J886,"NULL")</f>
        <v>60</v>
      </c>
      <c r="H886" s="19">
        <f>IF('Boletins Nuppa Site'!K886&lt;&gt;0,'Boletins Nuppa Site'!K886,"NULL")</f>
        <v>60</v>
      </c>
      <c r="J886" s="1" t="str">
        <f t="shared" si="13"/>
        <v>INSERT INTO COTACAO (blt_id, pap_id, cot_prc_comum, cot_prc_min, cot_prc_max, cot_prc_med, cot_prc_mediana) VALUES (23, 13, 60, 60, 60, 60, 60);</v>
      </c>
    </row>
    <row r="887" spans="1:10" x14ac:dyDescent="0.3">
      <c r="A887" s="1">
        <v>886</v>
      </c>
      <c r="B887" s="1">
        <v>23</v>
      </c>
      <c r="C887" s="1">
        <v>14</v>
      </c>
      <c r="D887" s="1" t="str">
        <f>IF('Boletins Nuppa Site'!G887&lt;&gt;0,'Boletins Nuppa Site'!G887,"NULL")</f>
        <v>NULL</v>
      </c>
      <c r="E887" s="19">
        <f>IF('Boletins Nuppa Site'!H887&lt;&gt;0,'Boletins Nuppa Site'!H887,"NULL")</f>
        <v>60</v>
      </c>
      <c r="F887" s="19">
        <f>IF('Boletins Nuppa Site'!I887&lt;&gt;0,'Boletins Nuppa Site'!I887,"NULL")</f>
        <v>84</v>
      </c>
      <c r="G887" s="19">
        <f>IF('Boletins Nuppa Site'!J887&lt;&gt;0,'Boletins Nuppa Site'!J887,"NULL")</f>
        <v>72</v>
      </c>
      <c r="H887" s="19">
        <f>IF('Boletins Nuppa Site'!K887&lt;&gt;0,'Boletins Nuppa Site'!K887,"NULL")</f>
        <v>72</v>
      </c>
      <c r="J887" s="1" t="str">
        <f t="shared" si="13"/>
        <v>INSERT INTO COTACAO (blt_id, pap_id, cot_prc_comum, cot_prc_min, cot_prc_max, cot_prc_med, cot_prc_mediana) VALUES (23, 14, NULL, 60, 84, 72, 72);</v>
      </c>
    </row>
    <row r="888" spans="1:10" x14ac:dyDescent="0.3">
      <c r="A888" s="1">
        <v>887</v>
      </c>
      <c r="B888" s="1">
        <v>23</v>
      </c>
      <c r="C888" s="1">
        <v>15</v>
      </c>
      <c r="D888" s="1" t="str">
        <f>IF('Boletins Nuppa Site'!G888&lt;&gt;0,'Boletins Nuppa Site'!G888,"NULL")</f>
        <v>NULL</v>
      </c>
      <c r="E888" s="19">
        <f>IF('Boletins Nuppa Site'!H888&lt;&gt;0,'Boletins Nuppa Site'!H888,"NULL")</f>
        <v>36</v>
      </c>
      <c r="F888" s="19">
        <f>IF('Boletins Nuppa Site'!I888&lt;&gt;0,'Boletins Nuppa Site'!I888,"NULL")</f>
        <v>54</v>
      </c>
      <c r="G888" s="19">
        <f>IF('Boletins Nuppa Site'!J888&lt;&gt;0,'Boletins Nuppa Site'!J888,"NULL")</f>
        <v>47</v>
      </c>
      <c r="H888" s="19">
        <f>IF('Boletins Nuppa Site'!K888&lt;&gt;0,'Boletins Nuppa Site'!K888,"NULL")</f>
        <v>49</v>
      </c>
      <c r="J888" s="1" t="str">
        <f t="shared" si="13"/>
        <v>INSERT INTO COTACAO (blt_id, pap_id, cot_prc_comum, cot_prc_min, cot_prc_max, cot_prc_med, cot_prc_mediana) VALUES (23, 15, NULL, 36, 54, 47, 49);</v>
      </c>
    </row>
    <row r="889" spans="1:10" x14ac:dyDescent="0.3">
      <c r="A889" s="1">
        <v>888</v>
      </c>
      <c r="B889" s="1">
        <v>23</v>
      </c>
      <c r="C889" s="1">
        <v>16</v>
      </c>
      <c r="D889" s="19">
        <f>IF('Boletins Nuppa Site'!G889&lt;&gt;0,'Boletins Nuppa Site'!G889,"NULL")</f>
        <v>54</v>
      </c>
      <c r="E889" s="19">
        <f>IF('Boletins Nuppa Site'!H889&lt;&gt;0,'Boletins Nuppa Site'!H889,"NULL")</f>
        <v>48</v>
      </c>
      <c r="F889" s="19">
        <f>IF('Boletins Nuppa Site'!I889&lt;&gt;0,'Boletins Nuppa Site'!I889,"NULL")</f>
        <v>60</v>
      </c>
      <c r="G889" s="19">
        <f>IF('Boletins Nuppa Site'!J889&lt;&gt;0,'Boletins Nuppa Site'!J889,"NULL")</f>
        <v>54</v>
      </c>
      <c r="H889" s="19">
        <f>IF('Boletins Nuppa Site'!K889&lt;&gt;0,'Boletins Nuppa Site'!K889,"NULL")</f>
        <v>54</v>
      </c>
      <c r="J889" s="1" t="str">
        <f t="shared" si="13"/>
        <v>INSERT INTO COTACAO (blt_id, pap_id, cot_prc_comum, cot_prc_min, cot_prc_max, cot_prc_med, cot_prc_mediana) VALUES (23, 16, 54, 48, 60, 54, 54);</v>
      </c>
    </row>
    <row r="890" spans="1:10" x14ac:dyDescent="0.3">
      <c r="A890" s="1">
        <v>889</v>
      </c>
      <c r="B890" s="1">
        <v>23</v>
      </c>
      <c r="C890" s="1">
        <v>17</v>
      </c>
      <c r="D890" s="19">
        <f>IF('Boletins Nuppa Site'!G890&lt;&gt;0,'Boletins Nuppa Site'!G890,"NULL")</f>
        <v>5</v>
      </c>
      <c r="E890" s="19">
        <f>IF('Boletins Nuppa Site'!H890&lt;&gt;0,'Boletins Nuppa Site'!H890,"NULL")</f>
        <v>5</v>
      </c>
      <c r="F890" s="19">
        <f>IF('Boletins Nuppa Site'!I890&lt;&gt;0,'Boletins Nuppa Site'!I890,"NULL")</f>
        <v>5</v>
      </c>
      <c r="G890" s="19">
        <f>IF('Boletins Nuppa Site'!J890&lt;&gt;0,'Boletins Nuppa Site'!J890,"NULL")</f>
        <v>5</v>
      </c>
      <c r="H890" s="19">
        <f>IF('Boletins Nuppa Site'!K890&lt;&gt;0,'Boletins Nuppa Site'!K890,"NULL")</f>
        <v>5</v>
      </c>
      <c r="J890" s="1" t="str">
        <f t="shared" si="13"/>
        <v>INSERT INTO COTACAO (blt_id, pap_id, cot_prc_comum, cot_prc_min, cot_prc_max, cot_prc_med, cot_prc_mediana) VALUES (23, 17, 5, 5, 5, 5, 5);</v>
      </c>
    </row>
    <row r="891" spans="1:10" x14ac:dyDescent="0.3">
      <c r="A891" s="1">
        <v>890</v>
      </c>
      <c r="B891" s="1">
        <v>23</v>
      </c>
      <c r="C891" s="1">
        <v>18</v>
      </c>
      <c r="D891" s="19">
        <f>IF('Boletins Nuppa Site'!G891&lt;&gt;0,'Boletins Nuppa Site'!G891,"NULL")</f>
        <v>18</v>
      </c>
      <c r="E891" s="19">
        <f>IF('Boletins Nuppa Site'!H891&lt;&gt;0,'Boletins Nuppa Site'!H891,"NULL")</f>
        <v>15</v>
      </c>
      <c r="F891" s="19">
        <f>IF('Boletins Nuppa Site'!I891&lt;&gt;0,'Boletins Nuppa Site'!I891,"NULL")</f>
        <v>18</v>
      </c>
      <c r="G891" s="1" t="str">
        <f>IF('Boletins Nuppa Site'!J891&lt;&gt;0,'Boletins Nuppa Site'!J891,"NULL")</f>
        <v>17.25</v>
      </c>
      <c r="H891" s="19">
        <f>IF('Boletins Nuppa Site'!K891&lt;&gt;0,'Boletins Nuppa Site'!K891,"NULL")</f>
        <v>18</v>
      </c>
      <c r="J891" s="1" t="str">
        <f t="shared" si="13"/>
        <v>INSERT INTO COTACAO (blt_id, pap_id, cot_prc_comum, cot_prc_min, cot_prc_max, cot_prc_med, cot_prc_mediana) VALUES (23, 18, 18, 15, 18, 17.25, 18);</v>
      </c>
    </row>
    <row r="892" spans="1:10" x14ac:dyDescent="0.3">
      <c r="A892" s="1">
        <v>891</v>
      </c>
      <c r="B892" s="1">
        <v>23</v>
      </c>
      <c r="C892" s="1">
        <v>19</v>
      </c>
      <c r="D892" s="19">
        <f>IF('Boletins Nuppa Site'!G892&lt;&gt;0,'Boletins Nuppa Site'!G892,"NULL")</f>
        <v>25</v>
      </c>
      <c r="E892" s="19">
        <f>IF('Boletins Nuppa Site'!H892&lt;&gt;0,'Boletins Nuppa Site'!H892,"NULL")</f>
        <v>25</v>
      </c>
      <c r="F892" s="19">
        <f>IF('Boletins Nuppa Site'!I892&lt;&gt;0,'Boletins Nuppa Site'!I892,"NULL")</f>
        <v>30</v>
      </c>
      <c r="G892" s="1" t="str">
        <f>IF('Boletins Nuppa Site'!J892&lt;&gt;0,'Boletins Nuppa Site'!J892,"NULL")</f>
        <v>26.25</v>
      </c>
      <c r="H892" s="19">
        <f>IF('Boletins Nuppa Site'!K892&lt;&gt;0,'Boletins Nuppa Site'!K892,"NULL")</f>
        <v>25</v>
      </c>
      <c r="J892" s="1" t="str">
        <f t="shared" si="13"/>
        <v>INSERT INTO COTACAO (blt_id, pap_id, cot_prc_comum, cot_prc_min, cot_prc_max, cot_prc_med, cot_prc_mediana) VALUES (23, 19, 25, 25, 30, 26.25, 25);</v>
      </c>
    </row>
    <row r="893" spans="1:10" x14ac:dyDescent="0.3">
      <c r="A893" s="1">
        <v>892</v>
      </c>
      <c r="B893" s="1">
        <v>23</v>
      </c>
      <c r="C893" s="1">
        <v>20</v>
      </c>
      <c r="D893" s="1" t="str">
        <f>IF('Boletins Nuppa Site'!G893&lt;&gt;0,'Boletins Nuppa Site'!G893,"NULL")</f>
        <v>NULL</v>
      </c>
      <c r="E893" s="19">
        <f>IF('Boletins Nuppa Site'!H893&lt;&gt;0,'Boletins Nuppa Site'!H893,"NULL")</f>
        <v>80</v>
      </c>
      <c r="F893" s="19">
        <f>IF('Boletins Nuppa Site'!I893&lt;&gt;0,'Boletins Nuppa Site'!I893,"NULL")</f>
        <v>90</v>
      </c>
      <c r="G893" s="19">
        <f>IF('Boletins Nuppa Site'!J893&lt;&gt;0,'Boletins Nuppa Site'!J893,"NULL")</f>
        <v>85</v>
      </c>
      <c r="H893" s="19">
        <f>IF('Boletins Nuppa Site'!K893&lt;&gt;0,'Boletins Nuppa Site'!K893,"NULL")</f>
        <v>85</v>
      </c>
      <c r="J893" s="1" t="str">
        <f t="shared" si="13"/>
        <v>INSERT INTO COTACAO (blt_id, pap_id, cot_prc_comum, cot_prc_min, cot_prc_max, cot_prc_med, cot_prc_mediana) VALUES (23, 20, NULL, 80, 90, 85, 85);</v>
      </c>
    </row>
    <row r="894" spans="1:10" x14ac:dyDescent="0.3">
      <c r="A894" s="1">
        <v>893</v>
      </c>
      <c r="B894" s="1">
        <v>23</v>
      </c>
      <c r="C894" s="1">
        <v>21</v>
      </c>
      <c r="D894" s="19">
        <f>IF('Boletins Nuppa Site'!G894&lt;&gt;0,'Boletins Nuppa Site'!G894,"NULL")</f>
        <v>50</v>
      </c>
      <c r="E894" s="19">
        <f>IF('Boletins Nuppa Site'!H894&lt;&gt;0,'Boletins Nuppa Site'!H894,"NULL")</f>
        <v>40</v>
      </c>
      <c r="F894" s="19">
        <f>IF('Boletins Nuppa Site'!I894&lt;&gt;0,'Boletins Nuppa Site'!I894,"NULL")</f>
        <v>55</v>
      </c>
      <c r="G894" s="1" t="str">
        <f>IF('Boletins Nuppa Site'!J894&lt;&gt;0,'Boletins Nuppa Site'!J894,"NULL")</f>
        <v>48.75</v>
      </c>
      <c r="H894" s="19">
        <f>IF('Boletins Nuppa Site'!K894&lt;&gt;0,'Boletins Nuppa Site'!K894,"NULL")</f>
        <v>50</v>
      </c>
      <c r="J894" s="1" t="str">
        <f t="shared" si="13"/>
        <v>INSERT INTO COTACAO (blt_id, pap_id, cot_prc_comum, cot_prc_min, cot_prc_max, cot_prc_med, cot_prc_mediana) VALUES (23, 21, 50, 40, 55, 48.75, 50);</v>
      </c>
    </row>
    <row r="895" spans="1:10" x14ac:dyDescent="0.3">
      <c r="A895" s="1">
        <v>894</v>
      </c>
      <c r="B895" s="1">
        <v>23</v>
      </c>
      <c r="C895" s="1">
        <v>22</v>
      </c>
      <c r="D895" s="1" t="str">
        <f>IF('Boletins Nuppa Site'!G895&lt;&gt;0,'Boletins Nuppa Site'!G895,"NULL")</f>
        <v>NULL</v>
      </c>
      <c r="E895" s="19">
        <f>IF('Boletins Nuppa Site'!H895&lt;&gt;0,'Boletins Nuppa Site'!H895,"NULL")</f>
        <v>45</v>
      </c>
      <c r="F895" s="19">
        <f>IF('Boletins Nuppa Site'!I895&lt;&gt;0,'Boletins Nuppa Site'!I895,"NULL")</f>
        <v>70</v>
      </c>
      <c r="G895" s="19">
        <f>IF('Boletins Nuppa Site'!J895&lt;&gt;0,'Boletins Nuppa Site'!J895,"NULL")</f>
        <v>58</v>
      </c>
      <c r="H895" s="19">
        <f>IF('Boletins Nuppa Site'!K895&lt;&gt;0,'Boletins Nuppa Site'!K895,"NULL")</f>
        <v>60</v>
      </c>
      <c r="J895" s="1" t="str">
        <f t="shared" si="13"/>
        <v>INSERT INTO COTACAO (blt_id, pap_id, cot_prc_comum, cot_prc_min, cot_prc_max, cot_prc_med, cot_prc_mediana) VALUES (23, 22, NULL, 45, 70, 58, 60);</v>
      </c>
    </row>
    <row r="896" spans="1:10" x14ac:dyDescent="0.3">
      <c r="A896" s="1">
        <v>895</v>
      </c>
      <c r="B896" s="1">
        <v>23</v>
      </c>
      <c r="C896" s="1">
        <v>23</v>
      </c>
      <c r="D896" s="19">
        <f>IF('Boletins Nuppa Site'!G896&lt;&gt;0,'Boletins Nuppa Site'!G896,"NULL")</f>
        <v>40</v>
      </c>
      <c r="E896" s="19">
        <f>IF('Boletins Nuppa Site'!H896&lt;&gt;0,'Boletins Nuppa Site'!H896,"NULL")</f>
        <v>40</v>
      </c>
      <c r="F896" s="19">
        <f>IF('Boletins Nuppa Site'!I896&lt;&gt;0,'Boletins Nuppa Site'!I896,"NULL")</f>
        <v>48</v>
      </c>
      <c r="G896" s="19">
        <f>IF('Boletins Nuppa Site'!J896&lt;&gt;0,'Boletins Nuppa Site'!J896,"NULL")</f>
        <v>42</v>
      </c>
      <c r="H896" s="19">
        <f>IF('Boletins Nuppa Site'!K896&lt;&gt;0,'Boletins Nuppa Site'!K896,"NULL")</f>
        <v>40</v>
      </c>
      <c r="J896" s="1" t="str">
        <f t="shared" si="13"/>
        <v>INSERT INTO COTACAO (blt_id, pap_id, cot_prc_comum, cot_prc_min, cot_prc_max, cot_prc_med, cot_prc_mediana) VALUES (23, 23, 40, 40, 48, 42, 40);</v>
      </c>
    </row>
    <row r="897" spans="1:10" x14ac:dyDescent="0.3">
      <c r="A897" s="1">
        <v>896</v>
      </c>
      <c r="B897" s="1">
        <v>23</v>
      </c>
      <c r="C897" s="1">
        <v>24</v>
      </c>
      <c r="D897" s="1" t="str">
        <f>IF('Boletins Nuppa Site'!G897&lt;&gt;0,'Boletins Nuppa Site'!G897,"NULL")</f>
        <v>NULL</v>
      </c>
      <c r="E897" s="19">
        <f>IF('Boletins Nuppa Site'!H897&lt;&gt;0,'Boletins Nuppa Site'!H897,"NULL")</f>
        <v>100</v>
      </c>
      <c r="F897" s="19">
        <f>IF('Boletins Nuppa Site'!I897&lt;&gt;0,'Boletins Nuppa Site'!I897,"NULL")</f>
        <v>100</v>
      </c>
      <c r="G897" s="19">
        <f>IF('Boletins Nuppa Site'!J897&lt;&gt;0,'Boletins Nuppa Site'!J897,"NULL")</f>
        <v>100</v>
      </c>
      <c r="H897" s="19">
        <f>IF('Boletins Nuppa Site'!K897&lt;&gt;0,'Boletins Nuppa Site'!K897,"NULL")</f>
        <v>100</v>
      </c>
      <c r="J897" s="1" t="str">
        <f t="shared" si="13"/>
        <v>INSERT INTO COTACAO (blt_id, pap_id, cot_prc_comum, cot_prc_min, cot_prc_max, cot_prc_med, cot_prc_mediana) VALUES (23, 24, NULL, 100, 100, 100, 100);</v>
      </c>
    </row>
    <row r="898" spans="1:10" x14ac:dyDescent="0.3">
      <c r="A898" s="1">
        <v>897</v>
      </c>
      <c r="B898" s="1">
        <v>23</v>
      </c>
      <c r="C898" s="1">
        <v>25</v>
      </c>
      <c r="D898" s="1" t="str">
        <f>IF('Boletins Nuppa Site'!G898&lt;&gt;0,'Boletins Nuppa Site'!G898,"NULL")</f>
        <v>NULL</v>
      </c>
      <c r="E898" s="19">
        <f>IF('Boletins Nuppa Site'!H898&lt;&gt;0,'Boletins Nuppa Site'!H898,"NULL")</f>
        <v>75</v>
      </c>
      <c r="F898" s="19">
        <f>IF('Boletins Nuppa Site'!I898&lt;&gt;0,'Boletins Nuppa Site'!I898,"NULL")</f>
        <v>100</v>
      </c>
      <c r="G898" s="19">
        <f>IF('Boletins Nuppa Site'!J898&lt;&gt;0,'Boletins Nuppa Site'!J898,"NULL")</f>
        <v>86</v>
      </c>
      <c r="H898" s="19">
        <f>IF('Boletins Nuppa Site'!K898&lt;&gt;0,'Boletins Nuppa Site'!K898,"NULL")</f>
        <v>85</v>
      </c>
      <c r="J898" s="1" t="str">
        <f t="shared" ref="J898:J961" si="14">"INSERT INTO COTACAO (blt_id, pap_id, cot_prc_comum, cot_prc_min, cot_prc_max, cot_prc_med, cot_prc_mediana) VALUES ("&amp;B898&amp;", "&amp;C898&amp;", "&amp;D898&amp;", "&amp;E898&amp;", "&amp;F898&amp;", "&amp;G898&amp;", "&amp;H898&amp;");"</f>
        <v>INSERT INTO COTACAO (blt_id, pap_id, cot_prc_comum, cot_prc_min, cot_prc_max, cot_prc_med, cot_prc_mediana) VALUES (23, 25, NULL, 75, 100, 86, 85);</v>
      </c>
    </row>
    <row r="899" spans="1:10" x14ac:dyDescent="0.3">
      <c r="A899" s="1">
        <v>898</v>
      </c>
      <c r="B899" s="1">
        <v>23</v>
      </c>
      <c r="C899" s="1">
        <v>26</v>
      </c>
      <c r="D899" s="19">
        <f>IF('Boletins Nuppa Site'!G899&lt;&gt;0,'Boletins Nuppa Site'!G899,"NULL")</f>
        <v>65</v>
      </c>
      <c r="E899" s="19">
        <f>IF('Boletins Nuppa Site'!H899&lt;&gt;0,'Boletins Nuppa Site'!H899,"NULL")</f>
        <v>65</v>
      </c>
      <c r="F899" s="19">
        <f>IF('Boletins Nuppa Site'!I899&lt;&gt;0,'Boletins Nuppa Site'!I899,"NULL")</f>
        <v>80</v>
      </c>
      <c r="G899" s="1" t="str">
        <f>IF('Boletins Nuppa Site'!J899&lt;&gt;0,'Boletins Nuppa Site'!J899,"NULL")</f>
        <v>71.25</v>
      </c>
      <c r="H899" s="19">
        <f>IF('Boletins Nuppa Site'!K899&lt;&gt;0,'Boletins Nuppa Site'!K899,"NULL")</f>
        <v>70</v>
      </c>
      <c r="J899" s="1" t="str">
        <f t="shared" si="14"/>
        <v>INSERT INTO COTACAO (blt_id, pap_id, cot_prc_comum, cot_prc_min, cot_prc_max, cot_prc_med, cot_prc_mediana) VALUES (23, 26, 65, 65, 80, 71.25, 70);</v>
      </c>
    </row>
    <row r="900" spans="1:10" x14ac:dyDescent="0.3">
      <c r="A900" s="1">
        <v>899</v>
      </c>
      <c r="B900" s="1">
        <v>23</v>
      </c>
      <c r="C900" s="1">
        <v>27</v>
      </c>
      <c r="D900" s="1" t="str">
        <f>IF('Boletins Nuppa Site'!G900&lt;&gt;0,'Boletins Nuppa Site'!G900,"NULL")</f>
        <v>NULL</v>
      </c>
      <c r="E900" s="19">
        <f>IF('Boletins Nuppa Site'!H900&lt;&gt;0,'Boletins Nuppa Site'!H900,"NULL")</f>
        <v>50</v>
      </c>
      <c r="F900" s="19">
        <f>IF('Boletins Nuppa Site'!I900&lt;&gt;0,'Boletins Nuppa Site'!I900,"NULL")</f>
        <v>70</v>
      </c>
      <c r="G900" s="1" t="str">
        <f>IF('Boletins Nuppa Site'!J900&lt;&gt;0,'Boletins Nuppa Site'!J900,"NULL")</f>
        <v>61.25</v>
      </c>
      <c r="H900" s="1" t="str">
        <f>IF('Boletins Nuppa Site'!K900&lt;&gt;0,'Boletins Nuppa Site'!K900,"NULL")</f>
        <v>62.5</v>
      </c>
      <c r="J900" s="1" t="str">
        <f t="shared" si="14"/>
        <v>INSERT INTO COTACAO (blt_id, pap_id, cot_prc_comum, cot_prc_min, cot_prc_max, cot_prc_med, cot_prc_mediana) VALUES (23, 27, NULL, 50, 70, 61.25, 62.5);</v>
      </c>
    </row>
    <row r="901" spans="1:10" x14ac:dyDescent="0.3">
      <c r="A901" s="1">
        <v>900</v>
      </c>
      <c r="B901" s="1">
        <v>23</v>
      </c>
      <c r="C901" s="1">
        <v>28</v>
      </c>
      <c r="D901" s="19">
        <f>IF('Boletins Nuppa Site'!G901&lt;&gt;0,'Boletins Nuppa Site'!G901,"NULL")</f>
        <v>100</v>
      </c>
      <c r="E901" s="19">
        <f>IF('Boletins Nuppa Site'!H901&lt;&gt;0,'Boletins Nuppa Site'!H901,"NULL")</f>
        <v>80</v>
      </c>
      <c r="F901" s="19">
        <f>IF('Boletins Nuppa Site'!I901&lt;&gt;0,'Boletins Nuppa Site'!I901,"NULL")</f>
        <v>100</v>
      </c>
      <c r="G901" s="1" t="str">
        <f>IF('Boletins Nuppa Site'!J901&lt;&gt;0,'Boletins Nuppa Site'!J901,"NULL")</f>
        <v>93.33</v>
      </c>
      <c r="H901" s="19">
        <f>IF('Boletins Nuppa Site'!K901&lt;&gt;0,'Boletins Nuppa Site'!K901,"NULL")</f>
        <v>100</v>
      </c>
      <c r="J901" s="1" t="str">
        <f t="shared" si="14"/>
        <v>INSERT INTO COTACAO (blt_id, pap_id, cot_prc_comum, cot_prc_min, cot_prc_max, cot_prc_med, cot_prc_mediana) VALUES (23, 28, 100, 80, 100, 93.33, 100);</v>
      </c>
    </row>
    <row r="902" spans="1:10" x14ac:dyDescent="0.3">
      <c r="A902" s="1">
        <v>901</v>
      </c>
      <c r="B902" s="1">
        <v>23</v>
      </c>
      <c r="C902" s="1">
        <v>29</v>
      </c>
      <c r="D902" s="1" t="str">
        <f>IF('Boletins Nuppa Site'!G902&lt;&gt;0,'Boletins Nuppa Site'!G902,"NULL")</f>
        <v>NULL</v>
      </c>
      <c r="E902" s="19">
        <f>IF('Boletins Nuppa Site'!H902&lt;&gt;0,'Boletins Nuppa Site'!H902,"NULL")</f>
        <v>50</v>
      </c>
      <c r="F902" s="19">
        <f>IF('Boletins Nuppa Site'!I902&lt;&gt;0,'Boletins Nuppa Site'!I902,"NULL")</f>
        <v>53</v>
      </c>
      <c r="G902" s="1" t="str">
        <f>IF('Boletins Nuppa Site'!J902&lt;&gt;0,'Boletins Nuppa Site'!J902,"NULL")</f>
        <v>51.5</v>
      </c>
      <c r="H902" s="1" t="str">
        <f>IF('Boletins Nuppa Site'!K902&lt;&gt;0,'Boletins Nuppa Site'!K902,"NULL")</f>
        <v>51.5</v>
      </c>
      <c r="J902" s="1" t="str">
        <f t="shared" si="14"/>
        <v>INSERT INTO COTACAO (blt_id, pap_id, cot_prc_comum, cot_prc_min, cot_prc_max, cot_prc_med, cot_prc_mediana) VALUES (23, 29, NULL, 50, 53, 51.5, 51.5);</v>
      </c>
    </row>
    <row r="903" spans="1:10" x14ac:dyDescent="0.3">
      <c r="A903" s="1">
        <v>902</v>
      </c>
      <c r="B903" s="1">
        <v>23</v>
      </c>
      <c r="C903" s="1">
        <v>30</v>
      </c>
      <c r="D903" s="1" t="str">
        <f>IF('Boletins Nuppa Site'!G903&lt;&gt;0,'Boletins Nuppa Site'!G903,"NULL")</f>
        <v>NULL</v>
      </c>
      <c r="E903" s="19">
        <f>IF('Boletins Nuppa Site'!H903&lt;&gt;0,'Boletins Nuppa Site'!H903,"NULL")</f>
        <v>50</v>
      </c>
      <c r="F903" s="19">
        <f>IF('Boletins Nuppa Site'!I903&lt;&gt;0,'Boletins Nuppa Site'!I903,"NULL")</f>
        <v>65</v>
      </c>
      <c r="G903" s="1" t="str">
        <f>IF('Boletins Nuppa Site'!J903&lt;&gt;0,'Boletins Nuppa Site'!J903,"NULL")</f>
        <v>58.33</v>
      </c>
      <c r="H903" s="19">
        <f>IF('Boletins Nuppa Site'!K903&lt;&gt;0,'Boletins Nuppa Site'!K903,"NULL")</f>
        <v>60</v>
      </c>
      <c r="J903" s="1" t="str">
        <f t="shared" si="14"/>
        <v>INSERT INTO COTACAO (blt_id, pap_id, cot_prc_comum, cot_prc_min, cot_prc_max, cot_prc_med, cot_prc_mediana) VALUES (23, 30, NULL, 50, 65, 58.33, 60);</v>
      </c>
    </row>
    <row r="904" spans="1:10" x14ac:dyDescent="0.3">
      <c r="A904" s="1">
        <v>903</v>
      </c>
      <c r="B904" s="1">
        <v>23</v>
      </c>
      <c r="C904" s="1">
        <v>31</v>
      </c>
      <c r="D904" s="19">
        <f>IF('Boletins Nuppa Site'!G904&lt;&gt;0,'Boletins Nuppa Site'!G904,"NULL")</f>
        <v>60</v>
      </c>
      <c r="E904" s="19">
        <f>IF('Boletins Nuppa Site'!H904&lt;&gt;0,'Boletins Nuppa Site'!H904,"NULL")</f>
        <v>60</v>
      </c>
      <c r="F904" s="19">
        <f>IF('Boletins Nuppa Site'!I904&lt;&gt;0,'Boletins Nuppa Site'!I904,"NULL")</f>
        <v>70</v>
      </c>
      <c r="G904" s="19">
        <f>IF('Boletins Nuppa Site'!J904&lt;&gt;0,'Boletins Nuppa Site'!J904,"NULL")</f>
        <v>63</v>
      </c>
      <c r="H904" s="19">
        <f>IF('Boletins Nuppa Site'!K904&lt;&gt;0,'Boletins Nuppa Site'!K904,"NULL")</f>
        <v>60</v>
      </c>
      <c r="J904" s="1" t="str">
        <f t="shared" si="14"/>
        <v>INSERT INTO COTACAO (blt_id, pap_id, cot_prc_comum, cot_prc_min, cot_prc_max, cot_prc_med, cot_prc_mediana) VALUES (23, 31, 60, 60, 70, 63, 60);</v>
      </c>
    </row>
    <row r="905" spans="1:10" x14ac:dyDescent="0.3">
      <c r="A905" s="1">
        <v>904</v>
      </c>
      <c r="B905" s="1">
        <v>23</v>
      </c>
      <c r="C905" s="1">
        <v>32</v>
      </c>
      <c r="D905" s="19">
        <f>IF('Boletins Nuppa Site'!G905&lt;&gt;0,'Boletins Nuppa Site'!G905,"NULL")</f>
        <v>50</v>
      </c>
      <c r="E905" s="19">
        <f>IF('Boletins Nuppa Site'!H905&lt;&gt;0,'Boletins Nuppa Site'!H905,"NULL")</f>
        <v>40</v>
      </c>
      <c r="F905" s="19">
        <f>IF('Boletins Nuppa Site'!I905&lt;&gt;0,'Boletins Nuppa Site'!I905,"NULL")</f>
        <v>55</v>
      </c>
      <c r="G905" s="19">
        <f>IF('Boletins Nuppa Site'!J905&lt;&gt;0,'Boletins Nuppa Site'!J905,"NULL")</f>
        <v>50</v>
      </c>
      <c r="H905" s="19">
        <f>IF('Boletins Nuppa Site'!K905&lt;&gt;0,'Boletins Nuppa Site'!K905,"NULL")</f>
        <v>50</v>
      </c>
      <c r="J905" s="1" t="str">
        <f t="shared" si="14"/>
        <v>INSERT INTO COTACAO (blt_id, pap_id, cot_prc_comum, cot_prc_min, cot_prc_max, cot_prc_med, cot_prc_mediana) VALUES (23, 32, 50, 40, 55, 50, 50);</v>
      </c>
    </row>
    <row r="906" spans="1:10" x14ac:dyDescent="0.3">
      <c r="A906" s="1">
        <v>905</v>
      </c>
      <c r="B906" s="1">
        <v>23</v>
      </c>
      <c r="C906" s="1">
        <v>33</v>
      </c>
      <c r="D906" s="19">
        <f>IF('Boletins Nuppa Site'!G906&lt;&gt;0,'Boletins Nuppa Site'!G906,"NULL")</f>
        <v>100</v>
      </c>
      <c r="E906" s="19">
        <f>IF('Boletins Nuppa Site'!H906&lt;&gt;0,'Boletins Nuppa Site'!H906,"NULL")</f>
        <v>90</v>
      </c>
      <c r="F906" s="19">
        <f>IF('Boletins Nuppa Site'!I906&lt;&gt;0,'Boletins Nuppa Site'!I906,"NULL")</f>
        <v>120</v>
      </c>
      <c r="G906" s="1" t="str">
        <f>IF('Boletins Nuppa Site'!J906&lt;&gt;0,'Boletins Nuppa Site'!J906,"NULL")</f>
        <v>102.5</v>
      </c>
      <c r="H906" s="19">
        <f>IF('Boletins Nuppa Site'!K906&lt;&gt;0,'Boletins Nuppa Site'!K906,"NULL")</f>
        <v>100</v>
      </c>
      <c r="J906" s="1" t="str">
        <f t="shared" si="14"/>
        <v>INSERT INTO COTACAO (blt_id, pap_id, cot_prc_comum, cot_prc_min, cot_prc_max, cot_prc_med, cot_prc_mediana) VALUES (23, 33, 100, 90, 120, 102.5, 100);</v>
      </c>
    </row>
    <row r="907" spans="1:10" x14ac:dyDescent="0.3">
      <c r="A907" s="1">
        <v>906</v>
      </c>
      <c r="B907" s="1">
        <v>23</v>
      </c>
      <c r="C907" s="1">
        <v>34</v>
      </c>
      <c r="D907" s="1" t="str">
        <f>IF('Boletins Nuppa Site'!G907&lt;&gt;0,'Boletins Nuppa Site'!G907,"NULL")</f>
        <v>NULL</v>
      </c>
      <c r="E907" s="19">
        <f>IF('Boletins Nuppa Site'!H907&lt;&gt;0,'Boletins Nuppa Site'!H907,"NULL")</f>
        <v>65</v>
      </c>
      <c r="F907" s="19">
        <f>IF('Boletins Nuppa Site'!I907&lt;&gt;0,'Boletins Nuppa Site'!I907,"NULL")</f>
        <v>100</v>
      </c>
      <c r="G907" s="19">
        <f>IF('Boletins Nuppa Site'!J907&lt;&gt;0,'Boletins Nuppa Site'!J907,"NULL")</f>
        <v>78</v>
      </c>
      <c r="H907" s="19">
        <f>IF('Boletins Nuppa Site'!K907&lt;&gt;0,'Boletins Nuppa Site'!K907,"NULL")</f>
        <v>75</v>
      </c>
      <c r="J907" s="1" t="str">
        <f t="shared" si="14"/>
        <v>INSERT INTO COTACAO (blt_id, pap_id, cot_prc_comum, cot_prc_min, cot_prc_max, cot_prc_med, cot_prc_mediana) VALUES (23, 34, NULL, 65, 100, 78, 75);</v>
      </c>
    </row>
    <row r="908" spans="1:10" x14ac:dyDescent="0.3">
      <c r="A908" s="1">
        <v>907</v>
      </c>
      <c r="B908" s="1">
        <v>23</v>
      </c>
      <c r="C908" s="1">
        <v>35</v>
      </c>
      <c r="D908" s="19">
        <f>IF('Boletins Nuppa Site'!G908&lt;&gt;0,'Boletins Nuppa Site'!G908,"NULL")</f>
        <v>100</v>
      </c>
      <c r="E908" s="19">
        <f>IF('Boletins Nuppa Site'!H908&lt;&gt;0,'Boletins Nuppa Site'!H908,"NULL")</f>
        <v>100</v>
      </c>
      <c r="F908" s="19">
        <f>IF('Boletins Nuppa Site'!I908&lt;&gt;0,'Boletins Nuppa Site'!I908,"NULL")</f>
        <v>120</v>
      </c>
      <c r="G908" s="1" t="str">
        <f>IF('Boletins Nuppa Site'!J908&lt;&gt;0,'Boletins Nuppa Site'!J908,"NULL")</f>
        <v>106.67</v>
      </c>
      <c r="H908" s="19">
        <f>IF('Boletins Nuppa Site'!K908&lt;&gt;0,'Boletins Nuppa Site'!K908,"NULL")</f>
        <v>100</v>
      </c>
      <c r="J908" s="1" t="str">
        <f t="shared" si="14"/>
        <v>INSERT INTO COTACAO (blt_id, pap_id, cot_prc_comum, cot_prc_min, cot_prc_max, cot_prc_med, cot_prc_mediana) VALUES (23, 35, 100, 100, 120, 106.67, 100);</v>
      </c>
    </row>
    <row r="909" spans="1:10" x14ac:dyDescent="0.3">
      <c r="A909" s="1">
        <v>908</v>
      </c>
      <c r="B909" s="1">
        <v>23</v>
      </c>
      <c r="C909" s="1">
        <v>36</v>
      </c>
      <c r="D909" s="1" t="str">
        <f>IF('Boletins Nuppa Site'!G909&lt;&gt;0,'Boletins Nuppa Site'!G909,"NULL")</f>
        <v>NULL</v>
      </c>
      <c r="E909" s="1" t="str">
        <f>IF('Boletins Nuppa Site'!H909&lt;&gt;0,'Boletins Nuppa Site'!H909,"NULL")</f>
        <v>NULL</v>
      </c>
      <c r="F909" s="1" t="str">
        <f>IF('Boletins Nuppa Site'!I909&lt;&gt;0,'Boletins Nuppa Site'!I909,"NULL")</f>
        <v>NULL</v>
      </c>
      <c r="G909" s="1" t="str">
        <f>IF('Boletins Nuppa Site'!J909&lt;&gt;0,'Boletins Nuppa Site'!J909,"NULL")</f>
        <v>NULL</v>
      </c>
      <c r="H909" s="1" t="str">
        <f>IF('Boletins Nuppa Site'!K909&lt;&gt;0,'Boletins Nuppa Site'!K909,"NULL")</f>
        <v>NULL</v>
      </c>
      <c r="J909" s="1" t="str">
        <f t="shared" si="14"/>
        <v>INSERT INTO COTACAO (blt_id, pap_id, cot_prc_comum, cot_prc_min, cot_prc_max, cot_prc_med, cot_prc_mediana) VALUES (23, 36, NULL, NULL, NULL, NULL, NULL);</v>
      </c>
    </row>
    <row r="910" spans="1:10" x14ac:dyDescent="0.3">
      <c r="A910" s="1">
        <v>909</v>
      </c>
      <c r="B910" s="1">
        <v>23</v>
      </c>
      <c r="C910" s="1">
        <v>37</v>
      </c>
      <c r="D910" s="1" t="str">
        <f>IF('Boletins Nuppa Site'!G910&lt;&gt;0,'Boletins Nuppa Site'!G910,"NULL")</f>
        <v>NULL</v>
      </c>
      <c r="E910" s="1" t="str">
        <f>IF('Boletins Nuppa Site'!H910&lt;&gt;0,'Boletins Nuppa Site'!H910,"NULL")</f>
        <v>NULL</v>
      </c>
      <c r="F910" s="1" t="str">
        <f>IF('Boletins Nuppa Site'!I910&lt;&gt;0,'Boletins Nuppa Site'!I910,"NULL")</f>
        <v>NULL</v>
      </c>
      <c r="G910" s="1" t="str">
        <f>IF('Boletins Nuppa Site'!J910&lt;&gt;0,'Boletins Nuppa Site'!J910,"NULL")</f>
        <v>NULL</v>
      </c>
      <c r="H910" s="1" t="str">
        <f>IF('Boletins Nuppa Site'!K910&lt;&gt;0,'Boletins Nuppa Site'!K910,"NULL")</f>
        <v>NULL</v>
      </c>
      <c r="J910" s="1" t="str">
        <f t="shared" si="14"/>
        <v>INSERT INTO COTACAO (blt_id, pap_id, cot_prc_comum, cot_prc_min, cot_prc_max, cot_prc_med, cot_prc_mediana) VALUES (23, 37, NULL, NULL, NULL, NULL, NULL);</v>
      </c>
    </row>
    <row r="911" spans="1:10" x14ac:dyDescent="0.3">
      <c r="A911" s="1">
        <v>910</v>
      </c>
      <c r="B911" s="1">
        <v>23</v>
      </c>
      <c r="C911" s="1">
        <v>38</v>
      </c>
      <c r="D911" s="1" t="str">
        <f>IF('Boletins Nuppa Site'!G911&lt;&gt;0,'Boletins Nuppa Site'!G911,"NULL")</f>
        <v>NULL</v>
      </c>
      <c r="E911" s="1" t="str">
        <f>IF('Boletins Nuppa Site'!H911&lt;&gt;0,'Boletins Nuppa Site'!H911,"NULL")</f>
        <v>NULL</v>
      </c>
      <c r="F911" s="1" t="str">
        <f>IF('Boletins Nuppa Site'!I911&lt;&gt;0,'Boletins Nuppa Site'!I911,"NULL")</f>
        <v>NULL</v>
      </c>
      <c r="G911" s="1" t="str">
        <f>IF('Boletins Nuppa Site'!J911&lt;&gt;0,'Boletins Nuppa Site'!J911,"NULL")</f>
        <v>NULL</v>
      </c>
      <c r="H911" s="1" t="str">
        <f>IF('Boletins Nuppa Site'!K911&lt;&gt;0,'Boletins Nuppa Site'!K911,"NULL")</f>
        <v>NULL</v>
      </c>
      <c r="J911" s="1" t="str">
        <f t="shared" si="14"/>
        <v>INSERT INTO COTACAO (blt_id, pap_id, cot_prc_comum, cot_prc_min, cot_prc_max, cot_prc_med, cot_prc_mediana) VALUES (23, 38, NULL, NULL, NULL, NULL, NULL);</v>
      </c>
    </row>
    <row r="912" spans="1:10" x14ac:dyDescent="0.3">
      <c r="A912" s="1">
        <v>911</v>
      </c>
      <c r="B912" s="1">
        <v>23</v>
      </c>
      <c r="C912" s="1">
        <v>39</v>
      </c>
      <c r="D912" s="1" t="str">
        <f>IF('Boletins Nuppa Site'!G912&lt;&gt;0,'Boletins Nuppa Site'!G912,"NULL")</f>
        <v>NULL</v>
      </c>
      <c r="E912" s="19">
        <f>IF('Boletins Nuppa Site'!H912&lt;&gt;0,'Boletins Nuppa Site'!H912,"NULL")</f>
        <v>50</v>
      </c>
      <c r="F912" s="19">
        <f>IF('Boletins Nuppa Site'!I912&lt;&gt;0,'Boletins Nuppa Site'!I912,"NULL")</f>
        <v>50</v>
      </c>
      <c r="G912" s="19">
        <f>IF('Boletins Nuppa Site'!J912&lt;&gt;0,'Boletins Nuppa Site'!J912,"NULL")</f>
        <v>50</v>
      </c>
      <c r="H912" s="19">
        <f>IF('Boletins Nuppa Site'!K912&lt;&gt;0,'Boletins Nuppa Site'!K912,"NULL")</f>
        <v>50</v>
      </c>
      <c r="J912" s="1" t="str">
        <f t="shared" si="14"/>
        <v>INSERT INTO COTACAO (blt_id, pap_id, cot_prc_comum, cot_prc_min, cot_prc_max, cot_prc_med, cot_prc_mediana) VALUES (23, 39, NULL, 50, 50, 50, 50);</v>
      </c>
    </row>
    <row r="913" spans="1:10" x14ac:dyDescent="0.3">
      <c r="A913" s="1">
        <v>912</v>
      </c>
      <c r="B913" s="1">
        <v>23</v>
      </c>
      <c r="C913" s="1">
        <v>40</v>
      </c>
      <c r="D913" s="1" t="str">
        <f>IF('Boletins Nuppa Site'!G913&lt;&gt;0,'Boletins Nuppa Site'!G913,"NULL")</f>
        <v>NULL</v>
      </c>
      <c r="E913" s="19">
        <f>IF('Boletins Nuppa Site'!H913&lt;&gt;0,'Boletins Nuppa Site'!H913,"NULL")</f>
        <v>65</v>
      </c>
      <c r="F913" s="19">
        <f>IF('Boletins Nuppa Site'!I913&lt;&gt;0,'Boletins Nuppa Site'!I913,"NULL")</f>
        <v>65</v>
      </c>
      <c r="G913" s="19">
        <f>IF('Boletins Nuppa Site'!J913&lt;&gt;0,'Boletins Nuppa Site'!J913,"NULL")</f>
        <v>65</v>
      </c>
      <c r="H913" s="19">
        <f>IF('Boletins Nuppa Site'!K913&lt;&gt;0,'Boletins Nuppa Site'!K913,"NULL")</f>
        <v>65</v>
      </c>
      <c r="J913" s="1" t="str">
        <f t="shared" si="14"/>
        <v>INSERT INTO COTACAO (blt_id, pap_id, cot_prc_comum, cot_prc_min, cot_prc_max, cot_prc_med, cot_prc_mediana) VALUES (23, 40, NULL, 65, 65, 65, 65);</v>
      </c>
    </row>
    <row r="914" spans="1:10" x14ac:dyDescent="0.3">
      <c r="A914" s="1">
        <v>913</v>
      </c>
      <c r="B914" s="1">
        <v>24</v>
      </c>
      <c r="C914" s="1">
        <v>1</v>
      </c>
      <c r="D914" s="19">
        <f>IF('Boletins Nuppa Site'!G914&lt;&gt;0,'Boletins Nuppa Site'!G914,"NULL")</f>
        <v>48</v>
      </c>
      <c r="E914" s="19">
        <f>IF('Boletins Nuppa Site'!H914&lt;&gt;0,'Boletins Nuppa Site'!H914,"NULL")</f>
        <v>48</v>
      </c>
      <c r="F914" s="19">
        <f>IF('Boletins Nuppa Site'!I914&lt;&gt;0,'Boletins Nuppa Site'!I914,"NULL")</f>
        <v>60</v>
      </c>
      <c r="G914" s="19">
        <f>IF('Boletins Nuppa Site'!J914&lt;&gt;0,'Boletins Nuppa Site'!J914,"NULL")</f>
        <v>54</v>
      </c>
      <c r="H914" s="19">
        <f>IF('Boletins Nuppa Site'!K914&lt;&gt;0,'Boletins Nuppa Site'!K914,"NULL")</f>
        <v>54</v>
      </c>
      <c r="J914" s="1" t="str">
        <f t="shared" si="14"/>
        <v>INSERT INTO COTACAO (blt_id, pap_id, cot_prc_comum, cot_prc_min, cot_prc_max, cot_prc_med, cot_prc_mediana) VALUES (24, 1, 48, 48, 60, 54, 54);</v>
      </c>
    </row>
    <row r="915" spans="1:10" x14ac:dyDescent="0.3">
      <c r="A915" s="1">
        <v>914</v>
      </c>
      <c r="B915" s="1">
        <v>24</v>
      </c>
      <c r="C915" s="1">
        <v>2</v>
      </c>
      <c r="D915" s="19">
        <f>IF('Boletins Nuppa Site'!G915&lt;&gt;0,'Boletins Nuppa Site'!G915,"NULL")</f>
        <v>72</v>
      </c>
      <c r="E915" s="19">
        <f>IF('Boletins Nuppa Site'!H915&lt;&gt;0,'Boletins Nuppa Site'!H915,"NULL")</f>
        <v>72</v>
      </c>
      <c r="F915" s="19">
        <f>IF('Boletins Nuppa Site'!I915&lt;&gt;0,'Boletins Nuppa Site'!I915,"NULL")</f>
        <v>84</v>
      </c>
      <c r="G915" s="19">
        <f>IF('Boletins Nuppa Site'!J915&lt;&gt;0,'Boletins Nuppa Site'!J915,"NULL")</f>
        <v>78</v>
      </c>
      <c r="H915" s="19">
        <f>IF('Boletins Nuppa Site'!K915&lt;&gt;0,'Boletins Nuppa Site'!K915,"NULL")</f>
        <v>78</v>
      </c>
      <c r="J915" s="1" t="str">
        <f t="shared" si="14"/>
        <v>INSERT INTO COTACAO (blt_id, pap_id, cot_prc_comum, cot_prc_min, cot_prc_max, cot_prc_med, cot_prc_mediana) VALUES (24, 2, 72, 72, 84, 78, 78);</v>
      </c>
    </row>
    <row r="916" spans="1:10" x14ac:dyDescent="0.3">
      <c r="A916" s="1">
        <v>915</v>
      </c>
      <c r="B916" s="1">
        <v>24</v>
      </c>
      <c r="C916" s="1">
        <v>3</v>
      </c>
      <c r="D916" s="19">
        <f>IF('Boletins Nuppa Site'!G916&lt;&gt;0,'Boletins Nuppa Site'!G916,"NULL")</f>
        <v>36</v>
      </c>
      <c r="E916" s="19">
        <f>IF('Boletins Nuppa Site'!H916&lt;&gt;0,'Boletins Nuppa Site'!H916,"NULL")</f>
        <v>36</v>
      </c>
      <c r="F916" s="19">
        <f>IF('Boletins Nuppa Site'!I916&lt;&gt;0,'Boletins Nuppa Site'!I916,"NULL")</f>
        <v>48</v>
      </c>
      <c r="G916" s="19">
        <f>IF('Boletins Nuppa Site'!J916&lt;&gt;0,'Boletins Nuppa Site'!J916,"NULL")</f>
        <v>40</v>
      </c>
      <c r="H916" s="19">
        <f>IF('Boletins Nuppa Site'!K916&lt;&gt;0,'Boletins Nuppa Site'!K916,"NULL")</f>
        <v>38</v>
      </c>
      <c r="J916" s="1" t="str">
        <f t="shared" si="14"/>
        <v>INSERT INTO COTACAO (blt_id, pap_id, cot_prc_comum, cot_prc_min, cot_prc_max, cot_prc_med, cot_prc_mediana) VALUES (24, 3, 36, 36, 48, 40, 38);</v>
      </c>
    </row>
    <row r="917" spans="1:10" x14ac:dyDescent="0.3">
      <c r="A917" s="1">
        <v>916</v>
      </c>
      <c r="B917" s="1">
        <v>24</v>
      </c>
      <c r="C917" s="1">
        <v>4</v>
      </c>
      <c r="D917" s="19">
        <f>IF('Boletins Nuppa Site'!G917&lt;&gt;0,'Boletins Nuppa Site'!G917,"NULL")</f>
        <v>24</v>
      </c>
      <c r="E917" s="19">
        <f>IF('Boletins Nuppa Site'!H917&lt;&gt;0,'Boletins Nuppa Site'!H917,"NULL")</f>
        <v>20</v>
      </c>
      <c r="F917" s="19">
        <f>IF('Boletins Nuppa Site'!I917&lt;&gt;0,'Boletins Nuppa Site'!I917,"NULL")</f>
        <v>24</v>
      </c>
      <c r="G917" s="19">
        <f>IF('Boletins Nuppa Site'!J917&lt;&gt;0,'Boletins Nuppa Site'!J917,"NULL")</f>
        <v>23</v>
      </c>
      <c r="H917" s="19">
        <f>IF('Boletins Nuppa Site'!K917&lt;&gt;0,'Boletins Nuppa Site'!K917,"NULL")</f>
        <v>24</v>
      </c>
      <c r="J917" s="1" t="str">
        <f t="shared" si="14"/>
        <v>INSERT INTO COTACAO (blt_id, pap_id, cot_prc_comum, cot_prc_min, cot_prc_max, cot_prc_med, cot_prc_mediana) VALUES (24, 4, 24, 20, 24, 23, 24);</v>
      </c>
    </row>
    <row r="918" spans="1:10" x14ac:dyDescent="0.3">
      <c r="A918" s="1">
        <v>917</v>
      </c>
      <c r="B918" s="1">
        <v>24</v>
      </c>
      <c r="C918" s="1">
        <v>5</v>
      </c>
      <c r="D918" s="19">
        <f>IF('Boletins Nuppa Site'!G918&lt;&gt;0,'Boletins Nuppa Site'!G918,"NULL")</f>
        <v>24</v>
      </c>
      <c r="E918" s="19">
        <f>IF('Boletins Nuppa Site'!H918&lt;&gt;0,'Boletins Nuppa Site'!H918,"NULL")</f>
        <v>20</v>
      </c>
      <c r="F918" s="19">
        <f>IF('Boletins Nuppa Site'!I918&lt;&gt;0,'Boletins Nuppa Site'!I918,"NULL")</f>
        <v>24</v>
      </c>
      <c r="G918" s="19">
        <f>IF('Boletins Nuppa Site'!J918&lt;&gt;0,'Boletins Nuppa Site'!J918,"NULL")</f>
        <v>23</v>
      </c>
      <c r="H918" s="19">
        <f>IF('Boletins Nuppa Site'!K918&lt;&gt;0,'Boletins Nuppa Site'!K918,"NULL")</f>
        <v>24</v>
      </c>
      <c r="J918" s="1" t="str">
        <f t="shared" si="14"/>
        <v>INSERT INTO COTACAO (blt_id, pap_id, cot_prc_comum, cot_prc_min, cot_prc_max, cot_prc_med, cot_prc_mediana) VALUES (24, 5, 24, 20, 24, 23, 24);</v>
      </c>
    </row>
    <row r="919" spans="1:10" x14ac:dyDescent="0.3">
      <c r="A919" s="1">
        <v>918</v>
      </c>
      <c r="B919" s="1">
        <v>24</v>
      </c>
      <c r="C919" s="1">
        <v>6</v>
      </c>
      <c r="D919" s="19">
        <f>IF('Boletins Nuppa Site'!G919&lt;&gt;0,'Boletins Nuppa Site'!G919,"NULL")</f>
        <v>60</v>
      </c>
      <c r="E919" s="19">
        <f>IF('Boletins Nuppa Site'!H919&lt;&gt;0,'Boletins Nuppa Site'!H919,"NULL")</f>
        <v>60</v>
      </c>
      <c r="F919" s="19">
        <f>IF('Boletins Nuppa Site'!I919&lt;&gt;0,'Boletins Nuppa Site'!I919,"NULL")</f>
        <v>60</v>
      </c>
      <c r="G919" s="19">
        <f>IF('Boletins Nuppa Site'!J919&lt;&gt;0,'Boletins Nuppa Site'!J919,"NULL")</f>
        <v>60</v>
      </c>
      <c r="H919" s="19">
        <f>IF('Boletins Nuppa Site'!K919&lt;&gt;0,'Boletins Nuppa Site'!K919,"NULL")</f>
        <v>60</v>
      </c>
      <c r="J919" s="1" t="str">
        <f t="shared" si="14"/>
        <v>INSERT INTO COTACAO (blt_id, pap_id, cot_prc_comum, cot_prc_min, cot_prc_max, cot_prc_med, cot_prc_mediana) VALUES (24, 6, 60, 60, 60, 60, 60);</v>
      </c>
    </row>
    <row r="920" spans="1:10" x14ac:dyDescent="0.3">
      <c r="A920" s="1">
        <v>919</v>
      </c>
      <c r="B920" s="1">
        <v>24</v>
      </c>
      <c r="C920" s="1">
        <v>7</v>
      </c>
      <c r="D920" s="19">
        <f>IF('Boletins Nuppa Site'!G920&lt;&gt;0,'Boletins Nuppa Site'!G920,"NULL")</f>
        <v>60</v>
      </c>
      <c r="E920" s="19">
        <f>IF('Boletins Nuppa Site'!H920&lt;&gt;0,'Boletins Nuppa Site'!H920,"NULL")</f>
        <v>54</v>
      </c>
      <c r="F920" s="19">
        <f>IF('Boletins Nuppa Site'!I920&lt;&gt;0,'Boletins Nuppa Site'!I920,"NULL")</f>
        <v>60</v>
      </c>
      <c r="G920" s="1" t="str">
        <f>IF('Boletins Nuppa Site'!J920&lt;&gt;0,'Boletins Nuppa Site'!J920,"NULL")</f>
        <v>58.5</v>
      </c>
      <c r="H920" s="19">
        <f>IF('Boletins Nuppa Site'!K920&lt;&gt;0,'Boletins Nuppa Site'!K920,"NULL")</f>
        <v>60</v>
      </c>
      <c r="J920" s="1" t="str">
        <f t="shared" si="14"/>
        <v>INSERT INTO COTACAO (blt_id, pap_id, cot_prc_comum, cot_prc_min, cot_prc_max, cot_prc_med, cot_prc_mediana) VALUES (24, 7, 60, 54, 60, 58.5, 60);</v>
      </c>
    </row>
    <row r="921" spans="1:10" x14ac:dyDescent="0.3">
      <c r="A921" s="1">
        <v>920</v>
      </c>
      <c r="B921" s="1">
        <v>24</v>
      </c>
      <c r="C921" s="1">
        <v>8</v>
      </c>
      <c r="D921" s="19">
        <f>IF('Boletins Nuppa Site'!G921&lt;&gt;0,'Boletins Nuppa Site'!G921,"NULL")</f>
        <v>84</v>
      </c>
      <c r="E921" s="19">
        <f>IF('Boletins Nuppa Site'!H921&lt;&gt;0,'Boletins Nuppa Site'!H921,"NULL")</f>
        <v>72</v>
      </c>
      <c r="F921" s="19">
        <f>IF('Boletins Nuppa Site'!I921&lt;&gt;0,'Boletins Nuppa Site'!I921,"NULL")</f>
        <v>96</v>
      </c>
      <c r="G921" s="19">
        <f>IF('Boletins Nuppa Site'!J921&lt;&gt;0,'Boletins Nuppa Site'!J921,"NULL")</f>
        <v>84</v>
      </c>
      <c r="H921" s="19">
        <f>IF('Boletins Nuppa Site'!K921&lt;&gt;0,'Boletins Nuppa Site'!K921,"NULL")</f>
        <v>84</v>
      </c>
      <c r="J921" s="1" t="str">
        <f t="shared" si="14"/>
        <v>INSERT INTO COTACAO (blt_id, pap_id, cot_prc_comum, cot_prc_min, cot_prc_max, cot_prc_med, cot_prc_mediana) VALUES (24, 8, 84, 72, 96, 84, 84);</v>
      </c>
    </row>
    <row r="922" spans="1:10" x14ac:dyDescent="0.3">
      <c r="A922" s="1">
        <v>921</v>
      </c>
      <c r="B922" s="1">
        <v>24</v>
      </c>
      <c r="C922" s="1">
        <v>9</v>
      </c>
      <c r="D922" s="19">
        <f>IF('Boletins Nuppa Site'!G922&lt;&gt;0,'Boletins Nuppa Site'!G922,"NULL")</f>
        <v>24</v>
      </c>
      <c r="E922" s="19">
        <f>IF('Boletins Nuppa Site'!H922&lt;&gt;0,'Boletins Nuppa Site'!H922,"NULL")</f>
        <v>24</v>
      </c>
      <c r="F922" s="19">
        <f>IF('Boletins Nuppa Site'!I922&lt;&gt;0,'Boletins Nuppa Site'!I922,"NULL")</f>
        <v>30</v>
      </c>
      <c r="G922" s="1" t="str">
        <f>IF('Boletins Nuppa Site'!J922&lt;&gt;0,'Boletins Nuppa Site'!J922,"NULL")</f>
        <v>25.5</v>
      </c>
      <c r="H922" s="19">
        <f>IF('Boletins Nuppa Site'!K922&lt;&gt;0,'Boletins Nuppa Site'!K922,"NULL")</f>
        <v>24</v>
      </c>
      <c r="J922" s="1" t="str">
        <f t="shared" si="14"/>
        <v>INSERT INTO COTACAO (blt_id, pap_id, cot_prc_comum, cot_prc_min, cot_prc_max, cot_prc_med, cot_prc_mediana) VALUES (24, 9, 24, 24, 30, 25.5, 24);</v>
      </c>
    </row>
    <row r="923" spans="1:10" x14ac:dyDescent="0.3">
      <c r="A923" s="1">
        <v>922</v>
      </c>
      <c r="B923" s="1">
        <v>24</v>
      </c>
      <c r="C923" s="1">
        <v>10</v>
      </c>
      <c r="D923" s="19">
        <f>IF('Boletins Nuppa Site'!G923&lt;&gt;0,'Boletins Nuppa Site'!G923,"NULL")</f>
        <v>60</v>
      </c>
      <c r="E923" s="19">
        <f>IF('Boletins Nuppa Site'!H923&lt;&gt;0,'Boletins Nuppa Site'!H923,"NULL")</f>
        <v>60</v>
      </c>
      <c r="F923" s="19">
        <f>IF('Boletins Nuppa Site'!I923&lt;&gt;0,'Boletins Nuppa Site'!I923,"NULL")</f>
        <v>72</v>
      </c>
      <c r="G923" s="19">
        <f>IF('Boletins Nuppa Site'!J923&lt;&gt;0,'Boletins Nuppa Site'!J923,"NULL")</f>
        <v>63</v>
      </c>
      <c r="H923" s="19">
        <f>IF('Boletins Nuppa Site'!K923&lt;&gt;0,'Boletins Nuppa Site'!K923,"NULL")</f>
        <v>60</v>
      </c>
      <c r="J923" s="1" t="str">
        <f t="shared" si="14"/>
        <v>INSERT INTO COTACAO (blt_id, pap_id, cot_prc_comum, cot_prc_min, cot_prc_max, cot_prc_med, cot_prc_mediana) VALUES (24, 10, 60, 60, 72, 63, 60);</v>
      </c>
    </row>
    <row r="924" spans="1:10" x14ac:dyDescent="0.3">
      <c r="A924" s="1">
        <v>923</v>
      </c>
      <c r="B924" s="1">
        <v>24</v>
      </c>
      <c r="C924" s="1">
        <v>11</v>
      </c>
      <c r="D924" s="19">
        <f>IF('Boletins Nuppa Site'!G924&lt;&gt;0,'Boletins Nuppa Site'!G924,"NULL")</f>
        <v>24</v>
      </c>
      <c r="E924" s="19">
        <f>IF('Boletins Nuppa Site'!H924&lt;&gt;0,'Boletins Nuppa Site'!H924,"NULL")</f>
        <v>20</v>
      </c>
      <c r="F924" s="19">
        <f>IF('Boletins Nuppa Site'!I924&lt;&gt;0,'Boletins Nuppa Site'!I924,"NULL")</f>
        <v>24</v>
      </c>
      <c r="G924" s="19">
        <f>IF('Boletins Nuppa Site'!J924&lt;&gt;0,'Boletins Nuppa Site'!J924,"NULL")</f>
        <v>23</v>
      </c>
      <c r="H924" s="19">
        <f>IF('Boletins Nuppa Site'!K924&lt;&gt;0,'Boletins Nuppa Site'!K924,"NULL")</f>
        <v>24</v>
      </c>
      <c r="J924" s="1" t="str">
        <f t="shared" si="14"/>
        <v>INSERT INTO COTACAO (blt_id, pap_id, cot_prc_comum, cot_prc_min, cot_prc_max, cot_prc_med, cot_prc_mediana) VALUES (24, 11, 24, 20, 24, 23, 24);</v>
      </c>
    </row>
    <row r="925" spans="1:10" x14ac:dyDescent="0.3">
      <c r="A925" s="1">
        <v>924</v>
      </c>
      <c r="B925" s="1">
        <v>24</v>
      </c>
      <c r="C925" s="1">
        <v>12</v>
      </c>
      <c r="D925" s="19">
        <f>IF('Boletins Nuppa Site'!G925&lt;&gt;0,'Boletins Nuppa Site'!G925,"NULL")</f>
        <v>60</v>
      </c>
      <c r="E925" s="19">
        <f>IF('Boletins Nuppa Site'!H925&lt;&gt;0,'Boletins Nuppa Site'!H925,"NULL")</f>
        <v>60</v>
      </c>
      <c r="F925" s="19">
        <f>IF('Boletins Nuppa Site'!I925&lt;&gt;0,'Boletins Nuppa Site'!I925,"NULL")</f>
        <v>78</v>
      </c>
      <c r="G925" s="1" t="str">
        <f>IF('Boletins Nuppa Site'!J925&lt;&gt;0,'Boletins Nuppa Site'!J925,"NULL")</f>
        <v>64.5</v>
      </c>
      <c r="H925" s="19">
        <f>IF('Boletins Nuppa Site'!K925&lt;&gt;0,'Boletins Nuppa Site'!K925,"NULL")</f>
        <v>60</v>
      </c>
      <c r="J925" s="1" t="str">
        <f t="shared" si="14"/>
        <v>INSERT INTO COTACAO (blt_id, pap_id, cot_prc_comum, cot_prc_min, cot_prc_max, cot_prc_med, cot_prc_mediana) VALUES (24, 12, 60, 60, 78, 64.5, 60);</v>
      </c>
    </row>
    <row r="926" spans="1:10" x14ac:dyDescent="0.3">
      <c r="A926" s="1">
        <v>925</v>
      </c>
      <c r="B926" s="1">
        <v>24</v>
      </c>
      <c r="C926" s="1">
        <v>13</v>
      </c>
      <c r="D926" s="19">
        <f>IF('Boletins Nuppa Site'!G926&lt;&gt;0,'Boletins Nuppa Site'!G926,"NULL")</f>
        <v>60</v>
      </c>
      <c r="E926" s="19">
        <f>IF('Boletins Nuppa Site'!H926&lt;&gt;0,'Boletins Nuppa Site'!H926,"NULL")</f>
        <v>60</v>
      </c>
      <c r="F926" s="19">
        <f>IF('Boletins Nuppa Site'!I926&lt;&gt;0,'Boletins Nuppa Site'!I926,"NULL")</f>
        <v>60</v>
      </c>
      <c r="G926" s="19">
        <f>IF('Boletins Nuppa Site'!J926&lt;&gt;0,'Boletins Nuppa Site'!J926,"NULL")</f>
        <v>60</v>
      </c>
      <c r="H926" s="19">
        <f>IF('Boletins Nuppa Site'!K926&lt;&gt;0,'Boletins Nuppa Site'!K926,"NULL")</f>
        <v>60</v>
      </c>
      <c r="J926" s="1" t="str">
        <f t="shared" si="14"/>
        <v>INSERT INTO COTACAO (blt_id, pap_id, cot_prc_comum, cot_prc_min, cot_prc_max, cot_prc_med, cot_prc_mediana) VALUES (24, 13, 60, 60, 60, 60, 60);</v>
      </c>
    </row>
    <row r="927" spans="1:10" x14ac:dyDescent="0.3">
      <c r="A927" s="1">
        <v>926</v>
      </c>
      <c r="B927" s="1">
        <v>24</v>
      </c>
      <c r="C927" s="1">
        <v>14</v>
      </c>
      <c r="D927" s="1" t="str">
        <f>IF('Boletins Nuppa Site'!G927&lt;&gt;0,'Boletins Nuppa Site'!G927,"NULL")</f>
        <v>NULL</v>
      </c>
      <c r="E927" s="19">
        <f>IF('Boletins Nuppa Site'!H927&lt;&gt;0,'Boletins Nuppa Site'!H927,"NULL")</f>
        <v>50</v>
      </c>
      <c r="F927" s="19">
        <f>IF('Boletins Nuppa Site'!I927&lt;&gt;0,'Boletins Nuppa Site'!I927,"NULL")</f>
        <v>84</v>
      </c>
      <c r="G927" s="1" t="str">
        <f>IF('Boletins Nuppa Site'!J927&lt;&gt;0,'Boletins Nuppa Site'!J927,"NULL")</f>
        <v>66.5</v>
      </c>
      <c r="H927" s="19">
        <f>IF('Boletins Nuppa Site'!K927&lt;&gt;0,'Boletins Nuppa Site'!K927,"NULL")</f>
        <v>66</v>
      </c>
      <c r="J927" s="1" t="str">
        <f t="shared" si="14"/>
        <v>INSERT INTO COTACAO (blt_id, pap_id, cot_prc_comum, cot_prc_min, cot_prc_max, cot_prc_med, cot_prc_mediana) VALUES (24, 14, NULL, 50, 84, 66.5, 66);</v>
      </c>
    </row>
    <row r="928" spans="1:10" x14ac:dyDescent="0.3">
      <c r="A928" s="1">
        <v>927</v>
      </c>
      <c r="B928" s="1">
        <v>24</v>
      </c>
      <c r="C928" s="1">
        <v>15</v>
      </c>
      <c r="D928" s="19">
        <f>IF('Boletins Nuppa Site'!G928&lt;&gt;0,'Boletins Nuppa Site'!G928,"NULL")</f>
        <v>45</v>
      </c>
      <c r="E928" s="19">
        <f>IF('Boletins Nuppa Site'!H928&lt;&gt;0,'Boletins Nuppa Site'!H928,"NULL")</f>
        <v>40</v>
      </c>
      <c r="F928" s="19">
        <f>IF('Boletins Nuppa Site'!I928&lt;&gt;0,'Boletins Nuppa Site'!I928,"NULL")</f>
        <v>48</v>
      </c>
      <c r="G928" s="1" t="str">
        <f>IF('Boletins Nuppa Site'!J928&lt;&gt;0,'Boletins Nuppa Site'!J928,"NULL")</f>
        <v>44.5</v>
      </c>
      <c r="H928" s="19">
        <f>IF('Boletins Nuppa Site'!K928&lt;&gt;0,'Boletins Nuppa Site'!K928,"NULL")</f>
        <v>45</v>
      </c>
      <c r="J928" s="1" t="str">
        <f t="shared" si="14"/>
        <v>INSERT INTO COTACAO (blt_id, pap_id, cot_prc_comum, cot_prc_min, cot_prc_max, cot_prc_med, cot_prc_mediana) VALUES (24, 15, 45, 40, 48, 44.5, 45);</v>
      </c>
    </row>
    <row r="929" spans="1:10" x14ac:dyDescent="0.3">
      <c r="A929" s="1">
        <v>928</v>
      </c>
      <c r="B929" s="1">
        <v>24</v>
      </c>
      <c r="C929" s="1">
        <v>16</v>
      </c>
      <c r="D929" s="19">
        <f>IF('Boletins Nuppa Site'!G929&lt;&gt;0,'Boletins Nuppa Site'!G929,"NULL")</f>
        <v>48</v>
      </c>
      <c r="E929" s="19">
        <f>IF('Boletins Nuppa Site'!H929&lt;&gt;0,'Boletins Nuppa Site'!H929,"NULL")</f>
        <v>48</v>
      </c>
      <c r="F929" s="19">
        <f>IF('Boletins Nuppa Site'!I929&lt;&gt;0,'Boletins Nuppa Site'!I929,"NULL")</f>
        <v>54</v>
      </c>
      <c r="G929" s="1" t="str">
        <f>IF('Boletins Nuppa Site'!J929&lt;&gt;0,'Boletins Nuppa Site'!J929,"NULL")</f>
        <v>49.5</v>
      </c>
      <c r="H929" s="19">
        <f>IF('Boletins Nuppa Site'!K929&lt;&gt;0,'Boletins Nuppa Site'!K929,"NULL")</f>
        <v>48</v>
      </c>
      <c r="J929" s="1" t="str">
        <f t="shared" si="14"/>
        <v>INSERT INTO COTACAO (blt_id, pap_id, cot_prc_comum, cot_prc_min, cot_prc_max, cot_prc_med, cot_prc_mediana) VALUES (24, 16, 48, 48, 54, 49.5, 48);</v>
      </c>
    </row>
    <row r="930" spans="1:10" x14ac:dyDescent="0.3">
      <c r="A930" s="1">
        <v>929</v>
      </c>
      <c r="B930" s="1">
        <v>24</v>
      </c>
      <c r="C930" s="1">
        <v>17</v>
      </c>
      <c r="D930" s="19">
        <f>IF('Boletins Nuppa Site'!G930&lt;&gt;0,'Boletins Nuppa Site'!G930,"NULL")</f>
        <v>5</v>
      </c>
      <c r="E930" s="19">
        <f>IF('Boletins Nuppa Site'!H930&lt;&gt;0,'Boletins Nuppa Site'!H930,"NULL")</f>
        <v>5</v>
      </c>
      <c r="F930" s="19">
        <f>IF('Boletins Nuppa Site'!I930&lt;&gt;0,'Boletins Nuppa Site'!I930,"NULL")</f>
        <v>5</v>
      </c>
      <c r="G930" s="19">
        <f>IF('Boletins Nuppa Site'!J930&lt;&gt;0,'Boletins Nuppa Site'!J930,"NULL")</f>
        <v>5</v>
      </c>
      <c r="H930" s="19">
        <f>IF('Boletins Nuppa Site'!K930&lt;&gt;0,'Boletins Nuppa Site'!K930,"NULL")</f>
        <v>5</v>
      </c>
      <c r="J930" s="1" t="str">
        <f t="shared" si="14"/>
        <v>INSERT INTO COTACAO (blt_id, pap_id, cot_prc_comum, cot_prc_min, cot_prc_max, cot_prc_med, cot_prc_mediana) VALUES (24, 17, 5, 5, 5, 5, 5);</v>
      </c>
    </row>
    <row r="931" spans="1:10" x14ac:dyDescent="0.3">
      <c r="A931" s="1">
        <v>930</v>
      </c>
      <c r="B931" s="1">
        <v>24</v>
      </c>
      <c r="C931" s="1">
        <v>18</v>
      </c>
      <c r="D931" s="19">
        <f>IF('Boletins Nuppa Site'!G931&lt;&gt;0,'Boletins Nuppa Site'!G931,"NULL")</f>
        <v>15</v>
      </c>
      <c r="E931" s="19">
        <f>IF('Boletins Nuppa Site'!H931&lt;&gt;0,'Boletins Nuppa Site'!H931,"NULL")</f>
        <v>10</v>
      </c>
      <c r="F931" s="19">
        <f>IF('Boletins Nuppa Site'!I931&lt;&gt;0,'Boletins Nuppa Site'!I931,"NULL")</f>
        <v>15</v>
      </c>
      <c r="G931" s="19">
        <f>IF('Boletins Nuppa Site'!J931&lt;&gt;0,'Boletins Nuppa Site'!J931,"NULL")</f>
        <v>13</v>
      </c>
      <c r="H931" s="1" t="str">
        <f>IF('Boletins Nuppa Site'!K931&lt;&gt;0,'Boletins Nuppa Site'!K931,"NULL")</f>
        <v>13.5</v>
      </c>
      <c r="J931" s="1" t="str">
        <f t="shared" si="14"/>
        <v>INSERT INTO COTACAO (blt_id, pap_id, cot_prc_comum, cot_prc_min, cot_prc_max, cot_prc_med, cot_prc_mediana) VALUES (24, 18, 15, 10, 15, 13, 13.5);</v>
      </c>
    </row>
    <row r="932" spans="1:10" x14ac:dyDescent="0.3">
      <c r="A932" s="1">
        <v>931</v>
      </c>
      <c r="B932" s="1">
        <v>24</v>
      </c>
      <c r="C932" s="1">
        <v>19</v>
      </c>
      <c r="D932" s="19">
        <f>IF('Boletins Nuppa Site'!G932&lt;&gt;0,'Boletins Nuppa Site'!G932,"NULL")</f>
        <v>25</v>
      </c>
      <c r="E932" s="19">
        <f>IF('Boletins Nuppa Site'!H932&lt;&gt;0,'Boletins Nuppa Site'!H932,"NULL")</f>
        <v>20</v>
      </c>
      <c r="F932" s="19">
        <f>IF('Boletins Nuppa Site'!I932&lt;&gt;0,'Boletins Nuppa Site'!I932,"NULL")</f>
        <v>30</v>
      </c>
      <c r="G932" s="19">
        <f>IF('Boletins Nuppa Site'!J932&lt;&gt;0,'Boletins Nuppa Site'!J932,"NULL")</f>
        <v>25</v>
      </c>
      <c r="H932" s="19">
        <f>IF('Boletins Nuppa Site'!K932&lt;&gt;0,'Boletins Nuppa Site'!K932,"NULL")</f>
        <v>25</v>
      </c>
      <c r="J932" s="1" t="str">
        <f t="shared" si="14"/>
        <v>INSERT INTO COTACAO (blt_id, pap_id, cot_prc_comum, cot_prc_min, cot_prc_max, cot_prc_med, cot_prc_mediana) VALUES (24, 19, 25, 20, 30, 25, 25);</v>
      </c>
    </row>
    <row r="933" spans="1:10" x14ac:dyDescent="0.3">
      <c r="A933" s="1">
        <v>932</v>
      </c>
      <c r="B933" s="1">
        <v>24</v>
      </c>
      <c r="C933" s="1">
        <v>20</v>
      </c>
      <c r="D933" s="1" t="str">
        <f>IF('Boletins Nuppa Site'!G933&lt;&gt;0,'Boletins Nuppa Site'!G933,"NULL")</f>
        <v>NULL</v>
      </c>
      <c r="E933" s="19">
        <f>IF('Boletins Nuppa Site'!H933&lt;&gt;0,'Boletins Nuppa Site'!H933,"NULL")</f>
        <v>65</v>
      </c>
      <c r="F933" s="19">
        <f>IF('Boletins Nuppa Site'!I933&lt;&gt;0,'Boletins Nuppa Site'!I933,"NULL")</f>
        <v>80</v>
      </c>
      <c r="G933" s="1" t="str">
        <f>IF('Boletins Nuppa Site'!J933&lt;&gt;0,'Boletins Nuppa Site'!J933,"NULL")</f>
        <v>71.67</v>
      </c>
      <c r="H933" s="19">
        <f>IF('Boletins Nuppa Site'!K933&lt;&gt;0,'Boletins Nuppa Site'!K933,"NULL")</f>
        <v>70</v>
      </c>
      <c r="J933" s="1" t="str">
        <f t="shared" si="14"/>
        <v>INSERT INTO COTACAO (blt_id, pap_id, cot_prc_comum, cot_prc_min, cot_prc_max, cot_prc_med, cot_prc_mediana) VALUES (24, 20, NULL, 65, 80, 71.67, 70);</v>
      </c>
    </row>
    <row r="934" spans="1:10" x14ac:dyDescent="0.3">
      <c r="A934" s="1">
        <v>933</v>
      </c>
      <c r="B934" s="1">
        <v>24</v>
      </c>
      <c r="C934" s="1">
        <v>21</v>
      </c>
      <c r="D934" s="19">
        <f>IF('Boletins Nuppa Site'!G934&lt;&gt;0,'Boletins Nuppa Site'!G934,"NULL")</f>
        <v>60</v>
      </c>
      <c r="E934" s="19">
        <f>IF('Boletins Nuppa Site'!H934&lt;&gt;0,'Boletins Nuppa Site'!H934,"NULL")</f>
        <v>45</v>
      </c>
      <c r="F934" s="19">
        <f>IF('Boletins Nuppa Site'!I934&lt;&gt;0,'Boletins Nuppa Site'!I934,"NULL")</f>
        <v>70</v>
      </c>
      <c r="G934" s="19">
        <f>IF('Boletins Nuppa Site'!J934&lt;&gt;0,'Boletins Nuppa Site'!J934,"NULL")</f>
        <v>59</v>
      </c>
      <c r="H934" s="19">
        <f>IF('Boletins Nuppa Site'!K934&lt;&gt;0,'Boletins Nuppa Site'!K934,"NULL")</f>
        <v>60</v>
      </c>
      <c r="J934" s="1" t="str">
        <f t="shared" si="14"/>
        <v>INSERT INTO COTACAO (blt_id, pap_id, cot_prc_comum, cot_prc_min, cot_prc_max, cot_prc_med, cot_prc_mediana) VALUES (24, 21, 60, 45, 70, 59, 60);</v>
      </c>
    </row>
    <row r="935" spans="1:10" x14ac:dyDescent="0.3">
      <c r="A935" s="1">
        <v>934</v>
      </c>
      <c r="B935" s="1">
        <v>24</v>
      </c>
      <c r="C935" s="1">
        <v>22</v>
      </c>
      <c r="D935" s="19">
        <f>IF('Boletins Nuppa Site'!G935&lt;&gt;0,'Boletins Nuppa Site'!G935,"NULL")</f>
        <v>70</v>
      </c>
      <c r="E935" s="19">
        <f>IF('Boletins Nuppa Site'!H935&lt;&gt;0,'Boletins Nuppa Site'!H935,"NULL")</f>
        <v>45</v>
      </c>
      <c r="F935" s="19">
        <f>IF('Boletins Nuppa Site'!I935&lt;&gt;0,'Boletins Nuppa Site'!I935,"NULL")</f>
        <v>70</v>
      </c>
      <c r="G935" s="19">
        <f>IF('Boletins Nuppa Site'!J935&lt;&gt;0,'Boletins Nuppa Site'!J935,"NULL")</f>
        <v>64</v>
      </c>
      <c r="H935" s="19">
        <f>IF('Boletins Nuppa Site'!K935&lt;&gt;0,'Boletins Nuppa Site'!K935,"NULL")</f>
        <v>70</v>
      </c>
      <c r="J935" s="1" t="str">
        <f t="shared" si="14"/>
        <v>INSERT INTO COTACAO (blt_id, pap_id, cot_prc_comum, cot_prc_min, cot_prc_max, cot_prc_med, cot_prc_mediana) VALUES (24, 22, 70, 45, 70, 64, 70);</v>
      </c>
    </row>
    <row r="936" spans="1:10" x14ac:dyDescent="0.3">
      <c r="A936" s="1">
        <v>935</v>
      </c>
      <c r="B936" s="1">
        <v>24</v>
      </c>
      <c r="C936" s="1">
        <v>23</v>
      </c>
      <c r="D936" s="19">
        <f>IF('Boletins Nuppa Site'!G936&lt;&gt;0,'Boletins Nuppa Site'!G936,"NULL")</f>
        <v>50</v>
      </c>
      <c r="E936" s="19">
        <f>IF('Boletins Nuppa Site'!H936&lt;&gt;0,'Boletins Nuppa Site'!H936,"NULL")</f>
        <v>30</v>
      </c>
      <c r="F936" s="19">
        <f>IF('Boletins Nuppa Site'!I936&lt;&gt;0,'Boletins Nuppa Site'!I936,"NULL")</f>
        <v>50</v>
      </c>
      <c r="G936" s="19">
        <f>IF('Boletins Nuppa Site'!J936&lt;&gt;0,'Boletins Nuppa Site'!J936,"NULL")</f>
        <v>45</v>
      </c>
      <c r="H936" s="19">
        <f>IF('Boletins Nuppa Site'!K936&lt;&gt;0,'Boletins Nuppa Site'!K936,"NULL")</f>
        <v>50</v>
      </c>
      <c r="J936" s="1" t="str">
        <f t="shared" si="14"/>
        <v>INSERT INTO COTACAO (blt_id, pap_id, cot_prc_comum, cot_prc_min, cot_prc_max, cot_prc_med, cot_prc_mediana) VALUES (24, 23, 50, 30, 50, 45, 50);</v>
      </c>
    </row>
    <row r="937" spans="1:10" x14ac:dyDescent="0.3">
      <c r="A937" s="1">
        <v>936</v>
      </c>
      <c r="B937" s="1">
        <v>24</v>
      </c>
      <c r="C937" s="1">
        <v>24</v>
      </c>
      <c r="D937" s="1" t="str">
        <f>IF('Boletins Nuppa Site'!G937&lt;&gt;0,'Boletins Nuppa Site'!G937,"NULL")</f>
        <v>NULL</v>
      </c>
      <c r="E937" s="19">
        <f>IF('Boletins Nuppa Site'!H937&lt;&gt;0,'Boletins Nuppa Site'!H937,"NULL")</f>
        <v>40</v>
      </c>
      <c r="F937" s="19">
        <f>IF('Boletins Nuppa Site'!I937&lt;&gt;0,'Boletins Nuppa Site'!I937,"NULL")</f>
        <v>110</v>
      </c>
      <c r="G937" s="19">
        <f>IF('Boletins Nuppa Site'!J937&lt;&gt;0,'Boletins Nuppa Site'!J937,"NULL")</f>
        <v>85</v>
      </c>
      <c r="H937" s="19">
        <f>IF('Boletins Nuppa Site'!K937&lt;&gt;0,'Boletins Nuppa Site'!K937,"NULL")</f>
        <v>95</v>
      </c>
      <c r="J937" s="1" t="str">
        <f t="shared" si="14"/>
        <v>INSERT INTO COTACAO (blt_id, pap_id, cot_prc_comum, cot_prc_min, cot_prc_max, cot_prc_med, cot_prc_mediana) VALUES (24, 24, NULL, 40, 110, 85, 95);</v>
      </c>
    </row>
    <row r="938" spans="1:10" x14ac:dyDescent="0.3">
      <c r="A938" s="1">
        <v>937</v>
      </c>
      <c r="B938" s="1">
        <v>24</v>
      </c>
      <c r="C938" s="1">
        <v>25</v>
      </c>
      <c r="D938" s="19">
        <f>IF('Boletins Nuppa Site'!G938&lt;&gt;0,'Boletins Nuppa Site'!G938,"NULL")</f>
        <v>70</v>
      </c>
      <c r="E938" s="19">
        <f>IF('Boletins Nuppa Site'!H938&lt;&gt;0,'Boletins Nuppa Site'!H938,"NULL")</f>
        <v>70</v>
      </c>
      <c r="F938" s="19">
        <f>IF('Boletins Nuppa Site'!I938&lt;&gt;0,'Boletins Nuppa Site'!I938,"NULL")</f>
        <v>90</v>
      </c>
      <c r="G938" s="19">
        <f>IF('Boletins Nuppa Site'!J938&lt;&gt;0,'Boletins Nuppa Site'!J938,"NULL")</f>
        <v>79</v>
      </c>
      <c r="H938" s="19">
        <f>IF('Boletins Nuppa Site'!K938&lt;&gt;0,'Boletins Nuppa Site'!K938,"NULL")</f>
        <v>80</v>
      </c>
      <c r="J938" s="1" t="str">
        <f t="shared" si="14"/>
        <v>INSERT INTO COTACAO (blt_id, pap_id, cot_prc_comum, cot_prc_min, cot_prc_max, cot_prc_med, cot_prc_mediana) VALUES (24, 25, 70, 70, 90, 79, 80);</v>
      </c>
    </row>
    <row r="939" spans="1:10" x14ac:dyDescent="0.3">
      <c r="A939" s="1">
        <v>938</v>
      </c>
      <c r="B939" s="1">
        <v>24</v>
      </c>
      <c r="C939" s="1">
        <v>26</v>
      </c>
      <c r="D939" s="19">
        <f>IF('Boletins Nuppa Site'!G939&lt;&gt;0,'Boletins Nuppa Site'!G939,"NULL")</f>
        <v>60</v>
      </c>
      <c r="E939" s="19">
        <f>IF('Boletins Nuppa Site'!H939&lt;&gt;0,'Boletins Nuppa Site'!H939,"NULL")</f>
        <v>40</v>
      </c>
      <c r="F939" s="19">
        <f>IF('Boletins Nuppa Site'!I939&lt;&gt;0,'Boletins Nuppa Site'!I939,"NULL")</f>
        <v>80</v>
      </c>
      <c r="G939" s="1" t="str">
        <f>IF('Boletins Nuppa Site'!J939&lt;&gt;0,'Boletins Nuppa Site'!J939,"NULL")</f>
        <v>63.33</v>
      </c>
      <c r="H939" s="1" t="str">
        <f>IF('Boletins Nuppa Site'!K939&lt;&gt;0,'Boletins Nuppa Site'!K939,"NULL")</f>
        <v>62.5</v>
      </c>
      <c r="J939" s="1" t="str">
        <f t="shared" si="14"/>
        <v>INSERT INTO COTACAO (blt_id, pap_id, cot_prc_comum, cot_prc_min, cot_prc_max, cot_prc_med, cot_prc_mediana) VALUES (24, 26, 60, 40, 80, 63.33, 62.5);</v>
      </c>
    </row>
    <row r="940" spans="1:10" x14ac:dyDescent="0.3">
      <c r="A940" s="1">
        <v>939</v>
      </c>
      <c r="B940" s="1">
        <v>24</v>
      </c>
      <c r="C940" s="1">
        <v>27</v>
      </c>
      <c r="D940" s="19">
        <f>IF('Boletins Nuppa Site'!G940&lt;&gt;0,'Boletins Nuppa Site'!G940,"NULL")</f>
        <v>65</v>
      </c>
      <c r="E940" s="19">
        <f>IF('Boletins Nuppa Site'!H940&lt;&gt;0,'Boletins Nuppa Site'!H940,"NULL")</f>
        <v>45</v>
      </c>
      <c r="F940" s="19">
        <f>IF('Boletins Nuppa Site'!I940&lt;&gt;0,'Boletins Nuppa Site'!I940,"NULL")</f>
        <v>65</v>
      </c>
      <c r="G940" s="19">
        <f>IF('Boletins Nuppa Site'!J940&lt;&gt;0,'Boletins Nuppa Site'!J940,"NULL")</f>
        <v>57</v>
      </c>
      <c r="H940" s="19">
        <f>IF('Boletins Nuppa Site'!K940&lt;&gt;0,'Boletins Nuppa Site'!K940,"NULL")</f>
        <v>60</v>
      </c>
      <c r="J940" s="1" t="str">
        <f t="shared" si="14"/>
        <v>INSERT INTO COTACAO (blt_id, pap_id, cot_prc_comum, cot_prc_min, cot_prc_max, cot_prc_med, cot_prc_mediana) VALUES (24, 27, 65, 45, 65, 57, 60);</v>
      </c>
    </row>
    <row r="941" spans="1:10" x14ac:dyDescent="0.3">
      <c r="A941" s="1">
        <v>940</v>
      </c>
      <c r="B941" s="1">
        <v>24</v>
      </c>
      <c r="C941" s="1">
        <v>28</v>
      </c>
      <c r="D941" s="19">
        <f>IF('Boletins Nuppa Site'!G941&lt;&gt;0,'Boletins Nuppa Site'!G941,"NULL")</f>
        <v>90</v>
      </c>
      <c r="E941" s="19">
        <f>IF('Boletins Nuppa Site'!H941&lt;&gt;0,'Boletins Nuppa Site'!H941,"NULL")</f>
        <v>60</v>
      </c>
      <c r="F941" s="19">
        <f>IF('Boletins Nuppa Site'!I941&lt;&gt;0,'Boletins Nuppa Site'!I941,"NULL")</f>
        <v>100</v>
      </c>
      <c r="G941" s="1" t="str">
        <f>IF('Boletins Nuppa Site'!J941&lt;&gt;0,'Boletins Nuppa Site'!J941,"NULL")</f>
        <v>83.33</v>
      </c>
      <c r="H941" s="19">
        <f>IF('Boletins Nuppa Site'!K941&lt;&gt;0,'Boletins Nuppa Site'!K941,"NULL")</f>
        <v>85</v>
      </c>
      <c r="J941" s="1" t="str">
        <f t="shared" si="14"/>
        <v>INSERT INTO COTACAO (blt_id, pap_id, cot_prc_comum, cot_prc_min, cot_prc_max, cot_prc_med, cot_prc_mediana) VALUES (24, 28, 90, 60, 100, 83.33, 85);</v>
      </c>
    </row>
    <row r="942" spans="1:10" x14ac:dyDescent="0.3">
      <c r="A942" s="1">
        <v>941</v>
      </c>
      <c r="B942" s="1">
        <v>24</v>
      </c>
      <c r="C942" s="1">
        <v>29</v>
      </c>
      <c r="D942" s="19">
        <f>IF('Boletins Nuppa Site'!G942&lt;&gt;0,'Boletins Nuppa Site'!G942,"NULL")</f>
        <v>50</v>
      </c>
      <c r="E942" s="19">
        <f>IF('Boletins Nuppa Site'!H942&lt;&gt;0,'Boletins Nuppa Site'!H942,"NULL")</f>
        <v>50</v>
      </c>
      <c r="F942" s="19">
        <f>IF('Boletins Nuppa Site'!I942&lt;&gt;0,'Boletins Nuppa Site'!I942,"NULL")</f>
        <v>60</v>
      </c>
      <c r="G942" s="1" t="str">
        <f>IF('Boletins Nuppa Site'!J942&lt;&gt;0,'Boletins Nuppa Site'!J942,"NULL")</f>
        <v>53.75</v>
      </c>
      <c r="H942" s="1" t="str">
        <f>IF('Boletins Nuppa Site'!K942&lt;&gt;0,'Boletins Nuppa Site'!K942,"NULL")</f>
        <v>52.5</v>
      </c>
      <c r="J942" s="1" t="str">
        <f t="shared" si="14"/>
        <v>INSERT INTO COTACAO (blt_id, pap_id, cot_prc_comum, cot_prc_min, cot_prc_max, cot_prc_med, cot_prc_mediana) VALUES (24, 29, 50, 50, 60, 53.75, 52.5);</v>
      </c>
    </row>
    <row r="943" spans="1:10" x14ac:dyDescent="0.3">
      <c r="A943" s="1">
        <v>942</v>
      </c>
      <c r="B943" s="1">
        <v>24</v>
      </c>
      <c r="C943" s="1">
        <v>30</v>
      </c>
      <c r="D943" s="19">
        <f>IF('Boletins Nuppa Site'!G943&lt;&gt;0,'Boletins Nuppa Site'!G943,"NULL")</f>
        <v>60</v>
      </c>
      <c r="E943" s="19">
        <f>IF('Boletins Nuppa Site'!H943&lt;&gt;0,'Boletins Nuppa Site'!H943,"NULL")</f>
        <v>40</v>
      </c>
      <c r="F943" s="19">
        <f>IF('Boletins Nuppa Site'!I943&lt;&gt;0,'Boletins Nuppa Site'!I943,"NULL")</f>
        <v>60</v>
      </c>
      <c r="G943" s="1" t="str">
        <f>IF('Boletins Nuppa Site'!J943&lt;&gt;0,'Boletins Nuppa Site'!J943,"NULL")</f>
        <v>52.5</v>
      </c>
      <c r="H943" s="19">
        <f>IF('Boletins Nuppa Site'!K943&lt;&gt;0,'Boletins Nuppa Site'!K943,"NULL")</f>
        <v>55</v>
      </c>
      <c r="J943" s="1" t="str">
        <f t="shared" si="14"/>
        <v>INSERT INTO COTACAO (blt_id, pap_id, cot_prc_comum, cot_prc_min, cot_prc_max, cot_prc_med, cot_prc_mediana) VALUES (24, 30, 60, 40, 60, 52.5, 55);</v>
      </c>
    </row>
    <row r="944" spans="1:10" x14ac:dyDescent="0.3">
      <c r="A944" s="1">
        <v>943</v>
      </c>
      <c r="B944" s="1">
        <v>24</v>
      </c>
      <c r="C944" s="1">
        <v>31</v>
      </c>
      <c r="D944" s="19">
        <f>IF('Boletins Nuppa Site'!G944&lt;&gt;0,'Boletins Nuppa Site'!G944,"NULL")</f>
        <v>80</v>
      </c>
      <c r="E944" s="19">
        <f>IF('Boletins Nuppa Site'!H944&lt;&gt;0,'Boletins Nuppa Site'!H944,"NULL")</f>
        <v>70</v>
      </c>
      <c r="F944" s="19">
        <f>IF('Boletins Nuppa Site'!I944&lt;&gt;0,'Boletins Nuppa Site'!I944,"NULL")</f>
        <v>80</v>
      </c>
      <c r="G944" s="19">
        <f>IF('Boletins Nuppa Site'!J944&lt;&gt;0,'Boletins Nuppa Site'!J944,"NULL")</f>
        <v>77</v>
      </c>
      <c r="H944" s="19">
        <f>IF('Boletins Nuppa Site'!K944&lt;&gt;0,'Boletins Nuppa Site'!K944,"NULL")</f>
        <v>80</v>
      </c>
      <c r="J944" s="1" t="str">
        <f t="shared" si="14"/>
        <v>INSERT INTO COTACAO (blt_id, pap_id, cot_prc_comum, cot_prc_min, cot_prc_max, cot_prc_med, cot_prc_mediana) VALUES (24, 31, 80, 70, 80, 77, 80);</v>
      </c>
    </row>
    <row r="945" spans="1:10" x14ac:dyDescent="0.3">
      <c r="A945" s="1">
        <v>944</v>
      </c>
      <c r="B945" s="1">
        <v>24</v>
      </c>
      <c r="C945" s="1">
        <v>32</v>
      </c>
      <c r="D945" s="19">
        <f>IF('Boletins Nuppa Site'!G945&lt;&gt;0,'Boletins Nuppa Site'!G945,"NULL")</f>
        <v>50</v>
      </c>
      <c r="E945" s="19">
        <f>IF('Boletins Nuppa Site'!H945&lt;&gt;0,'Boletins Nuppa Site'!H945,"NULL")</f>
        <v>50</v>
      </c>
      <c r="F945" s="19">
        <f>IF('Boletins Nuppa Site'!I945&lt;&gt;0,'Boletins Nuppa Site'!I945,"NULL")</f>
        <v>60</v>
      </c>
      <c r="G945" s="19">
        <f>IF('Boletins Nuppa Site'!J945&lt;&gt;0,'Boletins Nuppa Site'!J945,"NULL")</f>
        <v>53</v>
      </c>
      <c r="H945" s="19">
        <f>IF('Boletins Nuppa Site'!K945&lt;&gt;0,'Boletins Nuppa Site'!K945,"NULL")</f>
        <v>50</v>
      </c>
      <c r="J945" s="1" t="str">
        <f t="shared" si="14"/>
        <v>INSERT INTO COTACAO (blt_id, pap_id, cot_prc_comum, cot_prc_min, cot_prc_max, cot_prc_med, cot_prc_mediana) VALUES (24, 32, 50, 50, 60, 53, 50);</v>
      </c>
    </row>
    <row r="946" spans="1:10" x14ac:dyDescent="0.3">
      <c r="A946" s="1">
        <v>945</v>
      </c>
      <c r="B946" s="1">
        <v>24</v>
      </c>
      <c r="C946" s="1">
        <v>33</v>
      </c>
      <c r="D946" s="19">
        <f>IF('Boletins Nuppa Site'!G946&lt;&gt;0,'Boletins Nuppa Site'!G946,"NULL")</f>
        <v>100</v>
      </c>
      <c r="E946" s="19">
        <f>IF('Boletins Nuppa Site'!H946&lt;&gt;0,'Boletins Nuppa Site'!H946,"NULL")</f>
        <v>90</v>
      </c>
      <c r="F946" s="19">
        <f>IF('Boletins Nuppa Site'!I946&lt;&gt;0,'Boletins Nuppa Site'!I946,"NULL")</f>
        <v>120</v>
      </c>
      <c r="G946" s="1" t="str">
        <f>IF('Boletins Nuppa Site'!J946&lt;&gt;0,'Boletins Nuppa Site'!J946,"NULL")</f>
        <v>102.5</v>
      </c>
      <c r="H946" s="19">
        <f>IF('Boletins Nuppa Site'!K946&lt;&gt;0,'Boletins Nuppa Site'!K946,"NULL")</f>
        <v>100</v>
      </c>
      <c r="J946" s="1" t="str">
        <f t="shared" si="14"/>
        <v>INSERT INTO COTACAO (blt_id, pap_id, cot_prc_comum, cot_prc_min, cot_prc_max, cot_prc_med, cot_prc_mediana) VALUES (24, 33, 100, 90, 120, 102.5, 100);</v>
      </c>
    </row>
    <row r="947" spans="1:10" x14ac:dyDescent="0.3">
      <c r="A947" s="1">
        <v>946</v>
      </c>
      <c r="B947" s="1">
        <v>24</v>
      </c>
      <c r="C947" s="1">
        <v>34</v>
      </c>
      <c r="D947" s="1" t="str">
        <f>IF('Boletins Nuppa Site'!G947&lt;&gt;0,'Boletins Nuppa Site'!G947,"NULL")</f>
        <v>NULL</v>
      </c>
      <c r="E947" s="19">
        <f>IF('Boletins Nuppa Site'!H947&lt;&gt;0,'Boletins Nuppa Site'!H947,"NULL")</f>
        <v>30</v>
      </c>
      <c r="F947" s="19">
        <f>IF('Boletins Nuppa Site'!I947&lt;&gt;0,'Boletins Nuppa Site'!I947,"NULL")</f>
        <v>90</v>
      </c>
      <c r="G947" s="1" t="str">
        <f>IF('Boletins Nuppa Site'!J947&lt;&gt;0,'Boletins Nuppa Site'!J947,"NULL")</f>
        <v>67.5</v>
      </c>
      <c r="H947" s="1" t="str">
        <f>IF('Boletins Nuppa Site'!K947&lt;&gt;0,'Boletins Nuppa Site'!K947,"NULL")</f>
        <v>72.5</v>
      </c>
      <c r="J947" s="1" t="str">
        <f t="shared" si="14"/>
        <v>INSERT INTO COTACAO (blt_id, pap_id, cot_prc_comum, cot_prc_min, cot_prc_max, cot_prc_med, cot_prc_mediana) VALUES (24, 34, NULL, 30, 90, 67.5, 72.5);</v>
      </c>
    </row>
    <row r="948" spans="1:10" x14ac:dyDescent="0.3">
      <c r="A948" s="1">
        <v>947</v>
      </c>
      <c r="B948" s="1">
        <v>24</v>
      </c>
      <c r="C948" s="1">
        <v>35</v>
      </c>
      <c r="D948" s="19">
        <f>IF('Boletins Nuppa Site'!G948&lt;&gt;0,'Boletins Nuppa Site'!G948,"NULL")</f>
        <v>120</v>
      </c>
      <c r="E948" s="19">
        <f>IF('Boletins Nuppa Site'!H948&lt;&gt;0,'Boletins Nuppa Site'!H948,"NULL")</f>
        <v>120</v>
      </c>
      <c r="F948" s="19">
        <f>IF('Boletins Nuppa Site'!I948&lt;&gt;0,'Boletins Nuppa Site'!I948,"NULL")</f>
        <v>150</v>
      </c>
      <c r="G948" s="19">
        <f>IF('Boletins Nuppa Site'!J948&lt;&gt;0,'Boletins Nuppa Site'!J948,"NULL")</f>
        <v>130</v>
      </c>
      <c r="H948" s="19">
        <f>IF('Boletins Nuppa Site'!K948&lt;&gt;0,'Boletins Nuppa Site'!K948,"NULL")</f>
        <v>125</v>
      </c>
      <c r="J948" s="1" t="str">
        <f t="shared" si="14"/>
        <v>INSERT INTO COTACAO (blt_id, pap_id, cot_prc_comum, cot_prc_min, cot_prc_max, cot_prc_med, cot_prc_mediana) VALUES (24, 35, 120, 120, 150, 130, 125);</v>
      </c>
    </row>
    <row r="949" spans="1:10" x14ac:dyDescent="0.3">
      <c r="A949" s="1">
        <v>948</v>
      </c>
      <c r="B949" s="1">
        <v>24</v>
      </c>
      <c r="C949" s="1">
        <v>36</v>
      </c>
      <c r="D949" s="1" t="str">
        <f>IF('Boletins Nuppa Site'!G949&lt;&gt;0,'Boletins Nuppa Site'!G949,"NULL")</f>
        <v>NULL</v>
      </c>
      <c r="E949" s="1" t="str">
        <f>IF('Boletins Nuppa Site'!H949&lt;&gt;0,'Boletins Nuppa Site'!H949,"NULL")</f>
        <v>NULL</v>
      </c>
      <c r="F949" s="1" t="str">
        <f>IF('Boletins Nuppa Site'!I949&lt;&gt;0,'Boletins Nuppa Site'!I949,"NULL")</f>
        <v>NULL</v>
      </c>
      <c r="G949" s="1" t="str">
        <f>IF('Boletins Nuppa Site'!J949&lt;&gt;0,'Boletins Nuppa Site'!J949,"NULL")</f>
        <v>NULL</v>
      </c>
      <c r="H949" s="1" t="str">
        <f>IF('Boletins Nuppa Site'!K949&lt;&gt;0,'Boletins Nuppa Site'!K949,"NULL")</f>
        <v>NULL</v>
      </c>
      <c r="J949" s="1" t="str">
        <f t="shared" si="14"/>
        <v>INSERT INTO COTACAO (blt_id, pap_id, cot_prc_comum, cot_prc_min, cot_prc_max, cot_prc_med, cot_prc_mediana) VALUES (24, 36, NULL, NULL, NULL, NULL, NULL);</v>
      </c>
    </row>
    <row r="950" spans="1:10" x14ac:dyDescent="0.3">
      <c r="A950" s="1">
        <v>949</v>
      </c>
      <c r="B950" s="1">
        <v>24</v>
      </c>
      <c r="C950" s="1">
        <v>37</v>
      </c>
      <c r="D950" s="1" t="str">
        <f>IF('Boletins Nuppa Site'!G950&lt;&gt;0,'Boletins Nuppa Site'!G950,"NULL")</f>
        <v>NULL</v>
      </c>
      <c r="E950" s="1" t="str">
        <f>IF('Boletins Nuppa Site'!H950&lt;&gt;0,'Boletins Nuppa Site'!H950,"NULL")</f>
        <v>NULL</v>
      </c>
      <c r="F950" s="1" t="str">
        <f>IF('Boletins Nuppa Site'!I950&lt;&gt;0,'Boletins Nuppa Site'!I950,"NULL")</f>
        <v>NULL</v>
      </c>
      <c r="G950" s="1" t="str">
        <f>IF('Boletins Nuppa Site'!J950&lt;&gt;0,'Boletins Nuppa Site'!J950,"NULL")</f>
        <v>NULL</v>
      </c>
      <c r="H950" s="1" t="str">
        <f>IF('Boletins Nuppa Site'!K950&lt;&gt;0,'Boletins Nuppa Site'!K950,"NULL")</f>
        <v>NULL</v>
      </c>
      <c r="J950" s="1" t="str">
        <f t="shared" si="14"/>
        <v>INSERT INTO COTACAO (blt_id, pap_id, cot_prc_comum, cot_prc_min, cot_prc_max, cot_prc_med, cot_prc_mediana) VALUES (24, 37, NULL, NULL, NULL, NULL, NULL);</v>
      </c>
    </row>
    <row r="951" spans="1:10" x14ac:dyDescent="0.3">
      <c r="A951" s="1">
        <v>950</v>
      </c>
      <c r="B951" s="1">
        <v>24</v>
      </c>
      <c r="C951" s="1">
        <v>38</v>
      </c>
      <c r="D951" s="1" t="str">
        <f>IF('Boletins Nuppa Site'!G951&lt;&gt;0,'Boletins Nuppa Site'!G951,"NULL")</f>
        <v>NULL</v>
      </c>
      <c r="E951" s="1" t="str">
        <f>IF('Boletins Nuppa Site'!H951&lt;&gt;0,'Boletins Nuppa Site'!H951,"NULL")</f>
        <v>NULL</v>
      </c>
      <c r="F951" s="1" t="str">
        <f>IF('Boletins Nuppa Site'!I951&lt;&gt;0,'Boletins Nuppa Site'!I951,"NULL")</f>
        <v>NULL</v>
      </c>
      <c r="G951" s="1" t="str">
        <f>IF('Boletins Nuppa Site'!J951&lt;&gt;0,'Boletins Nuppa Site'!J951,"NULL")</f>
        <v>NULL</v>
      </c>
      <c r="H951" s="1" t="str">
        <f>IF('Boletins Nuppa Site'!K951&lt;&gt;0,'Boletins Nuppa Site'!K951,"NULL")</f>
        <v>NULL</v>
      </c>
      <c r="J951" s="1" t="str">
        <f t="shared" si="14"/>
        <v>INSERT INTO COTACAO (blt_id, pap_id, cot_prc_comum, cot_prc_min, cot_prc_max, cot_prc_med, cot_prc_mediana) VALUES (24, 38, NULL, NULL, NULL, NULL, NULL);</v>
      </c>
    </row>
    <row r="952" spans="1:10" x14ac:dyDescent="0.3">
      <c r="A952" s="1">
        <v>951</v>
      </c>
      <c r="B952" s="1">
        <v>24</v>
      </c>
      <c r="C952" s="1">
        <v>39</v>
      </c>
      <c r="D952" s="19">
        <f>IF('Boletins Nuppa Site'!G952&lt;&gt;0,'Boletins Nuppa Site'!G952,"NULL")</f>
        <v>48</v>
      </c>
      <c r="E952" s="19">
        <f>IF('Boletins Nuppa Site'!H952&lt;&gt;0,'Boletins Nuppa Site'!H952,"NULL")</f>
        <v>48</v>
      </c>
      <c r="F952" s="19">
        <f>IF('Boletins Nuppa Site'!I952&lt;&gt;0,'Boletins Nuppa Site'!I952,"NULL")</f>
        <v>48</v>
      </c>
      <c r="G952" s="19">
        <f>IF('Boletins Nuppa Site'!J952&lt;&gt;0,'Boletins Nuppa Site'!J952,"NULL")</f>
        <v>48</v>
      </c>
      <c r="H952" s="19">
        <f>IF('Boletins Nuppa Site'!K952&lt;&gt;0,'Boletins Nuppa Site'!K952,"NULL")</f>
        <v>48</v>
      </c>
      <c r="J952" s="1" t="str">
        <f t="shared" si="14"/>
        <v>INSERT INTO COTACAO (blt_id, pap_id, cot_prc_comum, cot_prc_min, cot_prc_max, cot_prc_med, cot_prc_mediana) VALUES (24, 39, 48, 48, 48, 48, 48);</v>
      </c>
    </row>
    <row r="953" spans="1:10" x14ac:dyDescent="0.3">
      <c r="A953" s="1">
        <v>952</v>
      </c>
      <c r="B953" s="1">
        <v>24</v>
      </c>
      <c r="C953" s="1">
        <v>40</v>
      </c>
      <c r="D953" s="19">
        <f>IF('Boletins Nuppa Site'!G953&lt;&gt;0,'Boletins Nuppa Site'!G953,"NULL")</f>
        <v>70</v>
      </c>
      <c r="E953" s="19">
        <f>IF('Boletins Nuppa Site'!H953&lt;&gt;0,'Boletins Nuppa Site'!H953,"NULL")</f>
        <v>65</v>
      </c>
      <c r="F953" s="19">
        <f>IF('Boletins Nuppa Site'!I953&lt;&gt;0,'Boletins Nuppa Site'!I953,"NULL")</f>
        <v>70</v>
      </c>
      <c r="G953" s="1" t="str">
        <f>IF('Boletins Nuppa Site'!J953&lt;&gt;0,'Boletins Nuppa Site'!J953,"NULL")</f>
        <v>68.33</v>
      </c>
      <c r="H953" s="19">
        <f>IF('Boletins Nuppa Site'!K953&lt;&gt;0,'Boletins Nuppa Site'!K953,"NULL")</f>
        <v>70</v>
      </c>
      <c r="J953" s="1" t="str">
        <f t="shared" si="14"/>
        <v>INSERT INTO COTACAO (blt_id, pap_id, cot_prc_comum, cot_prc_min, cot_prc_max, cot_prc_med, cot_prc_mediana) VALUES (24, 40, 70, 65, 70, 68.33, 70);</v>
      </c>
    </row>
    <row r="954" spans="1:10" x14ac:dyDescent="0.3">
      <c r="A954" s="1">
        <v>953</v>
      </c>
      <c r="B954" s="1">
        <v>26</v>
      </c>
      <c r="C954" s="1">
        <v>1</v>
      </c>
      <c r="D954" s="19">
        <f>IF('Boletins Nuppa Site'!G954&lt;&gt;0,'Boletins Nuppa Site'!G954,"NULL")</f>
        <v>60</v>
      </c>
      <c r="E954" s="19">
        <f>IF('Boletins Nuppa Site'!H954&lt;&gt;0,'Boletins Nuppa Site'!H954,"NULL")</f>
        <v>48</v>
      </c>
      <c r="F954" s="19">
        <f>IF('Boletins Nuppa Site'!I954&lt;&gt;0,'Boletins Nuppa Site'!I954,"NULL")</f>
        <v>60</v>
      </c>
      <c r="G954" s="19">
        <f>IF('Boletins Nuppa Site'!J954&lt;&gt;0,'Boletins Nuppa Site'!J954,"NULL")</f>
        <v>54</v>
      </c>
      <c r="H954" s="19">
        <f>IF('Boletins Nuppa Site'!K954&lt;&gt;0,'Boletins Nuppa Site'!K954,"NULL")</f>
        <v>54</v>
      </c>
      <c r="J954" s="1" t="str">
        <f t="shared" si="14"/>
        <v>INSERT INTO COTACAO (blt_id, pap_id, cot_prc_comum, cot_prc_min, cot_prc_max, cot_prc_med, cot_prc_mediana) VALUES (26, 1, 60, 48, 60, 54, 54);</v>
      </c>
    </row>
    <row r="955" spans="1:10" x14ac:dyDescent="0.3">
      <c r="A955" s="1">
        <v>954</v>
      </c>
      <c r="B955" s="1">
        <v>26</v>
      </c>
      <c r="C955" s="1">
        <v>2</v>
      </c>
      <c r="D955" s="19">
        <f>IF('Boletins Nuppa Site'!G955&lt;&gt;0,'Boletins Nuppa Site'!G955,"NULL")</f>
        <v>84</v>
      </c>
      <c r="E955" s="19">
        <f>IF('Boletins Nuppa Site'!H955&lt;&gt;0,'Boletins Nuppa Site'!H955,"NULL")</f>
        <v>60</v>
      </c>
      <c r="F955" s="19">
        <f>IF('Boletins Nuppa Site'!I955&lt;&gt;0,'Boletins Nuppa Site'!I955,"NULL")</f>
        <v>84</v>
      </c>
      <c r="G955" s="1" t="str">
        <f>IF('Boletins Nuppa Site'!J955&lt;&gt;0,'Boletins Nuppa Site'!J955,"NULL")</f>
        <v>74.4</v>
      </c>
      <c r="H955" s="19">
        <f>IF('Boletins Nuppa Site'!K955&lt;&gt;0,'Boletins Nuppa Site'!K955,"NULL")</f>
        <v>72</v>
      </c>
      <c r="J955" s="1" t="str">
        <f t="shared" si="14"/>
        <v>INSERT INTO COTACAO (blt_id, pap_id, cot_prc_comum, cot_prc_min, cot_prc_max, cot_prc_med, cot_prc_mediana) VALUES (26, 2, 84, 60, 84, 74.4, 72);</v>
      </c>
    </row>
    <row r="956" spans="1:10" x14ac:dyDescent="0.3">
      <c r="A956" s="1">
        <v>955</v>
      </c>
      <c r="B956" s="1">
        <v>26</v>
      </c>
      <c r="C956" s="1">
        <v>3</v>
      </c>
      <c r="D956" s="19">
        <f>IF('Boletins Nuppa Site'!G956&lt;&gt;0,'Boletins Nuppa Site'!G956,"NULL")</f>
        <v>36</v>
      </c>
      <c r="E956" s="19">
        <f>IF('Boletins Nuppa Site'!H956&lt;&gt;0,'Boletins Nuppa Site'!H956,"NULL")</f>
        <v>30</v>
      </c>
      <c r="F956" s="19">
        <f>IF('Boletins Nuppa Site'!I956&lt;&gt;0,'Boletins Nuppa Site'!I956,"NULL")</f>
        <v>48</v>
      </c>
      <c r="G956" s="19">
        <f>IF('Boletins Nuppa Site'!J956&lt;&gt;0,'Boletins Nuppa Site'!J956,"NULL")</f>
        <v>36</v>
      </c>
      <c r="H956" s="19">
        <f>IF('Boletins Nuppa Site'!K956&lt;&gt;0,'Boletins Nuppa Site'!K956,"NULL")</f>
        <v>36</v>
      </c>
      <c r="J956" s="1" t="str">
        <f t="shared" si="14"/>
        <v>INSERT INTO COTACAO (blt_id, pap_id, cot_prc_comum, cot_prc_min, cot_prc_max, cot_prc_med, cot_prc_mediana) VALUES (26, 3, 36, 30, 48, 36, 36);</v>
      </c>
    </row>
    <row r="957" spans="1:10" x14ac:dyDescent="0.3">
      <c r="A957" s="1">
        <v>956</v>
      </c>
      <c r="B957" s="1">
        <v>26</v>
      </c>
      <c r="C957" s="1">
        <v>4</v>
      </c>
      <c r="D957" s="19">
        <f>IF('Boletins Nuppa Site'!G957&lt;&gt;0,'Boletins Nuppa Site'!G957,"NULL")</f>
        <v>24</v>
      </c>
      <c r="E957" s="19">
        <f>IF('Boletins Nuppa Site'!H957&lt;&gt;0,'Boletins Nuppa Site'!H957,"NULL")</f>
        <v>18</v>
      </c>
      <c r="F957" s="19">
        <f>IF('Boletins Nuppa Site'!I957&lt;&gt;0,'Boletins Nuppa Site'!I957,"NULL")</f>
        <v>30</v>
      </c>
      <c r="G957" s="1" t="str">
        <f>IF('Boletins Nuppa Site'!J957&lt;&gt;0,'Boletins Nuppa Site'!J957,"NULL")</f>
        <v>22.8</v>
      </c>
      <c r="H957" s="19">
        <f>IF('Boletins Nuppa Site'!K957&lt;&gt;0,'Boletins Nuppa Site'!K957,"NULL")</f>
        <v>24</v>
      </c>
      <c r="J957" s="1" t="str">
        <f t="shared" si="14"/>
        <v>INSERT INTO COTACAO (blt_id, pap_id, cot_prc_comum, cot_prc_min, cot_prc_max, cot_prc_med, cot_prc_mediana) VALUES (26, 4, 24, 18, 30, 22.8, 24);</v>
      </c>
    </row>
    <row r="958" spans="1:10" x14ac:dyDescent="0.3">
      <c r="A958" s="1">
        <v>957</v>
      </c>
      <c r="B958" s="1">
        <v>26</v>
      </c>
      <c r="C958" s="1">
        <v>5</v>
      </c>
      <c r="D958" s="19">
        <f>IF('Boletins Nuppa Site'!G958&lt;&gt;0,'Boletins Nuppa Site'!G958,"NULL")</f>
        <v>30</v>
      </c>
      <c r="E958" s="19">
        <f>IF('Boletins Nuppa Site'!H958&lt;&gt;0,'Boletins Nuppa Site'!H958,"NULL")</f>
        <v>18</v>
      </c>
      <c r="F958" s="19">
        <f>IF('Boletins Nuppa Site'!I958&lt;&gt;0,'Boletins Nuppa Site'!I958,"NULL")</f>
        <v>30</v>
      </c>
      <c r="G958" s="1" t="str">
        <f>IF('Boletins Nuppa Site'!J958&lt;&gt;0,'Boletins Nuppa Site'!J958,"NULL")</f>
        <v>25.2</v>
      </c>
      <c r="H958" s="19">
        <f>IF('Boletins Nuppa Site'!K958&lt;&gt;0,'Boletins Nuppa Site'!K958,"NULL")</f>
        <v>24</v>
      </c>
      <c r="J958" s="1" t="str">
        <f t="shared" si="14"/>
        <v>INSERT INTO COTACAO (blt_id, pap_id, cot_prc_comum, cot_prc_min, cot_prc_max, cot_prc_med, cot_prc_mediana) VALUES (26, 5, 30, 18, 30, 25.2, 24);</v>
      </c>
    </row>
    <row r="959" spans="1:10" x14ac:dyDescent="0.3">
      <c r="A959" s="1">
        <v>958</v>
      </c>
      <c r="B959" s="1">
        <v>26</v>
      </c>
      <c r="C959" s="1">
        <v>6</v>
      </c>
      <c r="D959" s="19">
        <f>IF('Boletins Nuppa Site'!G959&lt;&gt;0,'Boletins Nuppa Site'!G959,"NULL")</f>
        <v>60</v>
      </c>
      <c r="E959" s="19">
        <f>IF('Boletins Nuppa Site'!H959&lt;&gt;0,'Boletins Nuppa Site'!H959,"NULL")</f>
        <v>60</v>
      </c>
      <c r="F959" s="19">
        <f>IF('Boletins Nuppa Site'!I959&lt;&gt;0,'Boletins Nuppa Site'!I959,"NULL")</f>
        <v>60</v>
      </c>
      <c r="G959" s="19">
        <f>IF('Boletins Nuppa Site'!J959&lt;&gt;0,'Boletins Nuppa Site'!J959,"NULL")</f>
        <v>60</v>
      </c>
      <c r="H959" s="19">
        <f>IF('Boletins Nuppa Site'!K959&lt;&gt;0,'Boletins Nuppa Site'!K959,"NULL")</f>
        <v>60</v>
      </c>
      <c r="J959" s="1" t="str">
        <f t="shared" si="14"/>
        <v>INSERT INTO COTACAO (blt_id, pap_id, cot_prc_comum, cot_prc_min, cot_prc_max, cot_prc_med, cot_prc_mediana) VALUES (26, 6, 60, 60, 60, 60, 60);</v>
      </c>
    </row>
    <row r="960" spans="1:10" x14ac:dyDescent="0.3">
      <c r="A960" s="1">
        <v>959</v>
      </c>
      <c r="B960" s="1">
        <v>26</v>
      </c>
      <c r="C960" s="1">
        <v>7</v>
      </c>
      <c r="D960" s="19">
        <f>IF('Boletins Nuppa Site'!G960&lt;&gt;0,'Boletins Nuppa Site'!G960,"NULL")</f>
        <v>60</v>
      </c>
      <c r="E960" s="19">
        <f>IF('Boletins Nuppa Site'!H960&lt;&gt;0,'Boletins Nuppa Site'!H960,"NULL")</f>
        <v>60</v>
      </c>
      <c r="F960" s="19">
        <f>IF('Boletins Nuppa Site'!I960&lt;&gt;0,'Boletins Nuppa Site'!I960,"NULL")</f>
        <v>72</v>
      </c>
      <c r="G960" s="1" t="str">
        <f>IF('Boletins Nuppa Site'!J960&lt;&gt;0,'Boletins Nuppa Site'!J960,"NULL")</f>
        <v>62.4</v>
      </c>
      <c r="H960" s="19">
        <f>IF('Boletins Nuppa Site'!K960&lt;&gt;0,'Boletins Nuppa Site'!K960,"NULL")</f>
        <v>60</v>
      </c>
      <c r="J960" s="1" t="str">
        <f t="shared" si="14"/>
        <v>INSERT INTO COTACAO (blt_id, pap_id, cot_prc_comum, cot_prc_min, cot_prc_max, cot_prc_med, cot_prc_mediana) VALUES (26, 7, 60, 60, 72, 62.4, 60);</v>
      </c>
    </row>
    <row r="961" spans="1:10" x14ac:dyDescent="0.3">
      <c r="A961" s="1">
        <v>960</v>
      </c>
      <c r="B961" s="1">
        <v>26</v>
      </c>
      <c r="C961" s="1">
        <v>8</v>
      </c>
      <c r="D961" s="19">
        <f>IF('Boletins Nuppa Site'!G961&lt;&gt;0,'Boletins Nuppa Site'!G961,"NULL")</f>
        <v>84</v>
      </c>
      <c r="E961" s="19">
        <f>IF('Boletins Nuppa Site'!H961&lt;&gt;0,'Boletins Nuppa Site'!H961,"NULL")</f>
        <v>72</v>
      </c>
      <c r="F961" s="19">
        <f>IF('Boletins Nuppa Site'!I961&lt;&gt;0,'Boletins Nuppa Site'!I961,"NULL")</f>
        <v>96</v>
      </c>
      <c r="G961" s="19">
        <f>IF('Boletins Nuppa Site'!J961&lt;&gt;0,'Boletins Nuppa Site'!J961,"NULL")</f>
        <v>84</v>
      </c>
      <c r="H961" s="19">
        <f>IF('Boletins Nuppa Site'!K961&lt;&gt;0,'Boletins Nuppa Site'!K961,"NULL")</f>
        <v>84</v>
      </c>
      <c r="J961" s="1" t="str">
        <f t="shared" si="14"/>
        <v>INSERT INTO COTACAO (blt_id, pap_id, cot_prc_comum, cot_prc_min, cot_prc_max, cot_prc_med, cot_prc_mediana) VALUES (26, 8, 84, 72, 96, 84, 84);</v>
      </c>
    </row>
    <row r="962" spans="1:10" x14ac:dyDescent="0.3">
      <c r="A962" s="1">
        <v>961</v>
      </c>
      <c r="B962" s="1">
        <v>26</v>
      </c>
      <c r="C962" s="1">
        <v>9</v>
      </c>
      <c r="D962" s="19">
        <f>IF('Boletins Nuppa Site'!G962&lt;&gt;0,'Boletins Nuppa Site'!G962,"NULL")</f>
        <v>24</v>
      </c>
      <c r="E962" s="19">
        <f>IF('Boletins Nuppa Site'!H962&lt;&gt;0,'Boletins Nuppa Site'!H962,"NULL")</f>
        <v>18</v>
      </c>
      <c r="F962" s="19">
        <f>IF('Boletins Nuppa Site'!I962&lt;&gt;0,'Boletins Nuppa Site'!I962,"NULL")</f>
        <v>30</v>
      </c>
      <c r="G962" s="1" t="str">
        <f>IF('Boletins Nuppa Site'!J962&lt;&gt;0,'Boletins Nuppa Site'!J962,"NULL")</f>
        <v>22.8</v>
      </c>
      <c r="H962" s="19">
        <f>IF('Boletins Nuppa Site'!K962&lt;&gt;0,'Boletins Nuppa Site'!K962,"NULL")</f>
        <v>24</v>
      </c>
      <c r="J962" s="1" t="str">
        <f t="shared" ref="J962:J1025" si="15">"INSERT INTO COTACAO (blt_id, pap_id, cot_prc_comum, cot_prc_min, cot_prc_max, cot_prc_med, cot_prc_mediana) VALUES ("&amp;B962&amp;", "&amp;C962&amp;", "&amp;D962&amp;", "&amp;E962&amp;", "&amp;F962&amp;", "&amp;G962&amp;", "&amp;H962&amp;");"</f>
        <v>INSERT INTO COTACAO (blt_id, pap_id, cot_prc_comum, cot_prc_min, cot_prc_max, cot_prc_med, cot_prc_mediana) VALUES (26, 9, 24, 18, 30, 22.8, 24);</v>
      </c>
    </row>
    <row r="963" spans="1:10" x14ac:dyDescent="0.3">
      <c r="A963" s="1">
        <v>962</v>
      </c>
      <c r="B963" s="1">
        <v>26</v>
      </c>
      <c r="C963" s="1">
        <v>10</v>
      </c>
      <c r="D963" s="19">
        <f>IF('Boletins Nuppa Site'!G963&lt;&gt;0,'Boletins Nuppa Site'!G963,"NULL")</f>
        <v>72</v>
      </c>
      <c r="E963" s="19">
        <f>IF('Boletins Nuppa Site'!H963&lt;&gt;0,'Boletins Nuppa Site'!H963,"NULL")</f>
        <v>72</v>
      </c>
      <c r="F963" s="19">
        <f>IF('Boletins Nuppa Site'!I963&lt;&gt;0,'Boletins Nuppa Site'!I963,"NULL")</f>
        <v>84</v>
      </c>
      <c r="G963" s="19">
        <f>IF('Boletins Nuppa Site'!J963&lt;&gt;0,'Boletins Nuppa Site'!J963,"NULL")</f>
        <v>75</v>
      </c>
      <c r="H963" s="19">
        <f>IF('Boletins Nuppa Site'!K963&lt;&gt;0,'Boletins Nuppa Site'!K963,"NULL")</f>
        <v>72</v>
      </c>
      <c r="J963" s="1" t="str">
        <f t="shared" si="15"/>
        <v>INSERT INTO COTACAO (blt_id, pap_id, cot_prc_comum, cot_prc_min, cot_prc_max, cot_prc_med, cot_prc_mediana) VALUES (26, 10, 72, 72, 84, 75, 72);</v>
      </c>
    </row>
    <row r="964" spans="1:10" x14ac:dyDescent="0.3">
      <c r="A964" s="1">
        <v>963</v>
      </c>
      <c r="B964" s="1">
        <v>26</v>
      </c>
      <c r="C964" s="1">
        <v>11</v>
      </c>
      <c r="D964" s="19">
        <f>IF('Boletins Nuppa Site'!G964&lt;&gt;0,'Boletins Nuppa Site'!G964,"NULL")</f>
        <v>30</v>
      </c>
      <c r="E964" s="19">
        <f>IF('Boletins Nuppa Site'!H964&lt;&gt;0,'Boletins Nuppa Site'!H964,"NULL")</f>
        <v>18</v>
      </c>
      <c r="F964" s="19">
        <f>IF('Boletins Nuppa Site'!I964&lt;&gt;0,'Boletins Nuppa Site'!I964,"NULL")</f>
        <v>30</v>
      </c>
      <c r="G964" s="1" t="str">
        <f>IF('Boletins Nuppa Site'!J964&lt;&gt;0,'Boletins Nuppa Site'!J964,"NULL")</f>
        <v>25.2</v>
      </c>
      <c r="H964" s="19">
        <f>IF('Boletins Nuppa Site'!K964&lt;&gt;0,'Boletins Nuppa Site'!K964,"NULL")</f>
        <v>24</v>
      </c>
      <c r="J964" s="1" t="str">
        <f t="shared" si="15"/>
        <v>INSERT INTO COTACAO (blt_id, pap_id, cot_prc_comum, cot_prc_min, cot_prc_max, cot_prc_med, cot_prc_mediana) VALUES (26, 11, 30, 18, 30, 25.2, 24);</v>
      </c>
    </row>
    <row r="965" spans="1:10" x14ac:dyDescent="0.3">
      <c r="A965" s="1">
        <v>964</v>
      </c>
      <c r="B965" s="1">
        <v>26</v>
      </c>
      <c r="C965" s="1">
        <v>12</v>
      </c>
      <c r="D965" s="19">
        <f>IF('Boletins Nuppa Site'!G965&lt;&gt;0,'Boletins Nuppa Site'!G965,"NULL")</f>
        <v>60</v>
      </c>
      <c r="E965" s="19">
        <f>IF('Boletins Nuppa Site'!H965&lt;&gt;0,'Boletins Nuppa Site'!H965,"NULL")</f>
        <v>60</v>
      </c>
      <c r="F965" s="19">
        <f>IF('Boletins Nuppa Site'!I965&lt;&gt;0,'Boletins Nuppa Site'!I965,"NULL")</f>
        <v>60</v>
      </c>
      <c r="G965" s="19">
        <f>IF('Boletins Nuppa Site'!J965&lt;&gt;0,'Boletins Nuppa Site'!J965,"NULL")</f>
        <v>60</v>
      </c>
      <c r="H965" s="19">
        <f>IF('Boletins Nuppa Site'!K965&lt;&gt;0,'Boletins Nuppa Site'!K965,"NULL")</f>
        <v>60</v>
      </c>
      <c r="J965" s="1" t="str">
        <f t="shared" si="15"/>
        <v>INSERT INTO COTACAO (blt_id, pap_id, cot_prc_comum, cot_prc_min, cot_prc_max, cot_prc_med, cot_prc_mediana) VALUES (26, 12, 60, 60, 60, 60, 60);</v>
      </c>
    </row>
    <row r="966" spans="1:10" x14ac:dyDescent="0.3">
      <c r="A966" s="1">
        <v>965</v>
      </c>
      <c r="B966" s="1">
        <v>26</v>
      </c>
      <c r="C966" s="1">
        <v>13</v>
      </c>
      <c r="D966" s="19">
        <f>IF('Boletins Nuppa Site'!G966&lt;&gt;0,'Boletins Nuppa Site'!G966,"NULL")</f>
        <v>60</v>
      </c>
      <c r="E966" s="19">
        <f>IF('Boletins Nuppa Site'!H966&lt;&gt;0,'Boletins Nuppa Site'!H966,"NULL")</f>
        <v>48</v>
      </c>
      <c r="F966" s="19">
        <f>IF('Boletins Nuppa Site'!I966&lt;&gt;0,'Boletins Nuppa Site'!I966,"NULL")</f>
        <v>60</v>
      </c>
      <c r="G966" s="19">
        <f>IF('Boletins Nuppa Site'!J966&lt;&gt;0,'Boletins Nuppa Site'!J966,"NULL")</f>
        <v>54</v>
      </c>
      <c r="H966" s="19">
        <f>IF('Boletins Nuppa Site'!K966&lt;&gt;0,'Boletins Nuppa Site'!K966,"NULL")</f>
        <v>54</v>
      </c>
      <c r="J966" s="1" t="str">
        <f t="shared" si="15"/>
        <v>INSERT INTO COTACAO (blt_id, pap_id, cot_prc_comum, cot_prc_min, cot_prc_max, cot_prc_med, cot_prc_mediana) VALUES (26, 13, 60, 48, 60, 54, 54);</v>
      </c>
    </row>
    <row r="967" spans="1:10" x14ac:dyDescent="0.3">
      <c r="A967" s="1">
        <v>966</v>
      </c>
      <c r="B967" s="1">
        <v>26</v>
      </c>
      <c r="C967" s="1">
        <v>14</v>
      </c>
      <c r="D967" s="19">
        <f>IF('Boletins Nuppa Site'!G967&lt;&gt;0,'Boletins Nuppa Site'!G967,"NULL")</f>
        <v>60</v>
      </c>
      <c r="E967" s="19">
        <f>IF('Boletins Nuppa Site'!H967&lt;&gt;0,'Boletins Nuppa Site'!H967,"NULL")</f>
        <v>60</v>
      </c>
      <c r="F967" s="19">
        <f>IF('Boletins Nuppa Site'!I967&lt;&gt;0,'Boletins Nuppa Site'!I967,"NULL")</f>
        <v>96</v>
      </c>
      <c r="G967" s="19">
        <f>IF('Boletins Nuppa Site'!J967&lt;&gt;0,'Boletins Nuppa Site'!J967,"NULL")</f>
        <v>75</v>
      </c>
      <c r="H967" s="19">
        <f>IF('Boletins Nuppa Site'!K967&lt;&gt;0,'Boletins Nuppa Site'!K967,"NULL")</f>
        <v>72</v>
      </c>
      <c r="J967" s="1" t="str">
        <f t="shared" si="15"/>
        <v>INSERT INTO COTACAO (blt_id, pap_id, cot_prc_comum, cot_prc_min, cot_prc_max, cot_prc_med, cot_prc_mediana) VALUES (26, 14, 60, 60, 96, 75, 72);</v>
      </c>
    </row>
    <row r="968" spans="1:10" x14ac:dyDescent="0.3">
      <c r="A968" s="1">
        <v>967</v>
      </c>
      <c r="B968" s="1">
        <v>26</v>
      </c>
      <c r="C968" s="1">
        <v>15</v>
      </c>
      <c r="D968" s="19">
        <f>IF('Boletins Nuppa Site'!G968&lt;&gt;0,'Boletins Nuppa Site'!G968,"NULL")</f>
        <v>48</v>
      </c>
      <c r="E968" s="19">
        <f>IF('Boletins Nuppa Site'!H968&lt;&gt;0,'Boletins Nuppa Site'!H968,"NULL")</f>
        <v>25</v>
      </c>
      <c r="F968" s="19">
        <f>IF('Boletins Nuppa Site'!I968&lt;&gt;0,'Boletins Nuppa Site'!I968,"NULL")</f>
        <v>60</v>
      </c>
      <c r="G968" s="1" t="str">
        <f>IF('Boletins Nuppa Site'!J968&lt;&gt;0,'Boletins Nuppa Site'!J968,"NULL")</f>
        <v>43.4</v>
      </c>
      <c r="H968" s="19">
        <f>IF('Boletins Nuppa Site'!K968&lt;&gt;0,'Boletins Nuppa Site'!K968,"NULL")</f>
        <v>48</v>
      </c>
      <c r="J968" s="1" t="str">
        <f t="shared" si="15"/>
        <v>INSERT INTO COTACAO (blt_id, pap_id, cot_prc_comum, cot_prc_min, cot_prc_max, cot_prc_med, cot_prc_mediana) VALUES (26, 15, 48, 25, 60, 43.4, 48);</v>
      </c>
    </row>
    <row r="969" spans="1:10" x14ac:dyDescent="0.3">
      <c r="A969" s="1">
        <v>968</v>
      </c>
      <c r="B969" s="1">
        <v>26</v>
      </c>
      <c r="C969" s="1">
        <v>16</v>
      </c>
      <c r="D969" s="19">
        <f>IF('Boletins Nuppa Site'!G969&lt;&gt;0,'Boletins Nuppa Site'!G969,"NULL")</f>
        <v>54</v>
      </c>
      <c r="E969" s="19">
        <f>IF('Boletins Nuppa Site'!H969&lt;&gt;0,'Boletins Nuppa Site'!H969,"NULL")</f>
        <v>48</v>
      </c>
      <c r="F969" s="19">
        <f>IF('Boletins Nuppa Site'!I969&lt;&gt;0,'Boletins Nuppa Site'!I969,"NULL")</f>
        <v>54</v>
      </c>
      <c r="G969" s="19">
        <f>IF('Boletins Nuppa Site'!J969&lt;&gt;0,'Boletins Nuppa Site'!J969,"NULL")</f>
        <v>51</v>
      </c>
      <c r="H969" s="19">
        <f>IF('Boletins Nuppa Site'!K969&lt;&gt;0,'Boletins Nuppa Site'!K969,"NULL")</f>
        <v>51</v>
      </c>
      <c r="J969" s="1" t="str">
        <f t="shared" si="15"/>
        <v>INSERT INTO COTACAO (blt_id, pap_id, cot_prc_comum, cot_prc_min, cot_prc_max, cot_prc_med, cot_prc_mediana) VALUES (26, 16, 54, 48, 54, 51, 51);</v>
      </c>
    </row>
    <row r="970" spans="1:10" x14ac:dyDescent="0.3">
      <c r="A970" s="1">
        <v>969</v>
      </c>
      <c r="B970" s="1">
        <v>26</v>
      </c>
      <c r="C970" s="1">
        <v>17</v>
      </c>
      <c r="D970" s="19">
        <f>IF('Boletins Nuppa Site'!G970&lt;&gt;0,'Boletins Nuppa Site'!G970,"NULL")</f>
        <v>5</v>
      </c>
      <c r="E970" s="19">
        <f>IF('Boletins Nuppa Site'!H970&lt;&gt;0,'Boletins Nuppa Site'!H970,"NULL")</f>
        <v>5</v>
      </c>
      <c r="F970" s="19">
        <f>IF('Boletins Nuppa Site'!I970&lt;&gt;0,'Boletins Nuppa Site'!I970,"NULL")</f>
        <v>5</v>
      </c>
      <c r="G970" s="19">
        <f>IF('Boletins Nuppa Site'!J970&lt;&gt;0,'Boletins Nuppa Site'!J970,"NULL")</f>
        <v>5</v>
      </c>
      <c r="H970" s="19">
        <f>IF('Boletins Nuppa Site'!K970&lt;&gt;0,'Boletins Nuppa Site'!K970,"NULL")</f>
        <v>5</v>
      </c>
      <c r="J970" s="1" t="str">
        <f t="shared" si="15"/>
        <v>INSERT INTO COTACAO (blt_id, pap_id, cot_prc_comum, cot_prc_min, cot_prc_max, cot_prc_med, cot_prc_mediana) VALUES (26, 17, 5, 5, 5, 5, 5);</v>
      </c>
    </row>
    <row r="971" spans="1:10" x14ac:dyDescent="0.3">
      <c r="A971" s="1">
        <v>970</v>
      </c>
      <c r="B971" s="1">
        <v>26</v>
      </c>
      <c r="C971" s="1">
        <v>18</v>
      </c>
      <c r="D971" s="19">
        <f>IF('Boletins Nuppa Site'!G971&lt;&gt;0,'Boletins Nuppa Site'!G971,"NULL")</f>
        <v>15</v>
      </c>
      <c r="E971" s="19">
        <f>IF('Boletins Nuppa Site'!H971&lt;&gt;0,'Boletins Nuppa Site'!H971,"NULL")</f>
        <v>10</v>
      </c>
      <c r="F971" s="19">
        <f>IF('Boletins Nuppa Site'!I971&lt;&gt;0,'Boletins Nuppa Site'!I971,"NULL")</f>
        <v>15</v>
      </c>
      <c r="G971" s="1" t="str">
        <f>IF('Boletins Nuppa Site'!J971&lt;&gt;0,'Boletins Nuppa Site'!J971,"NULL")</f>
        <v>12.4</v>
      </c>
      <c r="H971" s="19">
        <f>IF('Boletins Nuppa Site'!K971&lt;&gt;0,'Boletins Nuppa Site'!K971,"NULL")</f>
        <v>12</v>
      </c>
      <c r="J971" s="1" t="str">
        <f t="shared" si="15"/>
        <v>INSERT INTO COTACAO (blt_id, pap_id, cot_prc_comum, cot_prc_min, cot_prc_max, cot_prc_med, cot_prc_mediana) VALUES (26, 18, 15, 10, 15, 12.4, 12);</v>
      </c>
    </row>
    <row r="972" spans="1:10" x14ac:dyDescent="0.3">
      <c r="A972" s="1">
        <v>971</v>
      </c>
      <c r="B972" s="1">
        <v>26</v>
      </c>
      <c r="C972" s="1">
        <v>19</v>
      </c>
      <c r="D972" s="19">
        <f>IF('Boletins Nuppa Site'!G972&lt;&gt;0,'Boletins Nuppa Site'!G972,"NULL")</f>
        <v>20</v>
      </c>
      <c r="E972" s="19">
        <f>IF('Boletins Nuppa Site'!H972&lt;&gt;0,'Boletins Nuppa Site'!H972,"NULL")</f>
        <v>20</v>
      </c>
      <c r="F972" s="19">
        <f>IF('Boletins Nuppa Site'!I972&lt;&gt;0,'Boletins Nuppa Site'!I972,"NULL")</f>
        <v>35</v>
      </c>
      <c r="G972" s="19">
        <f>IF('Boletins Nuppa Site'!J972&lt;&gt;0,'Boletins Nuppa Site'!J972,"NULL")</f>
        <v>26</v>
      </c>
      <c r="H972" s="19">
        <f>IF('Boletins Nuppa Site'!K972&lt;&gt;0,'Boletins Nuppa Site'!K972,"NULL")</f>
        <v>25</v>
      </c>
      <c r="J972" s="1" t="str">
        <f t="shared" si="15"/>
        <v>INSERT INTO COTACAO (blt_id, pap_id, cot_prc_comum, cot_prc_min, cot_prc_max, cot_prc_med, cot_prc_mediana) VALUES (26, 19, 20, 20, 35, 26, 25);</v>
      </c>
    </row>
    <row r="973" spans="1:10" x14ac:dyDescent="0.3">
      <c r="A973" s="1">
        <v>972</v>
      </c>
      <c r="B973" s="1">
        <v>26</v>
      </c>
      <c r="C973" s="1">
        <v>20</v>
      </c>
      <c r="D973" s="1" t="str">
        <f>IF('Boletins Nuppa Site'!G973&lt;&gt;0,'Boletins Nuppa Site'!G973,"NULL")</f>
        <v>NULL</v>
      </c>
      <c r="E973" s="19">
        <f>IF('Boletins Nuppa Site'!H973&lt;&gt;0,'Boletins Nuppa Site'!H973,"NULL")</f>
        <v>85</v>
      </c>
      <c r="F973" s="19">
        <f>IF('Boletins Nuppa Site'!I973&lt;&gt;0,'Boletins Nuppa Site'!I973,"NULL")</f>
        <v>85</v>
      </c>
      <c r="G973" s="19">
        <f>IF('Boletins Nuppa Site'!J973&lt;&gt;0,'Boletins Nuppa Site'!J973,"NULL")</f>
        <v>85</v>
      </c>
      <c r="H973" s="19">
        <f>IF('Boletins Nuppa Site'!K973&lt;&gt;0,'Boletins Nuppa Site'!K973,"NULL")</f>
        <v>85</v>
      </c>
      <c r="J973" s="1" t="str">
        <f t="shared" si="15"/>
        <v>INSERT INTO COTACAO (blt_id, pap_id, cot_prc_comum, cot_prc_min, cot_prc_max, cot_prc_med, cot_prc_mediana) VALUES (26, 20, NULL, 85, 85, 85, 85);</v>
      </c>
    </row>
    <row r="974" spans="1:10" x14ac:dyDescent="0.3">
      <c r="A974" s="1">
        <v>973</v>
      </c>
      <c r="B974" s="1">
        <v>26</v>
      </c>
      <c r="C974" s="1">
        <v>21</v>
      </c>
      <c r="D974" s="19">
        <f>IF('Boletins Nuppa Site'!G974&lt;&gt;0,'Boletins Nuppa Site'!G974,"NULL")</f>
        <v>60</v>
      </c>
      <c r="E974" s="19">
        <f>IF('Boletins Nuppa Site'!H974&lt;&gt;0,'Boletins Nuppa Site'!H974,"NULL")</f>
        <v>50</v>
      </c>
      <c r="F974" s="19">
        <f>IF('Boletins Nuppa Site'!I974&lt;&gt;0,'Boletins Nuppa Site'!I974,"NULL")</f>
        <v>60</v>
      </c>
      <c r="G974" s="1" t="str">
        <f>IF('Boletins Nuppa Site'!J974&lt;&gt;0,'Boletins Nuppa Site'!J974,"NULL")</f>
        <v>56.25</v>
      </c>
      <c r="H974" s="1" t="str">
        <f>IF('Boletins Nuppa Site'!K974&lt;&gt;0,'Boletins Nuppa Site'!K974,"NULL")</f>
        <v>57.5</v>
      </c>
      <c r="J974" s="1" t="str">
        <f t="shared" si="15"/>
        <v>INSERT INTO COTACAO (blt_id, pap_id, cot_prc_comum, cot_prc_min, cot_prc_max, cot_prc_med, cot_prc_mediana) VALUES (26, 21, 60, 50, 60, 56.25, 57.5);</v>
      </c>
    </row>
    <row r="975" spans="1:10" x14ac:dyDescent="0.3">
      <c r="A975" s="1">
        <v>974</v>
      </c>
      <c r="B975" s="1">
        <v>26</v>
      </c>
      <c r="C975" s="1">
        <v>22</v>
      </c>
      <c r="D975" s="19">
        <f>IF('Boletins Nuppa Site'!G975&lt;&gt;0,'Boletins Nuppa Site'!G975,"NULL")</f>
        <v>70</v>
      </c>
      <c r="E975" s="19">
        <f>IF('Boletins Nuppa Site'!H975&lt;&gt;0,'Boletins Nuppa Site'!H975,"NULL")</f>
        <v>45</v>
      </c>
      <c r="F975" s="19">
        <f>IF('Boletins Nuppa Site'!I975&lt;&gt;0,'Boletins Nuppa Site'!I975,"NULL")</f>
        <v>70</v>
      </c>
      <c r="G975" s="1" t="str">
        <f>IF('Boletins Nuppa Site'!J975&lt;&gt;0,'Boletins Nuppa Site'!J975,"NULL")</f>
        <v>63.75</v>
      </c>
      <c r="H975" s="19">
        <f>IF('Boletins Nuppa Site'!K975&lt;&gt;0,'Boletins Nuppa Site'!K975,"NULL")</f>
        <v>70</v>
      </c>
      <c r="J975" s="1" t="str">
        <f t="shared" si="15"/>
        <v>INSERT INTO COTACAO (blt_id, pap_id, cot_prc_comum, cot_prc_min, cot_prc_max, cot_prc_med, cot_prc_mediana) VALUES (26, 22, 70, 45, 70, 63.75, 70);</v>
      </c>
    </row>
    <row r="976" spans="1:10" x14ac:dyDescent="0.3">
      <c r="A976" s="1">
        <v>975</v>
      </c>
      <c r="B976" s="1">
        <v>26</v>
      </c>
      <c r="C976" s="1">
        <v>23</v>
      </c>
      <c r="D976" s="19">
        <f>IF('Boletins Nuppa Site'!G976&lt;&gt;0,'Boletins Nuppa Site'!G976,"NULL")</f>
        <v>45</v>
      </c>
      <c r="E976" s="19">
        <f>IF('Boletins Nuppa Site'!H976&lt;&gt;0,'Boletins Nuppa Site'!H976,"NULL")</f>
        <v>40</v>
      </c>
      <c r="F976" s="19">
        <f>IF('Boletins Nuppa Site'!I976&lt;&gt;0,'Boletins Nuppa Site'!I976,"NULL")</f>
        <v>50</v>
      </c>
      <c r="G976" s="19">
        <f>IF('Boletins Nuppa Site'!J976&lt;&gt;0,'Boletins Nuppa Site'!J976,"NULL")</f>
        <v>46</v>
      </c>
      <c r="H976" s="19">
        <f>IF('Boletins Nuppa Site'!K976&lt;&gt;0,'Boletins Nuppa Site'!K976,"NULL")</f>
        <v>45</v>
      </c>
      <c r="J976" s="1" t="str">
        <f t="shared" si="15"/>
        <v>INSERT INTO COTACAO (blt_id, pap_id, cot_prc_comum, cot_prc_min, cot_prc_max, cot_prc_med, cot_prc_mediana) VALUES (26, 23, 45, 40, 50, 46, 45);</v>
      </c>
    </row>
    <row r="977" spans="1:10" x14ac:dyDescent="0.3">
      <c r="A977" s="1">
        <v>976</v>
      </c>
      <c r="B977" s="1">
        <v>26</v>
      </c>
      <c r="C977" s="1">
        <v>24</v>
      </c>
      <c r="D977" s="1" t="str">
        <f>IF('Boletins Nuppa Site'!G977&lt;&gt;0,'Boletins Nuppa Site'!G977,"NULL")</f>
        <v>NULL</v>
      </c>
      <c r="E977" s="19">
        <f>IF('Boletins Nuppa Site'!H977&lt;&gt;0,'Boletins Nuppa Site'!H977,"NULL")</f>
        <v>90</v>
      </c>
      <c r="F977" s="19">
        <f>IF('Boletins Nuppa Site'!I977&lt;&gt;0,'Boletins Nuppa Site'!I977,"NULL")</f>
        <v>90</v>
      </c>
      <c r="G977" s="19">
        <f>IF('Boletins Nuppa Site'!J977&lt;&gt;0,'Boletins Nuppa Site'!J977,"NULL")</f>
        <v>90</v>
      </c>
      <c r="H977" s="19">
        <f>IF('Boletins Nuppa Site'!K977&lt;&gt;0,'Boletins Nuppa Site'!K977,"NULL")</f>
        <v>90</v>
      </c>
      <c r="J977" s="1" t="str">
        <f t="shared" si="15"/>
        <v>INSERT INTO COTACAO (blt_id, pap_id, cot_prc_comum, cot_prc_min, cot_prc_max, cot_prc_med, cot_prc_mediana) VALUES (26, 24, NULL, 90, 90, 90, 90);</v>
      </c>
    </row>
    <row r="978" spans="1:10" x14ac:dyDescent="0.3">
      <c r="A978" s="1">
        <v>977</v>
      </c>
      <c r="B978" s="1">
        <v>26</v>
      </c>
      <c r="C978" s="1">
        <v>25</v>
      </c>
      <c r="D978" s="19">
        <f>IF('Boletins Nuppa Site'!G978&lt;&gt;0,'Boletins Nuppa Site'!G978,"NULL")</f>
        <v>65</v>
      </c>
      <c r="E978" s="19">
        <f>IF('Boletins Nuppa Site'!H978&lt;&gt;0,'Boletins Nuppa Site'!H978,"NULL")</f>
        <v>60</v>
      </c>
      <c r="F978" s="19">
        <f>IF('Boletins Nuppa Site'!I978&lt;&gt;0,'Boletins Nuppa Site'!I978,"NULL")</f>
        <v>65</v>
      </c>
      <c r="G978" s="1" t="str">
        <f>IF('Boletins Nuppa Site'!J978&lt;&gt;0,'Boletins Nuppa Site'!J978,"NULL")</f>
        <v>62.5</v>
      </c>
      <c r="H978" s="1" t="str">
        <f>IF('Boletins Nuppa Site'!K978&lt;&gt;0,'Boletins Nuppa Site'!K978,"NULL")</f>
        <v>62.5</v>
      </c>
      <c r="J978" s="1" t="str">
        <f t="shared" si="15"/>
        <v>INSERT INTO COTACAO (blt_id, pap_id, cot_prc_comum, cot_prc_min, cot_prc_max, cot_prc_med, cot_prc_mediana) VALUES (26, 25, 65, 60, 65, 62.5, 62.5);</v>
      </c>
    </row>
    <row r="979" spans="1:10" x14ac:dyDescent="0.3">
      <c r="A979" s="1">
        <v>978</v>
      </c>
      <c r="B979" s="1">
        <v>26</v>
      </c>
      <c r="C979" s="1">
        <v>26</v>
      </c>
      <c r="D979" s="1" t="str">
        <f>IF('Boletins Nuppa Site'!G979&lt;&gt;0,'Boletins Nuppa Site'!G979,"NULL")</f>
        <v>NULL</v>
      </c>
      <c r="E979" s="19">
        <f>IF('Boletins Nuppa Site'!H979&lt;&gt;0,'Boletins Nuppa Site'!H979,"NULL")</f>
        <v>40</v>
      </c>
      <c r="F979" s="19">
        <f>IF('Boletins Nuppa Site'!I979&lt;&gt;0,'Boletins Nuppa Site'!I979,"NULL")</f>
        <v>65</v>
      </c>
      <c r="G979" s="1" t="str">
        <f>IF('Boletins Nuppa Site'!J979&lt;&gt;0,'Boletins Nuppa Site'!J979,"NULL")</f>
        <v>52.5</v>
      </c>
      <c r="H979" s="1" t="str">
        <f>IF('Boletins Nuppa Site'!K979&lt;&gt;0,'Boletins Nuppa Site'!K979,"NULL")</f>
        <v>52.5</v>
      </c>
      <c r="J979" s="1" t="str">
        <f t="shared" si="15"/>
        <v>INSERT INTO COTACAO (blt_id, pap_id, cot_prc_comum, cot_prc_min, cot_prc_max, cot_prc_med, cot_prc_mediana) VALUES (26, 26, NULL, 40, 65, 52.5, 52.5);</v>
      </c>
    </row>
    <row r="980" spans="1:10" x14ac:dyDescent="0.3">
      <c r="A980" s="1">
        <v>979</v>
      </c>
      <c r="B980" s="1">
        <v>26</v>
      </c>
      <c r="C980" s="1">
        <v>27</v>
      </c>
      <c r="D980" s="19">
        <f>IF('Boletins Nuppa Site'!G980&lt;&gt;0,'Boletins Nuppa Site'!G980,"NULL")</f>
        <v>40</v>
      </c>
      <c r="E980" s="19">
        <f>IF('Boletins Nuppa Site'!H980&lt;&gt;0,'Boletins Nuppa Site'!H980,"NULL")</f>
        <v>40</v>
      </c>
      <c r="F980" s="19">
        <f>IF('Boletins Nuppa Site'!I980&lt;&gt;0,'Boletins Nuppa Site'!I980,"NULL")</f>
        <v>60</v>
      </c>
      <c r="G980" s="19">
        <f>IF('Boletins Nuppa Site'!J980&lt;&gt;0,'Boletins Nuppa Site'!J980,"NULL")</f>
        <v>46</v>
      </c>
      <c r="H980" s="19">
        <f>IF('Boletins Nuppa Site'!K980&lt;&gt;0,'Boletins Nuppa Site'!K980,"NULL")</f>
        <v>40</v>
      </c>
      <c r="J980" s="1" t="str">
        <f t="shared" si="15"/>
        <v>INSERT INTO COTACAO (blt_id, pap_id, cot_prc_comum, cot_prc_min, cot_prc_max, cot_prc_med, cot_prc_mediana) VALUES (26, 27, 40, 40, 60, 46, 40);</v>
      </c>
    </row>
    <row r="981" spans="1:10" x14ac:dyDescent="0.3">
      <c r="A981" s="1">
        <v>980</v>
      </c>
      <c r="B981" s="1">
        <v>26</v>
      </c>
      <c r="C981" s="1">
        <v>28</v>
      </c>
      <c r="D981" s="1" t="str">
        <f>IF('Boletins Nuppa Site'!G981&lt;&gt;0,'Boletins Nuppa Site'!G981,"NULL")</f>
        <v>NULL</v>
      </c>
      <c r="E981" s="19">
        <f>IF('Boletins Nuppa Site'!H981&lt;&gt;0,'Boletins Nuppa Site'!H981,"NULL")</f>
        <v>85</v>
      </c>
      <c r="F981" s="19">
        <f>IF('Boletins Nuppa Site'!I981&lt;&gt;0,'Boletins Nuppa Site'!I981,"NULL")</f>
        <v>100</v>
      </c>
      <c r="G981" s="1" t="str">
        <f>IF('Boletins Nuppa Site'!J981&lt;&gt;0,'Boletins Nuppa Site'!J981,"NULL")</f>
        <v>91.67</v>
      </c>
      <c r="H981" s="19">
        <f>IF('Boletins Nuppa Site'!K981&lt;&gt;0,'Boletins Nuppa Site'!K981,"NULL")</f>
        <v>90</v>
      </c>
      <c r="J981" s="1" t="str">
        <f t="shared" si="15"/>
        <v>INSERT INTO COTACAO (blt_id, pap_id, cot_prc_comum, cot_prc_min, cot_prc_max, cot_prc_med, cot_prc_mediana) VALUES (26, 28, NULL, 85, 100, 91.67, 90);</v>
      </c>
    </row>
    <row r="982" spans="1:10" x14ac:dyDescent="0.3">
      <c r="A982" s="1">
        <v>981</v>
      </c>
      <c r="B982" s="1">
        <v>26</v>
      </c>
      <c r="C982" s="1">
        <v>29</v>
      </c>
      <c r="D982" s="1" t="str">
        <f>IF('Boletins Nuppa Site'!G982&lt;&gt;0,'Boletins Nuppa Site'!G982,"NULL")</f>
        <v>NULL</v>
      </c>
      <c r="E982" s="19">
        <f>IF('Boletins Nuppa Site'!H982&lt;&gt;0,'Boletins Nuppa Site'!H982,"NULL")</f>
        <v>45</v>
      </c>
      <c r="F982" s="19">
        <f>IF('Boletins Nuppa Site'!I982&lt;&gt;0,'Boletins Nuppa Site'!I982,"NULL")</f>
        <v>60</v>
      </c>
      <c r="G982" s="1" t="str">
        <f>IF('Boletins Nuppa Site'!J982&lt;&gt;0,'Boletins Nuppa Site'!J982,"NULL")</f>
        <v>52.5</v>
      </c>
      <c r="H982" s="1" t="str">
        <f>IF('Boletins Nuppa Site'!K982&lt;&gt;0,'Boletins Nuppa Site'!K982,"NULL")</f>
        <v>52.5</v>
      </c>
      <c r="J982" s="1" t="str">
        <f t="shared" si="15"/>
        <v>INSERT INTO COTACAO (blt_id, pap_id, cot_prc_comum, cot_prc_min, cot_prc_max, cot_prc_med, cot_prc_mediana) VALUES (26, 29, NULL, 45, 60, 52.5, 52.5);</v>
      </c>
    </row>
    <row r="983" spans="1:10" x14ac:dyDescent="0.3">
      <c r="A983" s="1">
        <v>982</v>
      </c>
      <c r="B983" s="1">
        <v>26</v>
      </c>
      <c r="C983" s="1">
        <v>30</v>
      </c>
      <c r="D983" s="19">
        <f>IF('Boletins Nuppa Site'!G983&lt;&gt;0,'Boletins Nuppa Site'!G983,"NULL")</f>
        <v>50</v>
      </c>
      <c r="E983" s="19">
        <f>IF('Boletins Nuppa Site'!H983&lt;&gt;0,'Boletins Nuppa Site'!H983,"NULL")</f>
        <v>50</v>
      </c>
      <c r="F983" s="19">
        <f>IF('Boletins Nuppa Site'!I983&lt;&gt;0,'Boletins Nuppa Site'!I983,"NULL")</f>
        <v>60</v>
      </c>
      <c r="G983" s="1" t="str">
        <f>IF('Boletins Nuppa Site'!J983&lt;&gt;0,'Boletins Nuppa Site'!J983,"NULL")</f>
        <v>53.33</v>
      </c>
      <c r="H983" s="19">
        <f>IF('Boletins Nuppa Site'!K983&lt;&gt;0,'Boletins Nuppa Site'!K983,"NULL")</f>
        <v>50</v>
      </c>
      <c r="J983" s="1" t="str">
        <f t="shared" si="15"/>
        <v>INSERT INTO COTACAO (blt_id, pap_id, cot_prc_comum, cot_prc_min, cot_prc_max, cot_prc_med, cot_prc_mediana) VALUES (26, 30, 50, 50, 60, 53.33, 50);</v>
      </c>
    </row>
    <row r="984" spans="1:10" x14ac:dyDescent="0.3">
      <c r="A984" s="1">
        <v>983</v>
      </c>
      <c r="B984" s="1">
        <v>26</v>
      </c>
      <c r="C984" s="1">
        <v>31</v>
      </c>
      <c r="D984" s="19">
        <f>IF('Boletins Nuppa Site'!G984&lt;&gt;0,'Boletins Nuppa Site'!G984,"NULL")</f>
        <v>80</v>
      </c>
      <c r="E984" s="19">
        <f>IF('Boletins Nuppa Site'!H984&lt;&gt;0,'Boletins Nuppa Site'!H984,"NULL")</f>
        <v>70</v>
      </c>
      <c r="F984" s="19">
        <f>IF('Boletins Nuppa Site'!I984&lt;&gt;0,'Boletins Nuppa Site'!I984,"NULL")</f>
        <v>80</v>
      </c>
      <c r="G984" s="19">
        <f>IF('Boletins Nuppa Site'!J984&lt;&gt;0,'Boletins Nuppa Site'!J984,"NULL")</f>
        <v>75</v>
      </c>
      <c r="H984" s="19">
        <f>IF('Boletins Nuppa Site'!K984&lt;&gt;0,'Boletins Nuppa Site'!K984,"NULL")</f>
        <v>75</v>
      </c>
      <c r="J984" s="1" t="str">
        <f t="shared" si="15"/>
        <v>INSERT INTO COTACAO (blt_id, pap_id, cot_prc_comum, cot_prc_min, cot_prc_max, cot_prc_med, cot_prc_mediana) VALUES (26, 31, 80, 70, 80, 75, 75);</v>
      </c>
    </row>
    <row r="985" spans="1:10" x14ac:dyDescent="0.3">
      <c r="A985" s="1">
        <v>984</v>
      </c>
      <c r="B985" s="1">
        <v>26</v>
      </c>
      <c r="C985" s="1">
        <v>32</v>
      </c>
      <c r="D985" s="1" t="str">
        <f>IF('Boletins Nuppa Site'!G985&lt;&gt;0,'Boletins Nuppa Site'!G985,"NULL")</f>
        <v>NULL</v>
      </c>
      <c r="E985" s="19">
        <f>IF('Boletins Nuppa Site'!H985&lt;&gt;0,'Boletins Nuppa Site'!H985,"NULL")</f>
        <v>40</v>
      </c>
      <c r="F985" s="19">
        <f>IF('Boletins Nuppa Site'!I985&lt;&gt;0,'Boletins Nuppa Site'!I985,"NULL")</f>
        <v>60</v>
      </c>
      <c r="G985" s="1" t="str">
        <f>IF('Boletins Nuppa Site'!J985&lt;&gt;0,'Boletins Nuppa Site'!J985,"NULL")</f>
        <v>51.25</v>
      </c>
      <c r="H985" s="1" t="str">
        <f>IF('Boletins Nuppa Site'!K985&lt;&gt;0,'Boletins Nuppa Site'!K985,"NULL")</f>
        <v>52.5</v>
      </c>
      <c r="J985" s="1" t="str">
        <f t="shared" si="15"/>
        <v>INSERT INTO COTACAO (blt_id, pap_id, cot_prc_comum, cot_prc_min, cot_prc_max, cot_prc_med, cot_prc_mediana) VALUES (26, 32, NULL, 40, 60, 51.25, 52.5);</v>
      </c>
    </row>
    <row r="986" spans="1:10" x14ac:dyDescent="0.3">
      <c r="A986" s="1">
        <v>985</v>
      </c>
      <c r="B986" s="1">
        <v>26</v>
      </c>
      <c r="C986" s="1">
        <v>33</v>
      </c>
      <c r="D986" s="1" t="str">
        <f>IF('Boletins Nuppa Site'!G986&lt;&gt;0,'Boletins Nuppa Site'!G986,"NULL")</f>
        <v>NULL</v>
      </c>
      <c r="E986" s="19">
        <f>IF('Boletins Nuppa Site'!H986&lt;&gt;0,'Boletins Nuppa Site'!H986,"NULL")</f>
        <v>130</v>
      </c>
      <c r="F986" s="19">
        <f>IF('Boletins Nuppa Site'!I986&lt;&gt;0,'Boletins Nuppa Site'!I986,"NULL")</f>
        <v>150</v>
      </c>
      <c r="G986" s="19">
        <f>IF('Boletins Nuppa Site'!J986&lt;&gt;0,'Boletins Nuppa Site'!J986,"NULL")</f>
        <v>140</v>
      </c>
      <c r="H986" s="19">
        <f>IF('Boletins Nuppa Site'!K986&lt;&gt;0,'Boletins Nuppa Site'!K986,"NULL")</f>
        <v>140</v>
      </c>
      <c r="J986" s="1" t="str">
        <f t="shared" si="15"/>
        <v>INSERT INTO COTACAO (blt_id, pap_id, cot_prc_comum, cot_prc_min, cot_prc_max, cot_prc_med, cot_prc_mediana) VALUES (26, 33, NULL, 130, 150, 140, 140);</v>
      </c>
    </row>
    <row r="987" spans="1:10" x14ac:dyDescent="0.3">
      <c r="A987" s="1">
        <v>986</v>
      </c>
      <c r="B987" s="1">
        <v>26</v>
      </c>
      <c r="C987" s="1">
        <v>34</v>
      </c>
      <c r="D987" s="19">
        <f>IF('Boletins Nuppa Site'!G987&lt;&gt;0,'Boletins Nuppa Site'!G987,"NULL")</f>
        <v>70</v>
      </c>
      <c r="E987" s="19">
        <f>IF('Boletins Nuppa Site'!H987&lt;&gt;0,'Boletins Nuppa Site'!H987,"NULL")</f>
        <v>70</v>
      </c>
      <c r="F987" s="19">
        <f>IF('Boletins Nuppa Site'!I987&lt;&gt;0,'Boletins Nuppa Site'!I987,"NULL")</f>
        <v>100</v>
      </c>
      <c r="G987" s="19">
        <f>IF('Boletins Nuppa Site'!J987&lt;&gt;0,'Boletins Nuppa Site'!J987,"NULL")</f>
        <v>84</v>
      </c>
      <c r="H987" s="19">
        <f>IF('Boletins Nuppa Site'!K987&lt;&gt;0,'Boletins Nuppa Site'!K987,"NULL")</f>
        <v>90</v>
      </c>
      <c r="J987" s="1" t="str">
        <f t="shared" si="15"/>
        <v>INSERT INTO COTACAO (blt_id, pap_id, cot_prc_comum, cot_prc_min, cot_prc_max, cot_prc_med, cot_prc_mediana) VALUES (26, 34, 70, 70, 100, 84, 90);</v>
      </c>
    </row>
    <row r="988" spans="1:10" x14ac:dyDescent="0.3">
      <c r="A988" s="1">
        <v>987</v>
      </c>
      <c r="B988" s="1">
        <v>26</v>
      </c>
      <c r="C988" s="1">
        <v>35</v>
      </c>
      <c r="D988" s="19">
        <f>IF('Boletins Nuppa Site'!G988&lt;&gt;0,'Boletins Nuppa Site'!G988,"NULL")</f>
        <v>140</v>
      </c>
      <c r="E988" s="19">
        <f>IF('Boletins Nuppa Site'!H988&lt;&gt;0,'Boletins Nuppa Site'!H988,"NULL")</f>
        <v>120</v>
      </c>
      <c r="F988" s="19">
        <f>IF('Boletins Nuppa Site'!I988&lt;&gt;0,'Boletins Nuppa Site'!I988,"NULL")</f>
        <v>140</v>
      </c>
      <c r="G988" s="1" t="str">
        <f>IF('Boletins Nuppa Site'!J988&lt;&gt;0,'Boletins Nuppa Site'!J988,"NULL")</f>
        <v>133.33</v>
      </c>
      <c r="H988" s="19">
        <f>IF('Boletins Nuppa Site'!K988&lt;&gt;0,'Boletins Nuppa Site'!K988,"NULL")</f>
        <v>140</v>
      </c>
      <c r="J988" s="1" t="str">
        <f t="shared" si="15"/>
        <v>INSERT INTO COTACAO (blt_id, pap_id, cot_prc_comum, cot_prc_min, cot_prc_max, cot_prc_med, cot_prc_mediana) VALUES (26, 35, 140, 120, 140, 133.33, 140);</v>
      </c>
    </row>
    <row r="989" spans="1:10" x14ac:dyDescent="0.3">
      <c r="A989" s="1">
        <v>988</v>
      </c>
      <c r="B989" s="1">
        <v>26</v>
      </c>
      <c r="C989" s="1">
        <v>36</v>
      </c>
      <c r="D989" s="1" t="str">
        <f>IF('Boletins Nuppa Site'!G989&lt;&gt;0,'Boletins Nuppa Site'!G989,"NULL")</f>
        <v>NULL</v>
      </c>
      <c r="E989" s="1" t="str">
        <f>IF('Boletins Nuppa Site'!H989&lt;&gt;0,'Boletins Nuppa Site'!H989,"NULL")</f>
        <v>NULL</v>
      </c>
      <c r="F989" s="1" t="str">
        <f>IF('Boletins Nuppa Site'!I989&lt;&gt;0,'Boletins Nuppa Site'!I989,"NULL")</f>
        <v>NULL</v>
      </c>
      <c r="G989" s="1" t="str">
        <f>IF('Boletins Nuppa Site'!J989&lt;&gt;0,'Boletins Nuppa Site'!J989,"NULL")</f>
        <v>NULL</v>
      </c>
      <c r="H989" s="1" t="str">
        <f>IF('Boletins Nuppa Site'!K989&lt;&gt;0,'Boletins Nuppa Site'!K989,"NULL")</f>
        <v>NULL</v>
      </c>
      <c r="J989" s="1" t="str">
        <f t="shared" si="15"/>
        <v>INSERT INTO COTACAO (blt_id, pap_id, cot_prc_comum, cot_prc_min, cot_prc_max, cot_prc_med, cot_prc_mediana) VALUES (26, 36, NULL, NULL, NULL, NULL, NULL);</v>
      </c>
    </row>
    <row r="990" spans="1:10" x14ac:dyDescent="0.3">
      <c r="A990" s="1">
        <v>989</v>
      </c>
      <c r="B990" s="1">
        <v>26</v>
      </c>
      <c r="C990" s="1">
        <v>37</v>
      </c>
      <c r="D990" s="1" t="str">
        <f>IF('Boletins Nuppa Site'!G990&lt;&gt;0,'Boletins Nuppa Site'!G990,"NULL")</f>
        <v>NULL</v>
      </c>
      <c r="E990" s="1" t="str">
        <f>IF('Boletins Nuppa Site'!H990&lt;&gt;0,'Boletins Nuppa Site'!H990,"NULL")</f>
        <v>NULL</v>
      </c>
      <c r="F990" s="1" t="str">
        <f>IF('Boletins Nuppa Site'!I990&lt;&gt;0,'Boletins Nuppa Site'!I990,"NULL")</f>
        <v>NULL</v>
      </c>
      <c r="G990" s="1" t="str">
        <f>IF('Boletins Nuppa Site'!J990&lt;&gt;0,'Boletins Nuppa Site'!J990,"NULL")</f>
        <v>NULL</v>
      </c>
      <c r="H990" s="1" t="str">
        <f>IF('Boletins Nuppa Site'!K990&lt;&gt;0,'Boletins Nuppa Site'!K990,"NULL")</f>
        <v>NULL</v>
      </c>
      <c r="J990" s="1" t="str">
        <f t="shared" si="15"/>
        <v>INSERT INTO COTACAO (blt_id, pap_id, cot_prc_comum, cot_prc_min, cot_prc_max, cot_prc_med, cot_prc_mediana) VALUES (26, 37, NULL, NULL, NULL, NULL, NULL);</v>
      </c>
    </row>
    <row r="991" spans="1:10" x14ac:dyDescent="0.3">
      <c r="A991" s="1">
        <v>990</v>
      </c>
      <c r="B991" s="1">
        <v>26</v>
      </c>
      <c r="C991" s="1">
        <v>38</v>
      </c>
      <c r="D991" s="1" t="str">
        <f>IF('Boletins Nuppa Site'!G991&lt;&gt;0,'Boletins Nuppa Site'!G991,"NULL")</f>
        <v>NULL</v>
      </c>
      <c r="E991" s="1" t="str">
        <f>IF('Boletins Nuppa Site'!H991&lt;&gt;0,'Boletins Nuppa Site'!H991,"NULL")</f>
        <v>NULL</v>
      </c>
      <c r="F991" s="1" t="str">
        <f>IF('Boletins Nuppa Site'!I991&lt;&gt;0,'Boletins Nuppa Site'!I991,"NULL")</f>
        <v>NULL</v>
      </c>
      <c r="G991" s="1" t="str">
        <f>IF('Boletins Nuppa Site'!J991&lt;&gt;0,'Boletins Nuppa Site'!J991,"NULL")</f>
        <v>NULL</v>
      </c>
      <c r="H991" s="1" t="str">
        <f>IF('Boletins Nuppa Site'!K991&lt;&gt;0,'Boletins Nuppa Site'!K991,"NULL")</f>
        <v>NULL</v>
      </c>
      <c r="J991" s="1" t="str">
        <f t="shared" si="15"/>
        <v>INSERT INTO COTACAO (blt_id, pap_id, cot_prc_comum, cot_prc_min, cot_prc_max, cot_prc_med, cot_prc_mediana) VALUES (26, 38, NULL, NULL, NULL, NULL, NULL);</v>
      </c>
    </row>
    <row r="992" spans="1:10" x14ac:dyDescent="0.3">
      <c r="A992" s="1">
        <v>991</v>
      </c>
      <c r="B992" s="1">
        <v>26</v>
      </c>
      <c r="C992" s="1">
        <v>39</v>
      </c>
      <c r="D992" s="1" t="str">
        <f>IF('Boletins Nuppa Site'!G992&lt;&gt;0,'Boletins Nuppa Site'!G992,"NULL")</f>
        <v>NULL</v>
      </c>
      <c r="E992" s="19">
        <f>IF('Boletins Nuppa Site'!H992&lt;&gt;0,'Boletins Nuppa Site'!H992,"NULL")</f>
        <v>60</v>
      </c>
      <c r="F992" s="19">
        <f>IF('Boletins Nuppa Site'!I992&lt;&gt;0,'Boletins Nuppa Site'!I992,"NULL")</f>
        <v>60</v>
      </c>
      <c r="G992" s="19">
        <f>IF('Boletins Nuppa Site'!J992&lt;&gt;0,'Boletins Nuppa Site'!J992,"NULL")</f>
        <v>60</v>
      </c>
      <c r="H992" s="19">
        <f>IF('Boletins Nuppa Site'!K992&lt;&gt;0,'Boletins Nuppa Site'!K992,"NULL")</f>
        <v>60</v>
      </c>
      <c r="J992" s="1" t="str">
        <f t="shared" si="15"/>
        <v>INSERT INTO COTACAO (blt_id, pap_id, cot_prc_comum, cot_prc_min, cot_prc_max, cot_prc_med, cot_prc_mediana) VALUES (26, 39, NULL, 60, 60, 60, 60);</v>
      </c>
    </row>
    <row r="993" spans="1:10" x14ac:dyDescent="0.3">
      <c r="A993" s="1">
        <v>992</v>
      </c>
      <c r="B993" s="1">
        <v>26</v>
      </c>
      <c r="C993" s="1">
        <v>40</v>
      </c>
      <c r="D993" s="1" t="str">
        <f>IF('Boletins Nuppa Site'!G993&lt;&gt;0,'Boletins Nuppa Site'!G993,"NULL")</f>
        <v>NULL</v>
      </c>
      <c r="E993" s="19">
        <f>IF('Boletins Nuppa Site'!H993&lt;&gt;0,'Boletins Nuppa Site'!H993,"NULL")</f>
        <v>80</v>
      </c>
      <c r="F993" s="19">
        <f>IF('Boletins Nuppa Site'!I993&lt;&gt;0,'Boletins Nuppa Site'!I993,"NULL")</f>
        <v>80</v>
      </c>
      <c r="G993" s="19">
        <f>IF('Boletins Nuppa Site'!J993&lt;&gt;0,'Boletins Nuppa Site'!J993,"NULL")</f>
        <v>80</v>
      </c>
      <c r="H993" s="19">
        <f>IF('Boletins Nuppa Site'!K993&lt;&gt;0,'Boletins Nuppa Site'!K993,"NULL")</f>
        <v>80</v>
      </c>
      <c r="J993" s="1" t="str">
        <f t="shared" si="15"/>
        <v>INSERT INTO COTACAO (blt_id, pap_id, cot_prc_comum, cot_prc_min, cot_prc_max, cot_prc_med, cot_prc_mediana) VALUES (26, 40, NULL, 80, 80, 80, 80);</v>
      </c>
    </row>
    <row r="994" spans="1:10" x14ac:dyDescent="0.3">
      <c r="A994" s="1">
        <v>993</v>
      </c>
      <c r="B994" s="1">
        <v>27</v>
      </c>
      <c r="C994" s="1">
        <v>1</v>
      </c>
      <c r="D994" s="19">
        <f>IF('Boletins Nuppa Site'!G994&lt;&gt;0,'Boletins Nuppa Site'!G994,"NULL")</f>
        <v>60</v>
      </c>
      <c r="E994" s="19">
        <f>IF('Boletins Nuppa Site'!H994&lt;&gt;0,'Boletins Nuppa Site'!H994,"NULL")</f>
        <v>48</v>
      </c>
      <c r="F994" s="19">
        <f>IF('Boletins Nuppa Site'!I994&lt;&gt;0,'Boletins Nuppa Site'!I994,"NULL")</f>
        <v>48</v>
      </c>
      <c r="G994" s="19">
        <f>IF('Boletins Nuppa Site'!J994&lt;&gt;0,'Boletins Nuppa Site'!J994,"NULL")</f>
        <v>60</v>
      </c>
      <c r="H994" s="1" t="str">
        <f>IF('Boletins Nuppa Site'!K994&lt;&gt;0,'Boletins Nuppa Site'!K994,"NULL")</f>
        <v>52.8</v>
      </c>
      <c r="J994" s="1" t="str">
        <f t="shared" si="15"/>
        <v>INSERT INTO COTACAO (blt_id, pap_id, cot_prc_comum, cot_prc_min, cot_prc_max, cot_prc_med, cot_prc_mediana) VALUES (27, 1, 60, 48, 48, 60, 52.8);</v>
      </c>
    </row>
    <row r="995" spans="1:10" x14ac:dyDescent="0.3">
      <c r="A995" s="1">
        <v>994</v>
      </c>
      <c r="B995" s="1">
        <v>27</v>
      </c>
      <c r="C995" s="1">
        <v>2</v>
      </c>
      <c r="D995" s="19">
        <f>IF('Boletins Nuppa Site'!G995&lt;&gt;0,'Boletins Nuppa Site'!G995,"NULL")</f>
        <v>84</v>
      </c>
      <c r="E995" s="19">
        <f>IF('Boletins Nuppa Site'!H995&lt;&gt;0,'Boletins Nuppa Site'!H995,"NULL")</f>
        <v>72</v>
      </c>
      <c r="F995" s="19">
        <f>IF('Boletins Nuppa Site'!I995&lt;&gt;0,'Boletins Nuppa Site'!I995,"NULL")</f>
        <v>72</v>
      </c>
      <c r="G995" s="19">
        <f>IF('Boletins Nuppa Site'!J995&lt;&gt;0,'Boletins Nuppa Site'!J995,"NULL")</f>
        <v>84</v>
      </c>
      <c r="H995" s="19">
        <f>IF('Boletins Nuppa Site'!K995&lt;&gt;0,'Boletins Nuppa Site'!K995,"NULL")</f>
        <v>78</v>
      </c>
      <c r="J995" s="1" t="str">
        <f t="shared" si="15"/>
        <v>INSERT INTO COTACAO (blt_id, pap_id, cot_prc_comum, cot_prc_min, cot_prc_max, cot_prc_med, cot_prc_mediana) VALUES (27, 2, 84, 72, 72, 84, 78);</v>
      </c>
    </row>
    <row r="996" spans="1:10" x14ac:dyDescent="0.3">
      <c r="A996" s="1">
        <v>995</v>
      </c>
      <c r="B996" s="1">
        <v>27</v>
      </c>
      <c r="C996" s="1">
        <v>3</v>
      </c>
      <c r="D996" s="19">
        <f>IF('Boletins Nuppa Site'!G996&lt;&gt;0,'Boletins Nuppa Site'!G996,"NULL")</f>
        <v>36</v>
      </c>
      <c r="E996" s="19">
        <f>IF('Boletins Nuppa Site'!H996&lt;&gt;0,'Boletins Nuppa Site'!H996,"NULL")</f>
        <v>36</v>
      </c>
      <c r="F996" s="19">
        <f>IF('Boletins Nuppa Site'!I996&lt;&gt;0,'Boletins Nuppa Site'!I996,"NULL")</f>
        <v>30</v>
      </c>
      <c r="G996" s="19">
        <f>IF('Boletins Nuppa Site'!J996&lt;&gt;0,'Boletins Nuppa Site'!J996,"NULL")</f>
        <v>42</v>
      </c>
      <c r="H996" s="1" t="str">
        <f>IF('Boletins Nuppa Site'!K996&lt;&gt;0,'Boletins Nuppa Site'!K996,"NULL")</f>
        <v>35.8</v>
      </c>
      <c r="J996" s="1" t="str">
        <f t="shared" si="15"/>
        <v>INSERT INTO COTACAO (blt_id, pap_id, cot_prc_comum, cot_prc_min, cot_prc_max, cot_prc_med, cot_prc_mediana) VALUES (27, 3, 36, 36, 30, 42, 35.8);</v>
      </c>
    </row>
    <row r="997" spans="1:10" x14ac:dyDescent="0.3">
      <c r="A997" s="1">
        <v>996</v>
      </c>
      <c r="B997" s="1">
        <v>27</v>
      </c>
      <c r="C997" s="1">
        <v>4</v>
      </c>
      <c r="D997" s="19">
        <f>IF('Boletins Nuppa Site'!G997&lt;&gt;0,'Boletins Nuppa Site'!G997,"NULL")</f>
        <v>24</v>
      </c>
      <c r="E997" s="19">
        <f>IF('Boletins Nuppa Site'!H997&lt;&gt;0,'Boletins Nuppa Site'!H997,"NULL")</f>
        <v>18</v>
      </c>
      <c r="F997" s="19">
        <f>IF('Boletins Nuppa Site'!I997&lt;&gt;0,'Boletins Nuppa Site'!I997,"NULL")</f>
        <v>18</v>
      </c>
      <c r="G997" s="19">
        <f>IF('Boletins Nuppa Site'!J997&lt;&gt;0,'Boletins Nuppa Site'!J997,"NULL")</f>
        <v>24</v>
      </c>
      <c r="H997" s="1" t="str">
        <f>IF('Boletins Nuppa Site'!K997&lt;&gt;0,'Boletins Nuppa Site'!K997,"NULL")</f>
        <v>20.8</v>
      </c>
      <c r="J997" s="1" t="str">
        <f t="shared" si="15"/>
        <v>INSERT INTO COTACAO (blt_id, pap_id, cot_prc_comum, cot_prc_min, cot_prc_max, cot_prc_med, cot_prc_mediana) VALUES (27, 4, 24, 18, 18, 24, 20.8);</v>
      </c>
    </row>
    <row r="998" spans="1:10" x14ac:dyDescent="0.3">
      <c r="A998" s="1">
        <v>997</v>
      </c>
      <c r="B998" s="1">
        <v>27</v>
      </c>
      <c r="C998" s="1">
        <v>5</v>
      </c>
      <c r="D998" s="19">
        <f>IF('Boletins Nuppa Site'!G998&lt;&gt;0,'Boletins Nuppa Site'!G998,"NULL")</f>
        <v>30</v>
      </c>
      <c r="E998" s="19">
        <f>IF('Boletins Nuppa Site'!H998&lt;&gt;0,'Boletins Nuppa Site'!H998,"NULL")</f>
        <v>24</v>
      </c>
      <c r="F998" s="19">
        <f>IF('Boletins Nuppa Site'!I998&lt;&gt;0,'Boletins Nuppa Site'!I998,"NULL")</f>
        <v>18</v>
      </c>
      <c r="G998" s="19">
        <f>IF('Boletins Nuppa Site'!J998&lt;&gt;0,'Boletins Nuppa Site'!J998,"NULL")</f>
        <v>24</v>
      </c>
      <c r="H998" s="1" t="str">
        <f>IF('Boletins Nuppa Site'!K998&lt;&gt;0,'Boletins Nuppa Site'!K998,"NULL")</f>
        <v>21.5</v>
      </c>
      <c r="J998" s="1" t="str">
        <f t="shared" si="15"/>
        <v>INSERT INTO COTACAO (blt_id, pap_id, cot_prc_comum, cot_prc_min, cot_prc_max, cot_prc_med, cot_prc_mediana) VALUES (27, 5, 30, 24, 18, 24, 21.5);</v>
      </c>
    </row>
    <row r="999" spans="1:10" x14ac:dyDescent="0.3">
      <c r="A999" s="1">
        <v>998</v>
      </c>
      <c r="B999" s="1">
        <v>27</v>
      </c>
      <c r="C999" s="1">
        <v>6</v>
      </c>
      <c r="D999" s="19">
        <f>IF('Boletins Nuppa Site'!G999&lt;&gt;0,'Boletins Nuppa Site'!G999,"NULL")</f>
        <v>60</v>
      </c>
      <c r="E999" s="19">
        <f>IF('Boletins Nuppa Site'!H999&lt;&gt;0,'Boletins Nuppa Site'!H999,"NULL")</f>
        <v>60</v>
      </c>
      <c r="F999" s="19">
        <f>IF('Boletins Nuppa Site'!I999&lt;&gt;0,'Boletins Nuppa Site'!I999,"NULL")</f>
        <v>60</v>
      </c>
      <c r="G999" s="19">
        <f>IF('Boletins Nuppa Site'!J999&lt;&gt;0,'Boletins Nuppa Site'!J999,"NULL")</f>
        <v>60</v>
      </c>
      <c r="H999" s="19">
        <f>IF('Boletins Nuppa Site'!K999&lt;&gt;0,'Boletins Nuppa Site'!K999,"NULL")</f>
        <v>60</v>
      </c>
      <c r="J999" s="1" t="str">
        <f t="shared" si="15"/>
        <v>INSERT INTO COTACAO (blt_id, pap_id, cot_prc_comum, cot_prc_min, cot_prc_max, cot_prc_med, cot_prc_mediana) VALUES (27, 6, 60, 60, 60, 60, 60);</v>
      </c>
    </row>
    <row r="1000" spans="1:10" x14ac:dyDescent="0.3">
      <c r="A1000" s="1">
        <v>999</v>
      </c>
      <c r="B1000" s="1">
        <v>27</v>
      </c>
      <c r="C1000" s="1">
        <v>7</v>
      </c>
      <c r="D1000" s="19">
        <f>IF('Boletins Nuppa Site'!G1000&lt;&gt;0,'Boletins Nuppa Site'!G1000,"NULL")</f>
        <v>60</v>
      </c>
      <c r="E1000" s="19">
        <f>IF('Boletins Nuppa Site'!H1000&lt;&gt;0,'Boletins Nuppa Site'!H1000,"NULL")</f>
        <v>48</v>
      </c>
      <c r="F1000" s="19">
        <f>IF('Boletins Nuppa Site'!I1000&lt;&gt;0,'Boletins Nuppa Site'!I1000,"NULL")</f>
        <v>48</v>
      </c>
      <c r="G1000" s="19">
        <f>IF('Boletins Nuppa Site'!J1000&lt;&gt;0,'Boletins Nuppa Site'!J1000,"NULL")</f>
        <v>60</v>
      </c>
      <c r="H1000" s="19">
        <f>IF('Boletins Nuppa Site'!K1000&lt;&gt;0,'Boletins Nuppa Site'!K1000,"NULL")</f>
        <v>54</v>
      </c>
      <c r="J1000" s="1" t="str">
        <f t="shared" si="15"/>
        <v>INSERT INTO COTACAO (blt_id, pap_id, cot_prc_comum, cot_prc_min, cot_prc_max, cot_prc_med, cot_prc_mediana) VALUES (27, 7, 60, 48, 48, 60, 54);</v>
      </c>
    </row>
    <row r="1001" spans="1:10" x14ac:dyDescent="0.3">
      <c r="A1001" s="1">
        <v>1000</v>
      </c>
      <c r="B1001" s="1">
        <v>27</v>
      </c>
      <c r="C1001" s="1">
        <v>8</v>
      </c>
      <c r="D1001" s="19">
        <f>IF('Boletins Nuppa Site'!G1001&lt;&gt;0,'Boletins Nuppa Site'!G1001,"NULL")</f>
        <v>84</v>
      </c>
      <c r="E1001" s="19">
        <f>IF('Boletins Nuppa Site'!H1001&lt;&gt;0,'Boletins Nuppa Site'!H1001,"NULL")</f>
        <v>60</v>
      </c>
      <c r="F1001" s="19">
        <f>IF('Boletins Nuppa Site'!I1001&lt;&gt;0,'Boletins Nuppa Site'!I1001,"NULL")</f>
        <v>60</v>
      </c>
      <c r="G1001" s="19">
        <f>IF('Boletins Nuppa Site'!J1001&lt;&gt;0,'Boletins Nuppa Site'!J1001,"NULL")</f>
        <v>84</v>
      </c>
      <c r="H1001" s="19">
        <f>IF('Boletins Nuppa Site'!K1001&lt;&gt;0,'Boletins Nuppa Site'!K1001,"NULL")</f>
        <v>72</v>
      </c>
      <c r="J1001" s="1" t="str">
        <f t="shared" si="15"/>
        <v>INSERT INTO COTACAO (blt_id, pap_id, cot_prc_comum, cot_prc_min, cot_prc_max, cot_prc_med, cot_prc_mediana) VALUES (27, 8, 84, 60, 60, 84, 72);</v>
      </c>
    </row>
    <row r="1002" spans="1:10" x14ac:dyDescent="0.3">
      <c r="A1002" s="1">
        <v>1001</v>
      </c>
      <c r="B1002" s="1">
        <v>27</v>
      </c>
      <c r="C1002" s="1">
        <v>9</v>
      </c>
      <c r="D1002" s="19">
        <f>IF('Boletins Nuppa Site'!G1002&lt;&gt;0,'Boletins Nuppa Site'!G1002,"NULL")</f>
        <v>24</v>
      </c>
      <c r="E1002" s="19">
        <f>IF('Boletins Nuppa Site'!H1002&lt;&gt;0,'Boletins Nuppa Site'!H1002,"NULL")</f>
        <v>18</v>
      </c>
      <c r="F1002" s="19">
        <f>IF('Boletins Nuppa Site'!I1002&lt;&gt;0,'Boletins Nuppa Site'!I1002,"NULL")</f>
        <v>18</v>
      </c>
      <c r="G1002" s="19">
        <f>IF('Boletins Nuppa Site'!J1002&lt;&gt;0,'Boletins Nuppa Site'!J1002,"NULL")</f>
        <v>25</v>
      </c>
      <c r="H1002" s="1" t="str">
        <f>IF('Boletins Nuppa Site'!K1002&lt;&gt;0,'Boletins Nuppa Site'!K1002,"NULL")</f>
        <v>21.8</v>
      </c>
      <c r="J1002" s="1" t="str">
        <f t="shared" si="15"/>
        <v>INSERT INTO COTACAO (blt_id, pap_id, cot_prc_comum, cot_prc_min, cot_prc_max, cot_prc_med, cot_prc_mediana) VALUES (27, 9, 24, 18, 18, 25, 21.8);</v>
      </c>
    </row>
    <row r="1003" spans="1:10" x14ac:dyDescent="0.3">
      <c r="A1003" s="1">
        <v>1002</v>
      </c>
      <c r="B1003" s="1">
        <v>27</v>
      </c>
      <c r="C1003" s="1">
        <v>10</v>
      </c>
      <c r="D1003" s="19">
        <f>IF('Boletins Nuppa Site'!G1003&lt;&gt;0,'Boletins Nuppa Site'!G1003,"NULL")</f>
        <v>72</v>
      </c>
      <c r="E1003" s="19">
        <f>IF('Boletins Nuppa Site'!H1003&lt;&gt;0,'Boletins Nuppa Site'!H1003,"NULL")</f>
        <v>60</v>
      </c>
      <c r="F1003" s="19">
        <f>IF('Boletins Nuppa Site'!I1003&lt;&gt;0,'Boletins Nuppa Site'!I1003,"NULL")</f>
        <v>60</v>
      </c>
      <c r="G1003" s="19">
        <f>IF('Boletins Nuppa Site'!J1003&lt;&gt;0,'Boletins Nuppa Site'!J1003,"NULL")</f>
        <v>84</v>
      </c>
      <c r="H1003" s="19">
        <f>IF('Boletins Nuppa Site'!K1003&lt;&gt;0,'Boletins Nuppa Site'!K1003,"NULL")</f>
        <v>72</v>
      </c>
      <c r="J1003" s="1" t="str">
        <f t="shared" si="15"/>
        <v>INSERT INTO COTACAO (blt_id, pap_id, cot_prc_comum, cot_prc_min, cot_prc_max, cot_prc_med, cot_prc_mediana) VALUES (27, 10, 72, 60, 60, 84, 72);</v>
      </c>
    </row>
    <row r="1004" spans="1:10" x14ac:dyDescent="0.3">
      <c r="A1004" s="1">
        <v>1003</v>
      </c>
      <c r="B1004" s="1">
        <v>27</v>
      </c>
      <c r="C1004" s="1">
        <v>11</v>
      </c>
      <c r="D1004" s="19">
        <f>IF('Boletins Nuppa Site'!G1004&lt;&gt;0,'Boletins Nuppa Site'!G1004,"NULL")</f>
        <v>30</v>
      </c>
      <c r="E1004" s="19">
        <f>IF('Boletins Nuppa Site'!H1004&lt;&gt;0,'Boletins Nuppa Site'!H1004,"NULL")</f>
        <v>24</v>
      </c>
      <c r="F1004" s="19">
        <f>IF('Boletins Nuppa Site'!I1004&lt;&gt;0,'Boletins Nuppa Site'!I1004,"NULL")</f>
        <v>18</v>
      </c>
      <c r="G1004" s="19">
        <f>IF('Boletins Nuppa Site'!J1004&lt;&gt;0,'Boletins Nuppa Site'!J1004,"NULL")</f>
        <v>24</v>
      </c>
      <c r="H1004" s="19">
        <f>IF('Boletins Nuppa Site'!K1004&lt;&gt;0,'Boletins Nuppa Site'!K1004,"NULL")</f>
        <v>22</v>
      </c>
      <c r="J1004" s="1" t="str">
        <f t="shared" si="15"/>
        <v>INSERT INTO COTACAO (blt_id, pap_id, cot_prc_comum, cot_prc_min, cot_prc_max, cot_prc_med, cot_prc_mediana) VALUES (27, 11, 30, 24, 18, 24, 22);</v>
      </c>
    </row>
    <row r="1005" spans="1:10" x14ac:dyDescent="0.3">
      <c r="A1005" s="1">
        <v>1004</v>
      </c>
      <c r="B1005" s="1">
        <v>27</v>
      </c>
      <c r="C1005" s="1">
        <v>12</v>
      </c>
      <c r="D1005" s="19">
        <f>IF('Boletins Nuppa Site'!G1005&lt;&gt;0,'Boletins Nuppa Site'!G1005,"NULL")</f>
        <v>60</v>
      </c>
      <c r="E1005" s="19">
        <f>IF('Boletins Nuppa Site'!H1005&lt;&gt;0,'Boletins Nuppa Site'!H1005,"NULL")</f>
        <v>60</v>
      </c>
      <c r="F1005" s="19">
        <f>IF('Boletins Nuppa Site'!I1005&lt;&gt;0,'Boletins Nuppa Site'!I1005,"NULL")</f>
        <v>60</v>
      </c>
      <c r="G1005" s="19">
        <f>IF('Boletins Nuppa Site'!J1005&lt;&gt;0,'Boletins Nuppa Site'!J1005,"NULL")</f>
        <v>72</v>
      </c>
      <c r="H1005" s="19">
        <f>IF('Boletins Nuppa Site'!K1005&lt;&gt;0,'Boletins Nuppa Site'!K1005,"NULL")</f>
        <v>66</v>
      </c>
      <c r="J1005" s="1" t="str">
        <f t="shared" si="15"/>
        <v>INSERT INTO COTACAO (blt_id, pap_id, cot_prc_comum, cot_prc_min, cot_prc_max, cot_prc_med, cot_prc_mediana) VALUES (27, 12, 60, 60, 60, 72, 66);</v>
      </c>
    </row>
    <row r="1006" spans="1:10" x14ac:dyDescent="0.3">
      <c r="A1006" s="1">
        <v>1005</v>
      </c>
      <c r="B1006" s="1">
        <v>27</v>
      </c>
      <c r="C1006" s="1">
        <v>13</v>
      </c>
      <c r="D1006" s="19">
        <f>IF('Boletins Nuppa Site'!G1006&lt;&gt;0,'Boletins Nuppa Site'!G1006,"NULL")</f>
        <v>60</v>
      </c>
      <c r="E1006" s="19">
        <f>IF('Boletins Nuppa Site'!H1006&lt;&gt;0,'Boletins Nuppa Site'!H1006,"NULL")</f>
        <v>60</v>
      </c>
      <c r="F1006" s="19">
        <f>IF('Boletins Nuppa Site'!I1006&lt;&gt;0,'Boletins Nuppa Site'!I1006,"NULL")</f>
        <v>48</v>
      </c>
      <c r="G1006" s="19">
        <f>IF('Boletins Nuppa Site'!J1006&lt;&gt;0,'Boletins Nuppa Site'!J1006,"NULL")</f>
        <v>60</v>
      </c>
      <c r="H1006" s="1" t="str">
        <f>IF('Boletins Nuppa Site'!K1006&lt;&gt;0,'Boletins Nuppa Site'!K1006,"NULL")</f>
        <v>55.2</v>
      </c>
      <c r="J1006" s="1" t="str">
        <f t="shared" si="15"/>
        <v>INSERT INTO COTACAO (blt_id, pap_id, cot_prc_comum, cot_prc_min, cot_prc_max, cot_prc_med, cot_prc_mediana) VALUES (27, 13, 60, 60, 48, 60, 55.2);</v>
      </c>
    </row>
    <row r="1007" spans="1:10" x14ac:dyDescent="0.3">
      <c r="A1007" s="1">
        <v>1006</v>
      </c>
      <c r="B1007" s="1">
        <v>27</v>
      </c>
      <c r="C1007" s="1">
        <v>14</v>
      </c>
      <c r="D1007" s="19">
        <f>IF('Boletins Nuppa Site'!G1007&lt;&gt;0,'Boletins Nuppa Site'!G1007,"NULL")</f>
        <v>60</v>
      </c>
      <c r="E1007" s="1" t="str">
        <f>IF('Boletins Nuppa Site'!H1007&lt;&gt;0,'Boletins Nuppa Site'!H1007,"NULL")</f>
        <v>NULL</v>
      </c>
      <c r="F1007" s="19">
        <f>IF('Boletins Nuppa Site'!I1007&lt;&gt;0,'Boletins Nuppa Site'!I1007,"NULL")</f>
        <v>48</v>
      </c>
      <c r="G1007" s="19">
        <f>IF('Boletins Nuppa Site'!J1007&lt;&gt;0,'Boletins Nuppa Site'!J1007,"NULL")</f>
        <v>78</v>
      </c>
      <c r="H1007" s="19">
        <f>IF('Boletins Nuppa Site'!K1007&lt;&gt;0,'Boletins Nuppa Site'!K1007,"NULL")</f>
        <v>59</v>
      </c>
      <c r="J1007" s="1" t="str">
        <f t="shared" si="15"/>
        <v>INSERT INTO COTACAO (blt_id, pap_id, cot_prc_comum, cot_prc_min, cot_prc_max, cot_prc_med, cot_prc_mediana) VALUES (27, 14, 60, NULL, 48, 78, 59);</v>
      </c>
    </row>
    <row r="1008" spans="1:10" x14ac:dyDescent="0.3">
      <c r="A1008" s="1">
        <v>1007</v>
      </c>
      <c r="B1008" s="1">
        <v>27</v>
      </c>
      <c r="C1008" s="1">
        <v>15</v>
      </c>
      <c r="D1008" s="19">
        <f>IF('Boletins Nuppa Site'!G1008&lt;&gt;0,'Boletins Nuppa Site'!G1008,"NULL")</f>
        <v>48</v>
      </c>
      <c r="E1008" s="19">
        <f>IF('Boletins Nuppa Site'!H1008&lt;&gt;0,'Boletins Nuppa Site'!H1008,"NULL")</f>
        <v>48</v>
      </c>
      <c r="F1008" s="19">
        <f>IF('Boletins Nuppa Site'!I1008&lt;&gt;0,'Boletins Nuppa Site'!I1008,"NULL")</f>
        <v>36</v>
      </c>
      <c r="G1008" s="19">
        <f>IF('Boletins Nuppa Site'!J1008&lt;&gt;0,'Boletins Nuppa Site'!J1008,"NULL")</f>
        <v>48</v>
      </c>
      <c r="H1008" s="1" t="str">
        <f>IF('Boletins Nuppa Site'!K1008&lt;&gt;0,'Boletins Nuppa Site'!K1008,"NULL")</f>
        <v>41.6</v>
      </c>
      <c r="J1008" s="1" t="str">
        <f t="shared" si="15"/>
        <v>INSERT INTO COTACAO (blt_id, pap_id, cot_prc_comum, cot_prc_min, cot_prc_max, cot_prc_med, cot_prc_mediana) VALUES (27, 15, 48, 48, 36, 48, 41.6);</v>
      </c>
    </row>
    <row r="1009" spans="1:10" x14ac:dyDescent="0.3">
      <c r="A1009" s="1">
        <v>1008</v>
      </c>
      <c r="B1009" s="1">
        <v>27</v>
      </c>
      <c r="C1009" s="1">
        <v>16</v>
      </c>
      <c r="D1009" s="19">
        <f>IF('Boletins Nuppa Site'!G1009&lt;&gt;0,'Boletins Nuppa Site'!G1009,"NULL")</f>
        <v>54</v>
      </c>
      <c r="E1009" s="19">
        <f>IF('Boletins Nuppa Site'!H1009&lt;&gt;0,'Boletins Nuppa Site'!H1009,"NULL")</f>
        <v>48</v>
      </c>
      <c r="F1009" s="19">
        <f>IF('Boletins Nuppa Site'!I1009&lt;&gt;0,'Boletins Nuppa Site'!I1009,"NULL")</f>
        <v>48</v>
      </c>
      <c r="G1009" s="19">
        <f>IF('Boletins Nuppa Site'!J1009&lt;&gt;0,'Boletins Nuppa Site'!J1009,"NULL")</f>
        <v>54</v>
      </c>
      <c r="H1009" s="1" t="str">
        <f>IF('Boletins Nuppa Site'!K1009&lt;&gt;0,'Boletins Nuppa Site'!K1009,"NULL")</f>
        <v>50.4</v>
      </c>
      <c r="J1009" s="1" t="str">
        <f t="shared" si="15"/>
        <v>INSERT INTO COTACAO (blt_id, pap_id, cot_prc_comum, cot_prc_min, cot_prc_max, cot_prc_med, cot_prc_mediana) VALUES (27, 16, 54, 48, 48, 54, 50.4);</v>
      </c>
    </row>
    <row r="1010" spans="1:10" x14ac:dyDescent="0.3">
      <c r="A1010" s="1">
        <v>1009</v>
      </c>
      <c r="B1010" s="1">
        <v>27</v>
      </c>
      <c r="C1010" s="1">
        <v>17</v>
      </c>
      <c r="D1010" s="19">
        <f>IF('Boletins Nuppa Site'!G1010&lt;&gt;0,'Boletins Nuppa Site'!G1010,"NULL")</f>
        <v>5</v>
      </c>
      <c r="E1010" s="19">
        <f>IF('Boletins Nuppa Site'!H1010&lt;&gt;0,'Boletins Nuppa Site'!H1010,"NULL")</f>
        <v>4</v>
      </c>
      <c r="F1010" s="19">
        <f>IF('Boletins Nuppa Site'!I1010&lt;&gt;0,'Boletins Nuppa Site'!I1010,"NULL")</f>
        <v>5</v>
      </c>
      <c r="G1010" s="1" t="str">
        <f>IF('Boletins Nuppa Site'!J1010&lt;&gt;0,'Boletins Nuppa Site'!J1010,"NULL")</f>
        <v>4.8</v>
      </c>
      <c r="H1010" s="19">
        <f>IF('Boletins Nuppa Site'!K1010&lt;&gt;0,'Boletins Nuppa Site'!K1010,"NULL")</f>
        <v>5</v>
      </c>
      <c r="J1010" s="1" t="str">
        <f t="shared" si="15"/>
        <v>INSERT INTO COTACAO (blt_id, pap_id, cot_prc_comum, cot_prc_min, cot_prc_max, cot_prc_med, cot_prc_mediana) VALUES (27, 17, 5, 4, 5, 4.8, 5);</v>
      </c>
    </row>
    <row r="1011" spans="1:10" x14ac:dyDescent="0.3">
      <c r="A1011" s="1">
        <v>1010</v>
      </c>
      <c r="B1011" s="1">
        <v>27</v>
      </c>
      <c r="C1011" s="1">
        <v>18</v>
      </c>
      <c r="D1011" s="19">
        <f>IF('Boletins Nuppa Site'!G1011&lt;&gt;0,'Boletins Nuppa Site'!G1011,"NULL")</f>
        <v>12</v>
      </c>
      <c r="E1011" s="19">
        <f>IF('Boletins Nuppa Site'!H1011&lt;&gt;0,'Boletins Nuppa Site'!H1011,"NULL")</f>
        <v>10</v>
      </c>
      <c r="F1011" s="19">
        <f>IF('Boletins Nuppa Site'!I1011&lt;&gt;0,'Boletins Nuppa Site'!I1011,"NULL")</f>
        <v>12</v>
      </c>
      <c r="G1011" s="1" t="str">
        <f>IF('Boletins Nuppa Site'!J1011&lt;&gt;0,'Boletins Nuppa Site'!J1011,"NULL")</f>
        <v>11.2</v>
      </c>
      <c r="H1011" s="19">
        <f>IF('Boletins Nuppa Site'!K1011&lt;&gt;0,'Boletins Nuppa Site'!K1011,"NULL")</f>
        <v>12</v>
      </c>
      <c r="J1011" s="1" t="str">
        <f t="shared" si="15"/>
        <v>INSERT INTO COTACAO (blt_id, pap_id, cot_prc_comum, cot_prc_min, cot_prc_max, cot_prc_med, cot_prc_mediana) VALUES (27, 18, 12, 10, 12, 11.2, 12);</v>
      </c>
    </row>
    <row r="1012" spans="1:10" x14ac:dyDescent="0.3">
      <c r="A1012" s="1">
        <v>1011</v>
      </c>
      <c r="B1012" s="1">
        <v>27</v>
      </c>
      <c r="C1012" s="1">
        <v>19</v>
      </c>
      <c r="D1012" s="19">
        <f>IF('Boletins Nuppa Site'!G1012&lt;&gt;0,'Boletins Nuppa Site'!G1012,"NULL")</f>
        <v>20</v>
      </c>
      <c r="E1012" s="19">
        <f>IF('Boletins Nuppa Site'!H1012&lt;&gt;0,'Boletins Nuppa Site'!H1012,"NULL")</f>
        <v>20</v>
      </c>
      <c r="F1012" s="19">
        <f>IF('Boletins Nuppa Site'!I1012&lt;&gt;0,'Boletins Nuppa Site'!I1012,"NULL")</f>
        <v>30</v>
      </c>
      <c r="G1012" s="19">
        <f>IF('Boletins Nuppa Site'!J1012&lt;&gt;0,'Boletins Nuppa Site'!J1012,"NULL")</f>
        <v>24</v>
      </c>
      <c r="H1012" s="19">
        <f>IF('Boletins Nuppa Site'!K1012&lt;&gt;0,'Boletins Nuppa Site'!K1012,"NULL")</f>
        <v>20</v>
      </c>
      <c r="J1012" s="1" t="str">
        <f t="shared" si="15"/>
        <v>INSERT INTO COTACAO (blt_id, pap_id, cot_prc_comum, cot_prc_min, cot_prc_max, cot_prc_med, cot_prc_mediana) VALUES (27, 19, 20, 20, 30, 24, 20);</v>
      </c>
    </row>
    <row r="1013" spans="1:10" x14ac:dyDescent="0.3">
      <c r="A1013" s="1">
        <v>1012</v>
      </c>
      <c r="B1013" s="1">
        <v>27</v>
      </c>
      <c r="C1013" s="1">
        <v>20</v>
      </c>
      <c r="D1013" s="1" t="str">
        <f>IF('Boletins Nuppa Site'!G1013&lt;&gt;0,'Boletins Nuppa Site'!G1013,"NULL")</f>
        <v>NULL</v>
      </c>
      <c r="E1013" s="19">
        <f>IF('Boletins Nuppa Site'!H1013&lt;&gt;0,'Boletins Nuppa Site'!H1013,"NULL")</f>
        <v>80</v>
      </c>
      <c r="F1013" s="19">
        <f>IF('Boletins Nuppa Site'!I1013&lt;&gt;0,'Boletins Nuppa Site'!I1013,"NULL")</f>
        <v>80</v>
      </c>
      <c r="G1013" s="19">
        <f>IF('Boletins Nuppa Site'!J1013&lt;&gt;0,'Boletins Nuppa Site'!J1013,"NULL")</f>
        <v>80</v>
      </c>
      <c r="H1013" s="19">
        <f>IF('Boletins Nuppa Site'!K1013&lt;&gt;0,'Boletins Nuppa Site'!K1013,"NULL")</f>
        <v>80</v>
      </c>
      <c r="J1013" s="1" t="str">
        <f t="shared" si="15"/>
        <v>INSERT INTO COTACAO (blt_id, pap_id, cot_prc_comum, cot_prc_min, cot_prc_max, cot_prc_med, cot_prc_mediana) VALUES (27, 20, NULL, 80, 80, 80, 80);</v>
      </c>
    </row>
    <row r="1014" spans="1:10" x14ac:dyDescent="0.3">
      <c r="A1014" s="1">
        <v>1013</v>
      </c>
      <c r="B1014" s="1">
        <v>27</v>
      </c>
      <c r="C1014" s="1">
        <v>21</v>
      </c>
      <c r="D1014" s="19">
        <f>IF('Boletins Nuppa Site'!G1014&lt;&gt;0,'Boletins Nuppa Site'!G1014,"NULL")</f>
        <v>60</v>
      </c>
      <c r="E1014" s="19">
        <f>IF('Boletins Nuppa Site'!H1014&lt;&gt;0,'Boletins Nuppa Site'!H1014,"NULL")</f>
        <v>40</v>
      </c>
      <c r="F1014" s="19">
        <f>IF('Boletins Nuppa Site'!I1014&lt;&gt;0,'Boletins Nuppa Site'!I1014,"NULL")</f>
        <v>75</v>
      </c>
      <c r="G1014" s="1" t="str">
        <f>IF('Boletins Nuppa Site'!J1014&lt;&gt;0,'Boletins Nuppa Site'!J1014,"NULL")</f>
        <v>58.33</v>
      </c>
      <c r="H1014" s="19">
        <f>IF('Boletins Nuppa Site'!K1014&lt;&gt;0,'Boletins Nuppa Site'!K1014,"NULL")</f>
        <v>60</v>
      </c>
      <c r="J1014" s="1" t="str">
        <f t="shared" si="15"/>
        <v>INSERT INTO COTACAO (blt_id, pap_id, cot_prc_comum, cot_prc_min, cot_prc_max, cot_prc_med, cot_prc_mediana) VALUES (27, 21, 60, 40, 75, 58.33, 60);</v>
      </c>
    </row>
    <row r="1015" spans="1:10" x14ac:dyDescent="0.3">
      <c r="A1015" s="1">
        <v>1014</v>
      </c>
      <c r="B1015" s="1">
        <v>27</v>
      </c>
      <c r="C1015" s="1">
        <v>22</v>
      </c>
      <c r="D1015" s="19">
        <f>IF('Boletins Nuppa Site'!G1015&lt;&gt;0,'Boletins Nuppa Site'!G1015,"NULL")</f>
        <v>70</v>
      </c>
      <c r="E1015" s="19">
        <f>IF('Boletins Nuppa Site'!H1015&lt;&gt;0,'Boletins Nuppa Site'!H1015,"NULL")</f>
        <v>45</v>
      </c>
      <c r="F1015" s="19">
        <f>IF('Boletins Nuppa Site'!I1015&lt;&gt;0,'Boletins Nuppa Site'!I1015,"NULL")</f>
        <v>75</v>
      </c>
      <c r="G1015" s="1" t="str">
        <f>IF('Boletins Nuppa Site'!J1015&lt;&gt;0,'Boletins Nuppa Site'!J1015,"NULL")</f>
        <v>61.67</v>
      </c>
      <c r="H1015" s="19">
        <f>IF('Boletins Nuppa Site'!K1015&lt;&gt;0,'Boletins Nuppa Site'!K1015,"NULL")</f>
        <v>65</v>
      </c>
      <c r="J1015" s="1" t="str">
        <f t="shared" si="15"/>
        <v>INSERT INTO COTACAO (blt_id, pap_id, cot_prc_comum, cot_prc_min, cot_prc_max, cot_prc_med, cot_prc_mediana) VALUES (27, 22, 70, 45, 75, 61.67, 65);</v>
      </c>
    </row>
    <row r="1016" spans="1:10" x14ac:dyDescent="0.3">
      <c r="A1016" s="1">
        <v>1015</v>
      </c>
      <c r="B1016" s="1">
        <v>27</v>
      </c>
      <c r="C1016" s="1">
        <v>23</v>
      </c>
      <c r="D1016" s="19">
        <f>IF('Boletins Nuppa Site'!G1016&lt;&gt;0,'Boletins Nuppa Site'!G1016,"NULL")</f>
        <v>40</v>
      </c>
      <c r="E1016" s="19">
        <f>IF('Boletins Nuppa Site'!H1016&lt;&gt;0,'Boletins Nuppa Site'!H1016,"NULL")</f>
        <v>40</v>
      </c>
      <c r="F1016" s="19">
        <f>IF('Boletins Nuppa Site'!I1016&lt;&gt;0,'Boletins Nuppa Site'!I1016,"NULL")</f>
        <v>50</v>
      </c>
      <c r="G1016" s="1" t="str">
        <f>IF('Boletins Nuppa Site'!J1016&lt;&gt;0,'Boletins Nuppa Site'!J1016,"NULL")</f>
        <v>43.75</v>
      </c>
      <c r="H1016" s="1" t="str">
        <f>IF('Boletins Nuppa Site'!K1016&lt;&gt;0,'Boletins Nuppa Site'!K1016,"NULL")</f>
        <v>42.5</v>
      </c>
      <c r="J1016" s="1" t="str">
        <f t="shared" si="15"/>
        <v>INSERT INTO COTACAO (blt_id, pap_id, cot_prc_comum, cot_prc_min, cot_prc_max, cot_prc_med, cot_prc_mediana) VALUES (27, 23, 40, 40, 50, 43.75, 42.5);</v>
      </c>
    </row>
    <row r="1017" spans="1:10" x14ac:dyDescent="0.3">
      <c r="A1017" s="1">
        <v>1016</v>
      </c>
      <c r="B1017" s="1">
        <v>27</v>
      </c>
      <c r="C1017" s="1">
        <v>24</v>
      </c>
      <c r="D1017" s="1" t="str">
        <f>IF('Boletins Nuppa Site'!G1017&lt;&gt;0,'Boletins Nuppa Site'!G1017,"NULL")</f>
        <v>NULL</v>
      </c>
      <c r="E1017" s="19">
        <f>IF('Boletins Nuppa Site'!H1017&lt;&gt;0,'Boletins Nuppa Site'!H1017,"NULL")</f>
        <v>90</v>
      </c>
      <c r="F1017" s="19">
        <f>IF('Boletins Nuppa Site'!I1017&lt;&gt;0,'Boletins Nuppa Site'!I1017,"NULL")</f>
        <v>105</v>
      </c>
      <c r="G1017" s="1" t="str">
        <f>IF('Boletins Nuppa Site'!J1017&lt;&gt;0,'Boletins Nuppa Site'!J1017,"NULL")</f>
        <v>97.5</v>
      </c>
      <c r="H1017" s="1" t="str">
        <f>IF('Boletins Nuppa Site'!K1017&lt;&gt;0,'Boletins Nuppa Site'!K1017,"NULL")</f>
        <v>97.5</v>
      </c>
      <c r="J1017" s="1" t="str">
        <f t="shared" si="15"/>
        <v>INSERT INTO COTACAO (blt_id, pap_id, cot_prc_comum, cot_prc_min, cot_prc_max, cot_prc_med, cot_prc_mediana) VALUES (27, 24, NULL, 90, 105, 97.5, 97.5);</v>
      </c>
    </row>
    <row r="1018" spans="1:10" x14ac:dyDescent="0.3">
      <c r="A1018" s="1">
        <v>1017</v>
      </c>
      <c r="B1018" s="1">
        <v>27</v>
      </c>
      <c r="C1018" s="1">
        <v>25</v>
      </c>
      <c r="D1018" s="19">
        <f>IF('Boletins Nuppa Site'!G1018&lt;&gt;0,'Boletins Nuppa Site'!G1018,"NULL")</f>
        <v>55</v>
      </c>
      <c r="E1018" s="19">
        <f>IF('Boletins Nuppa Site'!H1018&lt;&gt;0,'Boletins Nuppa Site'!H1018,"NULL")</f>
        <v>55</v>
      </c>
      <c r="F1018" s="19">
        <f>IF('Boletins Nuppa Site'!I1018&lt;&gt;0,'Boletins Nuppa Site'!I1018,"NULL")</f>
        <v>60</v>
      </c>
      <c r="G1018" s="1" t="str">
        <f>IF('Boletins Nuppa Site'!J1018&lt;&gt;0,'Boletins Nuppa Site'!J1018,"NULL")</f>
        <v>56.67</v>
      </c>
      <c r="H1018" s="19">
        <f>IF('Boletins Nuppa Site'!K1018&lt;&gt;0,'Boletins Nuppa Site'!K1018,"NULL")</f>
        <v>55</v>
      </c>
      <c r="J1018" s="1" t="str">
        <f t="shared" si="15"/>
        <v>INSERT INTO COTACAO (blt_id, pap_id, cot_prc_comum, cot_prc_min, cot_prc_max, cot_prc_med, cot_prc_mediana) VALUES (27, 25, 55, 55, 60, 56.67, 55);</v>
      </c>
    </row>
    <row r="1019" spans="1:10" x14ac:dyDescent="0.3">
      <c r="A1019" s="1">
        <v>1018</v>
      </c>
      <c r="B1019" s="1">
        <v>27</v>
      </c>
      <c r="C1019" s="1">
        <v>26</v>
      </c>
      <c r="D1019" s="19">
        <f>IF('Boletins Nuppa Site'!G1019&lt;&gt;0,'Boletins Nuppa Site'!G1019,"NULL")</f>
        <v>60</v>
      </c>
      <c r="E1019" s="19">
        <f>IF('Boletins Nuppa Site'!H1019&lt;&gt;0,'Boletins Nuppa Site'!H1019,"NULL")</f>
        <v>45</v>
      </c>
      <c r="F1019" s="19">
        <f>IF('Boletins Nuppa Site'!I1019&lt;&gt;0,'Boletins Nuppa Site'!I1019,"NULL")</f>
        <v>60</v>
      </c>
      <c r="G1019" s="1" t="str">
        <f>IF('Boletins Nuppa Site'!J1019&lt;&gt;0,'Boletins Nuppa Site'!J1019,"NULL")</f>
        <v>53.33</v>
      </c>
      <c r="H1019" s="19">
        <f>IF('Boletins Nuppa Site'!K1019&lt;&gt;0,'Boletins Nuppa Site'!K1019,"NULL")</f>
        <v>55</v>
      </c>
      <c r="J1019" s="1" t="str">
        <f t="shared" si="15"/>
        <v>INSERT INTO COTACAO (blt_id, pap_id, cot_prc_comum, cot_prc_min, cot_prc_max, cot_prc_med, cot_prc_mediana) VALUES (27, 26, 60, 45, 60, 53.33, 55);</v>
      </c>
    </row>
    <row r="1020" spans="1:10" x14ac:dyDescent="0.3">
      <c r="A1020" s="1">
        <v>1019</v>
      </c>
      <c r="B1020" s="1">
        <v>27</v>
      </c>
      <c r="C1020" s="1">
        <v>27</v>
      </c>
      <c r="D1020" s="19">
        <f>IF('Boletins Nuppa Site'!G1020&lt;&gt;0,'Boletins Nuppa Site'!G1020,"NULL")</f>
        <v>60</v>
      </c>
      <c r="E1020" s="19">
        <f>IF('Boletins Nuppa Site'!H1020&lt;&gt;0,'Boletins Nuppa Site'!H1020,"NULL")</f>
        <v>45</v>
      </c>
      <c r="F1020" s="19">
        <f>IF('Boletins Nuppa Site'!I1020&lt;&gt;0,'Boletins Nuppa Site'!I1020,"NULL")</f>
        <v>65</v>
      </c>
      <c r="G1020" s="1" t="str">
        <f>IF('Boletins Nuppa Site'!J1020&lt;&gt;0,'Boletins Nuppa Site'!J1020,"NULL")</f>
        <v>58.33</v>
      </c>
      <c r="H1020" s="19">
        <f>IF('Boletins Nuppa Site'!K1020&lt;&gt;0,'Boletins Nuppa Site'!K1020,"NULL")</f>
        <v>60</v>
      </c>
      <c r="J1020" s="1" t="str">
        <f t="shared" si="15"/>
        <v>INSERT INTO COTACAO (blt_id, pap_id, cot_prc_comum, cot_prc_min, cot_prc_max, cot_prc_med, cot_prc_mediana) VALUES (27, 27, 60, 45, 65, 58.33, 60);</v>
      </c>
    </row>
    <row r="1021" spans="1:10" x14ac:dyDescent="0.3">
      <c r="A1021" s="1">
        <v>1020</v>
      </c>
      <c r="B1021" s="1">
        <v>27</v>
      </c>
      <c r="C1021" s="1">
        <v>28</v>
      </c>
      <c r="D1021" s="19">
        <f>IF('Boletins Nuppa Site'!G1021&lt;&gt;0,'Boletins Nuppa Site'!G1021,"NULL")</f>
        <v>90</v>
      </c>
      <c r="E1021" s="19">
        <f>IF('Boletins Nuppa Site'!H1021&lt;&gt;0,'Boletins Nuppa Site'!H1021,"NULL")</f>
        <v>60</v>
      </c>
      <c r="F1021" s="19">
        <f>IF('Boletins Nuppa Site'!I1021&lt;&gt;0,'Boletins Nuppa Site'!I1021,"NULL")</f>
        <v>100</v>
      </c>
      <c r="G1021" s="19">
        <f>IF('Boletins Nuppa Site'!J1021&lt;&gt;0,'Boletins Nuppa Site'!J1021,"NULL")</f>
        <v>86</v>
      </c>
      <c r="H1021" s="19">
        <f>IF('Boletins Nuppa Site'!K1021&lt;&gt;0,'Boletins Nuppa Site'!K1021,"NULL")</f>
        <v>90</v>
      </c>
      <c r="J1021" s="1" t="str">
        <f t="shared" si="15"/>
        <v>INSERT INTO COTACAO (blt_id, pap_id, cot_prc_comum, cot_prc_min, cot_prc_max, cot_prc_med, cot_prc_mediana) VALUES (27, 28, 90, 60, 100, 86, 90);</v>
      </c>
    </row>
    <row r="1022" spans="1:10" x14ac:dyDescent="0.3">
      <c r="A1022" s="1">
        <v>1021</v>
      </c>
      <c r="B1022" s="1">
        <v>27</v>
      </c>
      <c r="C1022" s="1">
        <v>29</v>
      </c>
      <c r="D1022" s="19">
        <f>IF('Boletins Nuppa Site'!G1022&lt;&gt;0,'Boletins Nuppa Site'!G1022,"NULL")</f>
        <v>60</v>
      </c>
      <c r="E1022" s="19">
        <f>IF('Boletins Nuppa Site'!H1022&lt;&gt;0,'Boletins Nuppa Site'!H1022,"NULL")</f>
        <v>60</v>
      </c>
      <c r="F1022" s="19">
        <f>IF('Boletins Nuppa Site'!I1022&lt;&gt;0,'Boletins Nuppa Site'!I1022,"NULL")</f>
        <v>60</v>
      </c>
      <c r="G1022" s="19">
        <f>IF('Boletins Nuppa Site'!J1022&lt;&gt;0,'Boletins Nuppa Site'!J1022,"NULL")</f>
        <v>60</v>
      </c>
      <c r="H1022" s="19">
        <f>IF('Boletins Nuppa Site'!K1022&lt;&gt;0,'Boletins Nuppa Site'!K1022,"NULL")</f>
        <v>60</v>
      </c>
      <c r="J1022" s="1" t="str">
        <f t="shared" si="15"/>
        <v>INSERT INTO COTACAO (blt_id, pap_id, cot_prc_comum, cot_prc_min, cot_prc_max, cot_prc_med, cot_prc_mediana) VALUES (27, 29, 60, 60, 60, 60, 60);</v>
      </c>
    </row>
    <row r="1023" spans="1:10" x14ac:dyDescent="0.3">
      <c r="A1023" s="1">
        <v>1022</v>
      </c>
      <c r="B1023" s="1">
        <v>27</v>
      </c>
      <c r="C1023" s="1">
        <v>30</v>
      </c>
      <c r="D1023" s="19">
        <f>IF('Boletins Nuppa Site'!G1023&lt;&gt;0,'Boletins Nuppa Site'!G1023,"NULL")</f>
        <v>65</v>
      </c>
      <c r="E1023" s="19">
        <f>IF('Boletins Nuppa Site'!H1023&lt;&gt;0,'Boletins Nuppa Site'!H1023,"NULL")</f>
        <v>50</v>
      </c>
      <c r="F1023" s="19">
        <f>IF('Boletins Nuppa Site'!I1023&lt;&gt;0,'Boletins Nuppa Site'!I1023,"NULL")</f>
        <v>65</v>
      </c>
      <c r="G1023" s="19">
        <f>IF('Boletins Nuppa Site'!J1023&lt;&gt;0,'Boletins Nuppa Site'!J1023,"NULL")</f>
        <v>60</v>
      </c>
      <c r="H1023" s="1" t="str">
        <f>IF('Boletins Nuppa Site'!K1023&lt;&gt;0,'Boletins Nuppa Site'!K1023,"NULL")</f>
        <v>62.5</v>
      </c>
      <c r="J1023" s="1" t="str">
        <f t="shared" si="15"/>
        <v>INSERT INTO COTACAO (blt_id, pap_id, cot_prc_comum, cot_prc_min, cot_prc_max, cot_prc_med, cot_prc_mediana) VALUES (27, 30, 65, 50, 65, 60, 62.5);</v>
      </c>
    </row>
    <row r="1024" spans="1:10" x14ac:dyDescent="0.3">
      <c r="A1024" s="1">
        <v>1023</v>
      </c>
      <c r="B1024" s="1">
        <v>27</v>
      </c>
      <c r="C1024" s="1">
        <v>31</v>
      </c>
      <c r="D1024" s="19">
        <f>IF('Boletins Nuppa Site'!G1024&lt;&gt;0,'Boletins Nuppa Site'!G1024,"NULL")</f>
        <v>90</v>
      </c>
      <c r="E1024" s="19">
        <f>IF('Boletins Nuppa Site'!H1024&lt;&gt;0,'Boletins Nuppa Site'!H1024,"NULL")</f>
        <v>50</v>
      </c>
      <c r="F1024" s="19">
        <f>IF('Boletins Nuppa Site'!I1024&lt;&gt;0,'Boletins Nuppa Site'!I1024,"NULL")</f>
        <v>90</v>
      </c>
      <c r="G1024" s="1" t="str">
        <f>IF('Boletins Nuppa Site'!J1024&lt;&gt;0,'Boletins Nuppa Site'!J1024,"NULL")</f>
        <v>76.67</v>
      </c>
      <c r="H1024" s="19">
        <f>IF('Boletins Nuppa Site'!K1024&lt;&gt;0,'Boletins Nuppa Site'!K1024,"NULL")</f>
        <v>80</v>
      </c>
      <c r="J1024" s="1" t="str">
        <f t="shared" si="15"/>
        <v>INSERT INTO COTACAO (blt_id, pap_id, cot_prc_comum, cot_prc_min, cot_prc_max, cot_prc_med, cot_prc_mediana) VALUES (27, 31, 90, 50, 90, 76.67, 80);</v>
      </c>
    </row>
    <row r="1025" spans="1:10" x14ac:dyDescent="0.3">
      <c r="A1025" s="1">
        <v>1024</v>
      </c>
      <c r="B1025" s="1">
        <v>27</v>
      </c>
      <c r="C1025" s="1">
        <v>32</v>
      </c>
      <c r="D1025" s="19">
        <f>IF('Boletins Nuppa Site'!G1025&lt;&gt;0,'Boletins Nuppa Site'!G1025,"NULL")</f>
        <v>50</v>
      </c>
      <c r="E1025" s="19">
        <f>IF('Boletins Nuppa Site'!H1025&lt;&gt;0,'Boletins Nuppa Site'!H1025,"NULL")</f>
        <v>40</v>
      </c>
      <c r="F1025" s="19">
        <f>IF('Boletins Nuppa Site'!I1025&lt;&gt;0,'Boletins Nuppa Site'!I1025,"NULL")</f>
        <v>80</v>
      </c>
      <c r="G1025" s="19">
        <f>IF('Boletins Nuppa Site'!J1025&lt;&gt;0,'Boletins Nuppa Site'!J1025,"NULL")</f>
        <v>55</v>
      </c>
      <c r="H1025" s="19">
        <f>IF('Boletins Nuppa Site'!K1025&lt;&gt;0,'Boletins Nuppa Site'!K1025,"NULL")</f>
        <v>50</v>
      </c>
      <c r="J1025" s="1" t="str">
        <f t="shared" si="15"/>
        <v>INSERT INTO COTACAO (blt_id, pap_id, cot_prc_comum, cot_prc_min, cot_prc_max, cot_prc_med, cot_prc_mediana) VALUES (27, 32, 50, 40, 80, 55, 50);</v>
      </c>
    </row>
    <row r="1026" spans="1:10" x14ac:dyDescent="0.3">
      <c r="A1026" s="1">
        <v>1025</v>
      </c>
      <c r="B1026" s="1">
        <v>27</v>
      </c>
      <c r="C1026" s="1">
        <v>33</v>
      </c>
      <c r="D1026" s="19">
        <f>IF('Boletins Nuppa Site'!G1026&lt;&gt;0,'Boletins Nuppa Site'!G1026,"NULL")</f>
        <v>120</v>
      </c>
      <c r="E1026" s="19">
        <f>IF('Boletins Nuppa Site'!H1026&lt;&gt;0,'Boletins Nuppa Site'!H1026,"NULL")</f>
        <v>100</v>
      </c>
      <c r="F1026" s="19">
        <f>IF('Boletins Nuppa Site'!I1026&lt;&gt;0,'Boletins Nuppa Site'!I1026,"NULL")</f>
        <v>150</v>
      </c>
      <c r="G1026" s="19">
        <f>IF('Boletins Nuppa Site'!J1026&lt;&gt;0,'Boletins Nuppa Site'!J1026,"NULL")</f>
        <v>125</v>
      </c>
      <c r="H1026" s="19">
        <f>IF('Boletins Nuppa Site'!K1026&lt;&gt;0,'Boletins Nuppa Site'!K1026,"NULL")</f>
        <v>125</v>
      </c>
      <c r="J1026" s="1" t="str">
        <f t="shared" ref="J1026:J1089" si="16">"INSERT INTO COTACAO (blt_id, pap_id, cot_prc_comum, cot_prc_min, cot_prc_max, cot_prc_med, cot_prc_mediana) VALUES ("&amp;B1026&amp;", "&amp;C1026&amp;", "&amp;D1026&amp;", "&amp;E1026&amp;", "&amp;F1026&amp;", "&amp;G1026&amp;", "&amp;H1026&amp;");"</f>
        <v>INSERT INTO COTACAO (blt_id, pap_id, cot_prc_comum, cot_prc_min, cot_prc_max, cot_prc_med, cot_prc_mediana) VALUES (27, 33, 120, 100, 150, 125, 125);</v>
      </c>
    </row>
    <row r="1027" spans="1:10" x14ac:dyDescent="0.3">
      <c r="A1027" s="1">
        <v>1026</v>
      </c>
      <c r="B1027" s="1">
        <v>27</v>
      </c>
      <c r="C1027" s="1">
        <v>34</v>
      </c>
      <c r="D1027" s="19">
        <f>IF('Boletins Nuppa Site'!G1027&lt;&gt;0,'Boletins Nuppa Site'!G1027,"NULL")</f>
        <v>80</v>
      </c>
      <c r="E1027" s="19">
        <f>IF('Boletins Nuppa Site'!H1027&lt;&gt;0,'Boletins Nuppa Site'!H1027,"NULL")</f>
        <v>50</v>
      </c>
      <c r="F1027" s="19">
        <f>IF('Boletins Nuppa Site'!I1027&lt;&gt;0,'Boletins Nuppa Site'!I1027,"NULL")</f>
        <v>90</v>
      </c>
      <c r="G1027" s="1" t="str">
        <f>IF('Boletins Nuppa Site'!J1027&lt;&gt;0,'Boletins Nuppa Site'!J1027,"NULL")</f>
        <v>72.14</v>
      </c>
      <c r="H1027" s="19">
        <f>IF('Boletins Nuppa Site'!K1027&lt;&gt;0,'Boletins Nuppa Site'!K1027,"NULL")</f>
        <v>75</v>
      </c>
      <c r="J1027" s="1" t="str">
        <f t="shared" si="16"/>
        <v>INSERT INTO COTACAO (blt_id, pap_id, cot_prc_comum, cot_prc_min, cot_prc_max, cot_prc_med, cot_prc_mediana) VALUES (27, 34, 80, 50, 90, 72.14, 75);</v>
      </c>
    </row>
    <row r="1028" spans="1:10" x14ac:dyDescent="0.3">
      <c r="A1028" s="1">
        <v>1027</v>
      </c>
      <c r="B1028" s="1">
        <v>27</v>
      </c>
      <c r="C1028" s="1">
        <v>35</v>
      </c>
      <c r="D1028" s="1" t="str">
        <f>IF('Boletins Nuppa Site'!G1028&lt;&gt;0,'Boletins Nuppa Site'!G1028,"NULL")</f>
        <v>NULL</v>
      </c>
      <c r="E1028" s="19">
        <f>IF('Boletins Nuppa Site'!H1028&lt;&gt;0,'Boletins Nuppa Site'!H1028,"NULL")</f>
        <v>85</v>
      </c>
      <c r="F1028" s="19">
        <f>IF('Boletins Nuppa Site'!I1028&lt;&gt;0,'Boletins Nuppa Site'!I1028,"NULL")</f>
        <v>190</v>
      </c>
      <c r="G1028" s="1" t="str">
        <f>IF('Boletins Nuppa Site'!J1028&lt;&gt;0,'Boletins Nuppa Site'!J1028,"NULL")</f>
        <v>143.75</v>
      </c>
      <c r="H1028" s="19">
        <f>IF('Boletins Nuppa Site'!K1028&lt;&gt;0,'Boletins Nuppa Site'!K1028,"NULL")</f>
        <v>150</v>
      </c>
      <c r="J1028" s="1" t="str">
        <f t="shared" si="16"/>
        <v>INSERT INTO COTACAO (blt_id, pap_id, cot_prc_comum, cot_prc_min, cot_prc_max, cot_prc_med, cot_prc_mediana) VALUES (27, 35, NULL, 85, 190, 143.75, 150);</v>
      </c>
    </row>
    <row r="1029" spans="1:10" x14ac:dyDescent="0.3">
      <c r="A1029" s="1">
        <v>1028</v>
      </c>
      <c r="B1029" s="1">
        <v>27</v>
      </c>
      <c r="C1029" s="1">
        <v>36</v>
      </c>
      <c r="D1029" s="1" t="str">
        <f>IF('Boletins Nuppa Site'!G1029&lt;&gt;0,'Boletins Nuppa Site'!G1029,"NULL")</f>
        <v>NULL</v>
      </c>
      <c r="E1029" s="1" t="str">
        <f>IF('Boletins Nuppa Site'!H1029&lt;&gt;0,'Boletins Nuppa Site'!H1029,"NULL")</f>
        <v>NULL</v>
      </c>
      <c r="F1029" s="1" t="str">
        <f>IF('Boletins Nuppa Site'!I1029&lt;&gt;0,'Boletins Nuppa Site'!I1029,"NULL")</f>
        <v>NULL</v>
      </c>
      <c r="G1029" s="1" t="str">
        <f>IF('Boletins Nuppa Site'!J1029&lt;&gt;0,'Boletins Nuppa Site'!J1029,"NULL")</f>
        <v>NULL</v>
      </c>
      <c r="H1029" s="1" t="str">
        <f>IF('Boletins Nuppa Site'!K1029&lt;&gt;0,'Boletins Nuppa Site'!K1029,"NULL")</f>
        <v>NULL</v>
      </c>
      <c r="J1029" s="1" t="str">
        <f t="shared" si="16"/>
        <v>INSERT INTO COTACAO (blt_id, pap_id, cot_prc_comum, cot_prc_min, cot_prc_max, cot_prc_med, cot_prc_mediana) VALUES (27, 36, NULL, NULL, NULL, NULL, NULL);</v>
      </c>
    </row>
    <row r="1030" spans="1:10" x14ac:dyDescent="0.3">
      <c r="A1030" s="1">
        <v>1029</v>
      </c>
      <c r="B1030" s="1">
        <v>27</v>
      </c>
      <c r="C1030" s="1">
        <v>37</v>
      </c>
      <c r="D1030" s="1" t="str">
        <f>IF('Boletins Nuppa Site'!G1030&lt;&gt;0,'Boletins Nuppa Site'!G1030,"NULL")</f>
        <v>NULL</v>
      </c>
      <c r="E1030" s="1" t="str">
        <f>IF('Boletins Nuppa Site'!H1030&lt;&gt;0,'Boletins Nuppa Site'!H1030,"NULL")</f>
        <v>NULL</v>
      </c>
      <c r="F1030" s="1" t="str">
        <f>IF('Boletins Nuppa Site'!I1030&lt;&gt;0,'Boletins Nuppa Site'!I1030,"NULL")</f>
        <v>NULL</v>
      </c>
      <c r="G1030" s="1" t="str">
        <f>IF('Boletins Nuppa Site'!J1030&lt;&gt;0,'Boletins Nuppa Site'!J1030,"NULL")</f>
        <v>NULL</v>
      </c>
      <c r="H1030" s="1" t="str">
        <f>IF('Boletins Nuppa Site'!K1030&lt;&gt;0,'Boletins Nuppa Site'!K1030,"NULL")</f>
        <v>NULL</v>
      </c>
      <c r="J1030" s="1" t="str">
        <f t="shared" si="16"/>
        <v>INSERT INTO COTACAO (blt_id, pap_id, cot_prc_comum, cot_prc_min, cot_prc_max, cot_prc_med, cot_prc_mediana) VALUES (27, 37, NULL, NULL, NULL, NULL, NULL);</v>
      </c>
    </row>
    <row r="1031" spans="1:10" x14ac:dyDescent="0.3">
      <c r="A1031" s="1">
        <v>1030</v>
      </c>
      <c r="B1031" s="1">
        <v>27</v>
      </c>
      <c r="C1031" s="1">
        <v>38</v>
      </c>
      <c r="D1031" s="1" t="str">
        <f>IF('Boletins Nuppa Site'!G1031&lt;&gt;0,'Boletins Nuppa Site'!G1031,"NULL")</f>
        <v>NULL</v>
      </c>
      <c r="E1031" s="1" t="str">
        <f>IF('Boletins Nuppa Site'!H1031&lt;&gt;0,'Boletins Nuppa Site'!H1031,"NULL")</f>
        <v>NULL</v>
      </c>
      <c r="F1031" s="1" t="str">
        <f>IF('Boletins Nuppa Site'!I1031&lt;&gt;0,'Boletins Nuppa Site'!I1031,"NULL")</f>
        <v>NULL</v>
      </c>
      <c r="G1031" s="1" t="str">
        <f>IF('Boletins Nuppa Site'!J1031&lt;&gt;0,'Boletins Nuppa Site'!J1031,"NULL")</f>
        <v>NULL</v>
      </c>
      <c r="H1031" s="1" t="str">
        <f>IF('Boletins Nuppa Site'!K1031&lt;&gt;0,'Boletins Nuppa Site'!K1031,"NULL")</f>
        <v>NULL</v>
      </c>
      <c r="J1031" s="1" t="str">
        <f t="shared" si="16"/>
        <v>INSERT INTO COTACAO (blt_id, pap_id, cot_prc_comum, cot_prc_min, cot_prc_max, cot_prc_med, cot_prc_mediana) VALUES (27, 38, NULL, NULL, NULL, NULL, NULL);</v>
      </c>
    </row>
    <row r="1032" spans="1:10" x14ac:dyDescent="0.3">
      <c r="A1032" s="1">
        <v>1031</v>
      </c>
      <c r="B1032" s="1">
        <v>27</v>
      </c>
      <c r="C1032" s="1">
        <v>39</v>
      </c>
      <c r="D1032" s="1" t="str">
        <f>IF('Boletins Nuppa Site'!G1032&lt;&gt;0,'Boletins Nuppa Site'!G1032,"NULL")</f>
        <v>NULL</v>
      </c>
      <c r="E1032" s="19">
        <f>IF('Boletins Nuppa Site'!H1032&lt;&gt;0,'Boletins Nuppa Site'!H1032,"NULL")</f>
        <v>65</v>
      </c>
      <c r="F1032" s="19">
        <f>IF('Boletins Nuppa Site'!I1032&lt;&gt;0,'Boletins Nuppa Site'!I1032,"NULL")</f>
        <v>65</v>
      </c>
      <c r="G1032" s="19">
        <f>IF('Boletins Nuppa Site'!J1032&lt;&gt;0,'Boletins Nuppa Site'!J1032,"NULL")</f>
        <v>65</v>
      </c>
      <c r="H1032" s="19">
        <f>IF('Boletins Nuppa Site'!K1032&lt;&gt;0,'Boletins Nuppa Site'!K1032,"NULL")</f>
        <v>65</v>
      </c>
      <c r="J1032" s="1" t="str">
        <f t="shared" si="16"/>
        <v>INSERT INTO COTACAO (blt_id, pap_id, cot_prc_comum, cot_prc_min, cot_prc_max, cot_prc_med, cot_prc_mediana) VALUES (27, 39, NULL, 65, 65, 65, 65);</v>
      </c>
    </row>
    <row r="1033" spans="1:10" x14ac:dyDescent="0.3">
      <c r="A1033" s="1">
        <v>1032</v>
      </c>
      <c r="B1033" s="1">
        <v>27</v>
      </c>
      <c r="C1033" s="1">
        <v>40</v>
      </c>
      <c r="D1033" s="1" t="str">
        <f>IF('Boletins Nuppa Site'!G1033&lt;&gt;0,'Boletins Nuppa Site'!G1033,"NULL")</f>
        <v>NULL</v>
      </c>
      <c r="E1033" s="19">
        <f>IF('Boletins Nuppa Site'!H1033&lt;&gt;0,'Boletins Nuppa Site'!H1033,"NULL")</f>
        <v>50</v>
      </c>
      <c r="F1033" s="19">
        <f>IF('Boletins Nuppa Site'!I1033&lt;&gt;0,'Boletins Nuppa Site'!I1033,"NULL")</f>
        <v>50</v>
      </c>
      <c r="G1033" s="19">
        <f>IF('Boletins Nuppa Site'!J1033&lt;&gt;0,'Boletins Nuppa Site'!J1033,"NULL")</f>
        <v>50</v>
      </c>
      <c r="H1033" s="19">
        <f>IF('Boletins Nuppa Site'!K1033&lt;&gt;0,'Boletins Nuppa Site'!K1033,"NULL")</f>
        <v>50</v>
      </c>
      <c r="J1033" s="1" t="str">
        <f t="shared" si="16"/>
        <v>INSERT INTO COTACAO (blt_id, pap_id, cot_prc_comum, cot_prc_min, cot_prc_max, cot_prc_med, cot_prc_mediana) VALUES (27, 40, NULL, 50, 50, 50, 50);</v>
      </c>
    </row>
    <row r="1034" spans="1:10" x14ac:dyDescent="0.3">
      <c r="A1034" s="1">
        <v>1033</v>
      </c>
      <c r="B1034" s="1">
        <v>28</v>
      </c>
      <c r="C1034" s="1">
        <v>1</v>
      </c>
      <c r="D1034" s="1" t="str">
        <f>IF('Boletins Nuppa Site'!G1034&lt;&gt;0,'Boletins Nuppa Site'!G1034,"NULL")</f>
        <v>NULL</v>
      </c>
      <c r="E1034" s="19">
        <f>IF('Boletins Nuppa Site'!H1034&lt;&gt;0,'Boletins Nuppa Site'!H1034,"NULL")</f>
        <v>48</v>
      </c>
      <c r="F1034" s="19">
        <f>IF('Boletins Nuppa Site'!I1034&lt;&gt;0,'Boletins Nuppa Site'!I1034,"NULL")</f>
        <v>60</v>
      </c>
      <c r="G1034" s="19">
        <f>IF('Boletins Nuppa Site'!J1034&lt;&gt;0,'Boletins Nuppa Site'!J1034,"NULL")</f>
        <v>54</v>
      </c>
      <c r="H1034" s="19">
        <f>IF('Boletins Nuppa Site'!K1034&lt;&gt;0,'Boletins Nuppa Site'!K1034,"NULL")</f>
        <v>54</v>
      </c>
      <c r="J1034" s="1" t="str">
        <f t="shared" si="16"/>
        <v>INSERT INTO COTACAO (blt_id, pap_id, cot_prc_comum, cot_prc_min, cot_prc_max, cot_prc_med, cot_prc_mediana) VALUES (28, 1, NULL, 48, 60, 54, 54);</v>
      </c>
    </row>
    <row r="1035" spans="1:10" x14ac:dyDescent="0.3">
      <c r="A1035" s="1">
        <v>1034</v>
      </c>
      <c r="B1035" s="1">
        <v>28</v>
      </c>
      <c r="C1035" s="1">
        <v>2</v>
      </c>
      <c r="D1035" s="1" t="str">
        <f>IF('Boletins Nuppa Site'!G1035&lt;&gt;0,'Boletins Nuppa Site'!G1035,"NULL")</f>
        <v>NULL</v>
      </c>
      <c r="E1035" s="19">
        <f>IF('Boletins Nuppa Site'!H1035&lt;&gt;0,'Boletins Nuppa Site'!H1035,"NULL")</f>
        <v>60</v>
      </c>
      <c r="F1035" s="19">
        <f>IF('Boletins Nuppa Site'!I1035&lt;&gt;0,'Boletins Nuppa Site'!I1035,"NULL")</f>
        <v>84</v>
      </c>
      <c r="G1035" s="19">
        <f>IF('Boletins Nuppa Site'!J1035&lt;&gt;0,'Boletins Nuppa Site'!J1035,"NULL")</f>
        <v>72</v>
      </c>
      <c r="H1035" s="19">
        <f>IF('Boletins Nuppa Site'!K1035&lt;&gt;0,'Boletins Nuppa Site'!K1035,"NULL")</f>
        <v>72</v>
      </c>
      <c r="J1035" s="1" t="str">
        <f t="shared" si="16"/>
        <v>INSERT INTO COTACAO (blt_id, pap_id, cot_prc_comum, cot_prc_min, cot_prc_max, cot_prc_med, cot_prc_mediana) VALUES (28, 2, NULL, 60, 84, 72, 72);</v>
      </c>
    </row>
    <row r="1036" spans="1:10" x14ac:dyDescent="0.3">
      <c r="A1036" s="1">
        <v>1035</v>
      </c>
      <c r="B1036" s="1">
        <v>28</v>
      </c>
      <c r="C1036" s="1">
        <v>3</v>
      </c>
      <c r="D1036" s="1" t="str">
        <f>IF('Boletins Nuppa Site'!G1036&lt;&gt;0,'Boletins Nuppa Site'!G1036,"NULL")</f>
        <v>NULL</v>
      </c>
      <c r="E1036" s="19">
        <f>IF('Boletins Nuppa Site'!H1036&lt;&gt;0,'Boletins Nuppa Site'!H1036,"NULL")</f>
        <v>30</v>
      </c>
      <c r="F1036" s="19">
        <f>IF('Boletins Nuppa Site'!I1036&lt;&gt;0,'Boletins Nuppa Site'!I1036,"NULL")</f>
        <v>36</v>
      </c>
      <c r="G1036" s="1" t="str">
        <f>IF('Boletins Nuppa Site'!J1036&lt;&gt;0,'Boletins Nuppa Site'!J1036,"NULL")</f>
        <v>33.67</v>
      </c>
      <c r="H1036" s="19">
        <f>IF('Boletins Nuppa Site'!K1036&lt;&gt;0,'Boletins Nuppa Site'!K1036,"NULL")</f>
        <v>35</v>
      </c>
      <c r="J1036" s="1" t="str">
        <f t="shared" si="16"/>
        <v>INSERT INTO COTACAO (blt_id, pap_id, cot_prc_comum, cot_prc_min, cot_prc_max, cot_prc_med, cot_prc_mediana) VALUES (28, 3, NULL, 30, 36, 33.67, 35);</v>
      </c>
    </row>
    <row r="1037" spans="1:10" x14ac:dyDescent="0.3">
      <c r="A1037" s="1">
        <v>1036</v>
      </c>
      <c r="B1037" s="1">
        <v>28</v>
      </c>
      <c r="C1037" s="1">
        <v>4</v>
      </c>
      <c r="D1037" s="19">
        <f>IF('Boletins Nuppa Site'!G1037&lt;&gt;0,'Boletins Nuppa Site'!G1037,"NULL")</f>
        <v>18</v>
      </c>
      <c r="E1037" s="19">
        <f>IF('Boletins Nuppa Site'!H1037&lt;&gt;0,'Boletins Nuppa Site'!H1037,"NULL")</f>
        <v>15</v>
      </c>
      <c r="F1037" s="19">
        <f>IF('Boletins Nuppa Site'!I1037&lt;&gt;0,'Boletins Nuppa Site'!I1037,"NULL")</f>
        <v>18</v>
      </c>
      <c r="G1037" s="19">
        <f>IF('Boletins Nuppa Site'!J1037&lt;&gt;0,'Boletins Nuppa Site'!J1037,"NULL")</f>
        <v>17</v>
      </c>
      <c r="H1037" s="19">
        <f>IF('Boletins Nuppa Site'!K1037&lt;&gt;0,'Boletins Nuppa Site'!K1037,"NULL")</f>
        <v>18</v>
      </c>
      <c r="J1037" s="1" t="str">
        <f t="shared" si="16"/>
        <v>INSERT INTO COTACAO (blt_id, pap_id, cot_prc_comum, cot_prc_min, cot_prc_max, cot_prc_med, cot_prc_mediana) VALUES (28, 4, 18, 15, 18, 17, 18);</v>
      </c>
    </row>
    <row r="1038" spans="1:10" x14ac:dyDescent="0.3">
      <c r="A1038" s="1">
        <v>1037</v>
      </c>
      <c r="B1038" s="1">
        <v>28</v>
      </c>
      <c r="C1038" s="1">
        <v>5</v>
      </c>
      <c r="D1038" s="1" t="str">
        <f>IF('Boletins Nuppa Site'!G1038&lt;&gt;0,'Boletins Nuppa Site'!G1038,"NULL")</f>
        <v>NULL</v>
      </c>
      <c r="E1038" s="19">
        <f>IF('Boletins Nuppa Site'!H1038&lt;&gt;0,'Boletins Nuppa Site'!H1038,"NULL")</f>
        <v>15</v>
      </c>
      <c r="F1038" s="19">
        <f>IF('Boletins Nuppa Site'!I1038&lt;&gt;0,'Boletins Nuppa Site'!I1038,"NULL")</f>
        <v>60</v>
      </c>
      <c r="G1038" s="1" t="str">
        <f>IF('Boletins Nuppa Site'!J1038&lt;&gt;0,'Boletins Nuppa Site'!J1038,"NULL")</f>
        <v>37.5</v>
      </c>
      <c r="H1038" s="1" t="str">
        <f>IF('Boletins Nuppa Site'!K1038&lt;&gt;0,'Boletins Nuppa Site'!K1038,"NULL")</f>
        <v>37.5</v>
      </c>
      <c r="J1038" s="1" t="str">
        <f t="shared" si="16"/>
        <v>INSERT INTO COTACAO (blt_id, pap_id, cot_prc_comum, cot_prc_min, cot_prc_max, cot_prc_med, cot_prc_mediana) VALUES (28, 5, NULL, 15, 60, 37.5, 37.5);</v>
      </c>
    </row>
    <row r="1039" spans="1:10" x14ac:dyDescent="0.3">
      <c r="A1039" s="1">
        <v>1038</v>
      </c>
      <c r="B1039" s="1">
        <v>28</v>
      </c>
      <c r="C1039" s="1">
        <v>6</v>
      </c>
      <c r="D1039" s="19">
        <f>IF('Boletins Nuppa Site'!G1039&lt;&gt;0,'Boletins Nuppa Site'!G1039,"NULL")</f>
        <v>60</v>
      </c>
      <c r="E1039" s="19">
        <f>IF('Boletins Nuppa Site'!H1039&lt;&gt;0,'Boletins Nuppa Site'!H1039,"NULL")</f>
        <v>60</v>
      </c>
      <c r="F1039" s="19">
        <f>IF('Boletins Nuppa Site'!I1039&lt;&gt;0,'Boletins Nuppa Site'!I1039,"NULL")</f>
        <v>60</v>
      </c>
      <c r="G1039" s="19">
        <f>IF('Boletins Nuppa Site'!J1039&lt;&gt;0,'Boletins Nuppa Site'!J1039,"NULL")</f>
        <v>60</v>
      </c>
      <c r="H1039" s="19">
        <f>IF('Boletins Nuppa Site'!K1039&lt;&gt;0,'Boletins Nuppa Site'!K1039,"NULL")</f>
        <v>60</v>
      </c>
      <c r="J1039" s="1" t="str">
        <f t="shared" si="16"/>
        <v>INSERT INTO COTACAO (blt_id, pap_id, cot_prc_comum, cot_prc_min, cot_prc_max, cot_prc_med, cot_prc_mediana) VALUES (28, 6, 60, 60, 60, 60, 60);</v>
      </c>
    </row>
    <row r="1040" spans="1:10" x14ac:dyDescent="0.3">
      <c r="A1040" s="1">
        <v>1039</v>
      </c>
      <c r="B1040" s="1">
        <v>28</v>
      </c>
      <c r="C1040" s="1">
        <v>7</v>
      </c>
      <c r="D1040" s="1" t="str">
        <f>IF('Boletins Nuppa Site'!G1040&lt;&gt;0,'Boletins Nuppa Site'!G1040,"NULL")</f>
        <v>NULL</v>
      </c>
      <c r="E1040" s="19">
        <f>IF('Boletins Nuppa Site'!H1040&lt;&gt;0,'Boletins Nuppa Site'!H1040,"NULL")</f>
        <v>60</v>
      </c>
      <c r="F1040" s="19">
        <f>IF('Boletins Nuppa Site'!I1040&lt;&gt;0,'Boletins Nuppa Site'!I1040,"NULL")</f>
        <v>72</v>
      </c>
      <c r="G1040" s="19">
        <f>IF('Boletins Nuppa Site'!J1040&lt;&gt;0,'Boletins Nuppa Site'!J1040,"NULL")</f>
        <v>66</v>
      </c>
      <c r="H1040" s="19">
        <f>IF('Boletins Nuppa Site'!K1040&lt;&gt;0,'Boletins Nuppa Site'!K1040,"NULL")</f>
        <v>66</v>
      </c>
      <c r="J1040" s="1" t="str">
        <f t="shared" si="16"/>
        <v>INSERT INTO COTACAO (blt_id, pap_id, cot_prc_comum, cot_prc_min, cot_prc_max, cot_prc_med, cot_prc_mediana) VALUES (28, 7, NULL, 60, 72, 66, 66);</v>
      </c>
    </row>
    <row r="1041" spans="1:10" x14ac:dyDescent="0.3">
      <c r="A1041" s="1">
        <v>1040</v>
      </c>
      <c r="B1041" s="1">
        <v>28</v>
      </c>
      <c r="C1041" s="1">
        <v>8</v>
      </c>
      <c r="D1041" s="19">
        <f>IF('Boletins Nuppa Site'!G1041&lt;&gt;0,'Boletins Nuppa Site'!G1041,"NULL")</f>
        <v>72</v>
      </c>
      <c r="E1041" s="19">
        <f>IF('Boletins Nuppa Site'!H1041&lt;&gt;0,'Boletins Nuppa Site'!H1041,"NULL")</f>
        <v>72</v>
      </c>
      <c r="F1041" s="19">
        <f>IF('Boletins Nuppa Site'!I1041&lt;&gt;0,'Boletins Nuppa Site'!I1041,"NULL")</f>
        <v>72</v>
      </c>
      <c r="G1041" s="19">
        <f>IF('Boletins Nuppa Site'!J1041&lt;&gt;0,'Boletins Nuppa Site'!J1041,"NULL")</f>
        <v>72</v>
      </c>
      <c r="H1041" s="19">
        <f>IF('Boletins Nuppa Site'!K1041&lt;&gt;0,'Boletins Nuppa Site'!K1041,"NULL")</f>
        <v>72</v>
      </c>
      <c r="J1041" s="1" t="str">
        <f t="shared" si="16"/>
        <v>INSERT INTO COTACAO (blt_id, pap_id, cot_prc_comum, cot_prc_min, cot_prc_max, cot_prc_med, cot_prc_mediana) VALUES (28, 8, 72, 72, 72, 72, 72);</v>
      </c>
    </row>
    <row r="1042" spans="1:10" x14ac:dyDescent="0.3">
      <c r="A1042" s="1">
        <v>1041</v>
      </c>
      <c r="B1042" s="1">
        <v>28</v>
      </c>
      <c r="C1042" s="1">
        <v>9</v>
      </c>
      <c r="D1042" s="19">
        <f>IF('Boletins Nuppa Site'!G1042&lt;&gt;0,'Boletins Nuppa Site'!G1042,"NULL")</f>
        <v>18</v>
      </c>
      <c r="E1042" s="19">
        <f>IF('Boletins Nuppa Site'!H1042&lt;&gt;0,'Boletins Nuppa Site'!H1042,"NULL")</f>
        <v>18</v>
      </c>
      <c r="F1042" s="19">
        <f>IF('Boletins Nuppa Site'!I1042&lt;&gt;0,'Boletins Nuppa Site'!I1042,"NULL")</f>
        <v>24</v>
      </c>
      <c r="G1042" s="19">
        <f>IF('Boletins Nuppa Site'!J1042&lt;&gt;0,'Boletins Nuppa Site'!J1042,"NULL")</f>
        <v>20</v>
      </c>
      <c r="H1042" s="19">
        <f>IF('Boletins Nuppa Site'!K1042&lt;&gt;0,'Boletins Nuppa Site'!K1042,"NULL")</f>
        <v>18</v>
      </c>
      <c r="J1042" s="1" t="str">
        <f t="shared" si="16"/>
        <v>INSERT INTO COTACAO (blt_id, pap_id, cot_prc_comum, cot_prc_min, cot_prc_max, cot_prc_med, cot_prc_mediana) VALUES (28, 9, 18, 18, 24, 20, 18);</v>
      </c>
    </row>
    <row r="1043" spans="1:10" x14ac:dyDescent="0.3">
      <c r="A1043" s="1">
        <v>1042</v>
      </c>
      <c r="B1043" s="1">
        <v>28</v>
      </c>
      <c r="C1043" s="1">
        <v>10</v>
      </c>
      <c r="D1043" s="1" t="str">
        <f>IF('Boletins Nuppa Site'!G1043&lt;&gt;0,'Boletins Nuppa Site'!G1043,"NULL")</f>
        <v>NULL</v>
      </c>
      <c r="E1043" s="19">
        <f>IF('Boletins Nuppa Site'!H1043&lt;&gt;0,'Boletins Nuppa Site'!H1043,"NULL")</f>
        <v>72</v>
      </c>
      <c r="F1043" s="19">
        <f>IF('Boletins Nuppa Site'!I1043&lt;&gt;0,'Boletins Nuppa Site'!I1043,"NULL")</f>
        <v>84</v>
      </c>
      <c r="G1043" s="19">
        <f>IF('Boletins Nuppa Site'!J1043&lt;&gt;0,'Boletins Nuppa Site'!J1043,"NULL")</f>
        <v>78</v>
      </c>
      <c r="H1043" s="19">
        <f>IF('Boletins Nuppa Site'!K1043&lt;&gt;0,'Boletins Nuppa Site'!K1043,"NULL")</f>
        <v>78</v>
      </c>
      <c r="J1043" s="1" t="str">
        <f t="shared" si="16"/>
        <v>INSERT INTO COTACAO (blt_id, pap_id, cot_prc_comum, cot_prc_min, cot_prc_max, cot_prc_med, cot_prc_mediana) VALUES (28, 10, NULL, 72, 84, 78, 78);</v>
      </c>
    </row>
    <row r="1044" spans="1:10" x14ac:dyDescent="0.3">
      <c r="A1044" s="1">
        <v>1043</v>
      </c>
      <c r="B1044" s="1">
        <v>28</v>
      </c>
      <c r="C1044" s="1">
        <v>11</v>
      </c>
      <c r="D1044" s="1" t="str">
        <f>IF('Boletins Nuppa Site'!G1044&lt;&gt;0,'Boletins Nuppa Site'!G1044,"NULL")</f>
        <v>NULL</v>
      </c>
      <c r="E1044" s="19">
        <f>IF('Boletins Nuppa Site'!H1044&lt;&gt;0,'Boletins Nuppa Site'!H1044,"NULL")</f>
        <v>15</v>
      </c>
      <c r="F1044" s="19">
        <f>IF('Boletins Nuppa Site'!I1044&lt;&gt;0,'Boletins Nuppa Site'!I1044,"NULL")</f>
        <v>24</v>
      </c>
      <c r="G1044" s="19">
        <f>IF('Boletins Nuppa Site'!J1044&lt;&gt;0,'Boletins Nuppa Site'!J1044,"NULL")</f>
        <v>19</v>
      </c>
      <c r="H1044" s="19">
        <f>IF('Boletins Nuppa Site'!K1044&lt;&gt;0,'Boletins Nuppa Site'!K1044,"NULL")</f>
        <v>18</v>
      </c>
      <c r="J1044" s="1" t="str">
        <f t="shared" si="16"/>
        <v>INSERT INTO COTACAO (blt_id, pap_id, cot_prc_comum, cot_prc_min, cot_prc_max, cot_prc_med, cot_prc_mediana) VALUES (28, 11, NULL, 15, 24, 19, 18);</v>
      </c>
    </row>
    <row r="1045" spans="1:10" x14ac:dyDescent="0.3">
      <c r="A1045" s="1">
        <v>1044</v>
      </c>
      <c r="B1045" s="1">
        <v>28</v>
      </c>
      <c r="C1045" s="1">
        <v>12</v>
      </c>
      <c r="D1045" s="1" t="str">
        <f>IF('Boletins Nuppa Site'!G1045&lt;&gt;0,'Boletins Nuppa Site'!G1045,"NULL")</f>
        <v>NULL</v>
      </c>
      <c r="E1045" s="19">
        <f>IF('Boletins Nuppa Site'!H1045&lt;&gt;0,'Boletins Nuppa Site'!H1045,"NULL")</f>
        <v>48</v>
      </c>
      <c r="F1045" s="19">
        <f>IF('Boletins Nuppa Site'!I1045&lt;&gt;0,'Boletins Nuppa Site'!I1045,"NULL")</f>
        <v>72</v>
      </c>
      <c r="G1045" s="19">
        <f>IF('Boletins Nuppa Site'!J1045&lt;&gt;0,'Boletins Nuppa Site'!J1045,"NULL")</f>
        <v>60</v>
      </c>
      <c r="H1045" s="19">
        <f>IF('Boletins Nuppa Site'!K1045&lt;&gt;0,'Boletins Nuppa Site'!K1045,"NULL")</f>
        <v>60</v>
      </c>
      <c r="J1045" s="1" t="str">
        <f t="shared" si="16"/>
        <v>INSERT INTO COTACAO (blt_id, pap_id, cot_prc_comum, cot_prc_min, cot_prc_max, cot_prc_med, cot_prc_mediana) VALUES (28, 12, NULL, 48, 72, 60, 60);</v>
      </c>
    </row>
    <row r="1046" spans="1:10" x14ac:dyDescent="0.3">
      <c r="A1046" s="1">
        <v>1045</v>
      </c>
      <c r="B1046" s="1">
        <v>28</v>
      </c>
      <c r="C1046" s="1">
        <v>13</v>
      </c>
      <c r="D1046" s="19">
        <f>IF('Boletins Nuppa Site'!G1046&lt;&gt;0,'Boletins Nuppa Site'!G1046,"NULL")</f>
        <v>60</v>
      </c>
      <c r="E1046" s="19">
        <f>IF('Boletins Nuppa Site'!H1046&lt;&gt;0,'Boletins Nuppa Site'!H1046,"NULL")</f>
        <v>48</v>
      </c>
      <c r="F1046" s="19">
        <f>IF('Boletins Nuppa Site'!I1046&lt;&gt;0,'Boletins Nuppa Site'!I1046,"NULL")</f>
        <v>60</v>
      </c>
      <c r="G1046" s="19">
        <f>IF('Boletins Nuppa Site'!J1046&lt;&gt;0,'Boletins Nuppa Site'!J1046,"NULL")</f>
        <v>56</v>
      </c>
      <c r="H1046" s="19">
        <f>IF('Boletins Nuppa Site'!K1046&lt;&gt;0,'Boletins Nuppa Site'!K1046,"NULL")</f>
        <v>60</v>
      </c>
      <c r="J1046" s="1" t="str">
        <f t="shared" si="16"/>
        <v>INSERT INTO COTACAO (blt_id, pap_id, cot_prc_comum, cot_prc_min, cot_prc_max, cot_prc_med, cot_prc_mediana) VALUES (28, 13, 60, 48, 60, 56, 60);</v>
      </c>
    </row>
    <row r="1047" spans="1:10" x14ac:dyDescent="0.3">
      <c r="A1047" s="1">
        <v>1046</v>
      </c>
      <c r="B1047" s="1">
        <v>28</v>
      </c>
      <c r="C1047" s="1">
        <v>14</v>
      </c>
      <c r="D1047" s="1" t="str">
        <f>IF('Boletins Nuppa Site'!G1047&lt;&gt;0,'Boletins Nuppa Site'!G1047,"NULL")</f>
        <v>NULL</v>
      </c>
      <c r="E1047" s="19">
        <f>IF('Boletins Nuppa Site'!H1047&lt;&gt;0,'Boletins Nuppa Site'!H1047,"NULL")</f>
        <v>45</v>
      </c>
      <c r="F1047" s="19">
        <f>IF('Boletins Nuppa Site'!I1047&lt;&gt;0,'Boletins Nuppa Site'!I1047,"NULL")</f>
        <v>60</v>
      </c>
      <c r="G1047" s="1" t="str">
        <f>IF('Boletins Nuppa Site'!J1047&lt;&gt;0,'Boletins Nuppa Site'!J1047,"NULL")</f>
        <v>52.5</v>
      </c>
      <c r="H1047" s="1" t="str">
        <f>IF('Boletins Nuppa Site'!K1047&lt;&gt;0,'Boletins Nuppa Site'!K1047,"NULL")</f>
        <v>52.5</v>
      </c>
      <c r="J1047" s="1" t="str">
        <f t="shared" si="16"/>
        <v>INSERT INTO COTACAO (blt_id, pap_id, cot_prc_comum, cot_prc_min, cot_prc_max, cot_prc_med, cot_prc_mediana) VALUES (28, 14, NULL, 45, 60, 52.5, 52.5);</v>
      </c>
    </row>
    <row r="1048" spans="1:10" x14ac:dyDescent="0.3">
      <c r="A1048" s="1">
        <v>1047</v>
      </c>
      <c r="B1048" s="1">
        <v>28</v>
      </c>
      <c r="C1048" s="1">
        <v>15</v>
      </c>
      <c r="D1048" s="1" t="str">
        <f>IF('Boletins Nuppa Site'!G1048&lt;&gt;0,'Boletins Nuppa Site'!G1048,"NULL")</f>
        <v>NULL</v>
      </c>
      <c r="E1048" s="19">
        <f>IF('Boletins Nuppa Site'!H1048&lt;&gt;0,'Boletins Nuppa Site'!H1048,"NULL")</f>
        <v>36</v>
      </c>
      <c r="F1048" s="19">
        <f>IF('Boletins Nuppa Site'!I1048&lt;&gt;0,'Boletins Nuppa Site'!I1048,"NULL")</f>
        <v>40</v>
      </c>
      <c r="G1048" s="19">
        <f>IF('Boletins Nuppa Site'!J1048&lt;&gt;0,'Boletins Nuppa Site'!J1048,"NULL")</f>
        <v>38</v>
      </c>
      <c r="H1048" s="19">
        <f>IF('Boletins Nuppa Site'!K1048&lt;&gt;0,'Boletins Nuppa Site'!K1048,"NULL")</f>
        <v>38</v>
      </c>
      <c r="J1048" s="1" t="str">
        <f t="shared" si="16"/>
        <v>INSERT INTO COTACAO (blt_id, pap_id, cot_prc_comum, cot_prc_min, cot_prc_max, cot_prc_med, cot_prc_mediana) VALUES (28, 15, NULL, 36, 40, 38, 38);</v>
      </c>
    </row>
    <row r="1049" spans="1:10" x14ac:dyDescent="0.3">
      <c r="A1049" s="1">
        <v>1048</v>
      </c>
      <c r="B1049" s="1">
        <v>28</v>
      </c>
      <c r="C1049" s="1">
        <v>16</v>
      </c>
      <c r="D1049" s="1" t="str">
        <f>IF('Boletins Nuppa Site'!G1049&lt;&gt;0,'Boletins Nuppa Site'!G1049,"NULL")</f>
        <v>NULL</v>
      </c>
      <c r="E1049" s="19">
        <f>IF('Boletins Nuppa Site'!H1049&lt;&gt;0,'Boletins Nuppa Site'!H1049,"NULL")</f>
        <v>42</v>
      </c>
      <c r="F1049" s="19">
        <f>IF('Boletins Nuppa Site'!I1049&lt;&gt;0,'Boletins Nuppa Site'!I1049,"NULL")</f>
        <v>54</v>
      </c>
      <c r="G1049" s="19">
        <f>IF('Boletins Nuppa Site'!J1049&lt;&gt;0,'Boletins Nuppa Site'!J1049,"NULL")</f>
        <v>48</v>
      </c>
      <c r="H1049" s="19">
        <f>IF('Boletins Nuppa Site'!K1049&lt;&gt;0,'Boletins Nuppa Site'!K1049,"NULL")</f>
        <v>48</v>
      </c>
      <c r="J1049" s="1" t="str">
        <f t="shared" si="16"/>
        <v>INSERT INTO COTACAO (blt_id, pap_id, cot_prc_comum, cot_prc_min, cot_prc_max, cot_prc_med, cot_prc_mediana) VALUES (28, 16, NULL, 42, 54, 48, 48);</v>
      </c>
    </row>
    <row r="1050" spans="1:10" x14ac:dyDescent="0.3">
      <c r="A1050" s="1">
        <v>1049</v>
      </c>
      <c r="B1050" s="1">
        <v>28</v>
      </c>
      <c r="C1050" s="1">
        <v>17</v>
      </c>
      <c r="D1050" s="19">
        <f>IF('Boletins Nuppa Site'!G1050&lt;&gt;0,'Boletins Nuppa Site'!G1050,"NULL")</f>
        <v>5</v>
      </c>
      <c r="E1050" s="19">
        <f>IF('Boletins Nuppa Site'!H1050&lt;&gt;0,'Boletins Nuppa Site'!H1050,"NULL")</f>
        <v>5</v>
      </c>
      <c r="F1050" s="19">
        <f>IF('Boletins Nuppa Site'!I1050&lt;&gt;0,'Boletins Nuppa Site'!I1050,"NULL")</f>
        <v>5</v>
      </c>
      <c r="G1050" s="19">
        <f>IF('Boletins Nuppa Site'!J1050&lt;&gt;0,'Boletins Nuppa Site'!J1050,"NULL")</f>
        <v>5</v>
      </c>
      <c r="H1050" s="19">
        <f>IF('Boletins Nuppa Site'!K1050&lt;&gt;0,'Boletins Nuppa Site'!K1050,"NULL")</f>
        <v>5</v>
      </c>
      <c r="J1050" s="1" t="str">
        <f t="shared" si="16"/>
        <v>INSERT INTO COTACAO (blt_id, pap_id, cot_prc_comum, cot_prc_min, cot_prc_max, cot_prc_med, cot_prc_mediana) VALUES (28, 17, 5, 5, 5, 5, 5);</v>
      </c>
    </row>
    <row r="1051" spans="1:10" x14ac:dyDescent="0.3">
      <c r="A1051" s="1">
        <v>1050</v>
      </c>
      <c r="B1051" s="1">
        <v>28</v>
      </c>
      <c r="C1051" s="1">
        <v>18</v>
      </c>
      <c r="D1051" s="19">
        <f>IF('Boletins Nuppa Site'!G1051&lt;&gt;0,'Boletins Nuppa Site'!G1051,"NULL")</f>
        <v>12</v>
      </c>
      <c r="E1051" s="19">
        <f>IF('Boletins Nuppa Site'!H1051&lt;&gt;0,'Boletins Nuppa Site'!H1051,"NULL")</f>
        <v>10</v>
      </c>
      <c r="F1051" s="19">
        <f>IF('Boletins Nuppa Site'!I1051&lt;&gt;0,'Boletins Nuppa Site'!I1051,"NULL")</f>
        <v>12</v>
      </c>
      <c r="G1051" s="1" t="str">
        <f>IF('Boletins Nuppa Site'!J1051&lt;&gt;0,'Boletins Nuppa Site'!J1051,"NULL")</f>
        <v>11.33</v>
      </c>
      <c r="H1051" s="19">
        <f>IF('Boletins Nuppa Site'!K1051&lt;&gt;0,'Boletins Nuppa Site'!K1051,"NULL")</f>
        <v>12</v>
      </c>
      <c r="J1051" s="1" t="str">
        <f t="shared" si="16"/>
        <v>INSERT INTO COTACAO (blt_id, pap_id, cot_prc_comum, cot_prc_min, cot_prc_max, cot_prc_med, cot_prc_mediana) VALUES (28, 18, 12, 10, 12, 11.33, 12);</v>
      </c>
    </row>
    <row r="1052" spans="1:10" x14ac:dyDescent="0.3">
      <c r="A1052" s="1">
        <v>1051</v>
      </c>
      <c r="B1052" s="1">
        <v>28</v>
      </c>
      <c r="C1052" s="1">
        <v>19</v>
      </c>
      <c r="D1052" s="1" t="str">
        <f>IF('Boletins Nuppa Site'!G1052&lt;&gt;0,'Boletins Nuppa Site'!G1052,"NULL")</f>
        <v>NULL</v>
      </c>
      <c r="E1052" s="19">
        <f>IF('Boletins Nuppa Site'!H1052&lt;&gt;0,'Boletins Nuppa Site'!H1052,"NULL")</f>
        <v>15</v>
      </c>
      <c r="F1052" s="19">
        <f>IF('Boletins Nuppa Site'!I1052&lt;&gt;0,'Boletins Nuppa Site'!I1052,"NULL")</f>
        <v>30</v>
      </c>
      <c r="G1052" s="1" t="str">
        <f>IF('Boletins Nuppa Site'!J1052&lt;&gt;0,'Boletins Nuppa Site'!J1052,"NULL")</f>
        <v>21.67</v>
      </c>
      <c r="H1052" s="19">
        <f>IF('Boletins Nuppa Site'!K1052&lt;&gt;0,'Boletins Nuppa Site'!K1052,"NULL")</f>
        <v>20</v>
      </c>
      <c r="J1052" s="1" t="str">
        <f t="shared" si="16"/>
        <v>INSERT INTO COTACAO (blt_id, pap_id, cot_prc_comum, cot_prc_min, cot_prc_max, cot_prc_med, cot_prc_mediana) VALUES (28, 19, NULL, 15, 30, 21.67, 20);</v>
      </c>
    </row>
    <row r="1053" spans="1:10" x14ac:dyDescent="0.3">
      <c r="A1053" s="1">
        <v>1052</v>
      </c>
      <c r="B1053" s="1">
        <v>28</v>
      </c>
      <c r="C1053" s="1">
        <v>20</v>
      </c>
      <c r="D1053" s="1" t="str">
        <f>IF('Boletins Nuppa Site'!G1053&lt;&gt;0,'Boletins Nuppa Site'!G1053,"NULL")</f>
        <v>NULL</v>
      </c>
      <c r="E1053" s="19">
        <f>IF('Boletins Nuppa Site'!H1053&lt;&gt;0,'Boletins Nuppa Site'!H1053,"NULL")</f>
        <v>75</v>
      </c>
      <c r="F1053" s="19">
        <f>IF('Boletins Nuppa Site'!I1053&lt;&gt;0,'Boletins Nuppa Site'!I1053,"NULL")</f>
        <v>80</v>
      </c>
      <c r="G1053" s="1" t="str">
        <f>IF('Boletins Nuppa Site'!J1053&lt;&gt;0,'Boletins Nuppa Site'!J1053,"NULL")</f>
        <v>77.5</v>
      </c>
      <c r="H1053" s="1" t="str">
        <f>IF('Boletins Nuppa Site'!K1053&lt;&gt;0,'Boletins Nuppa Site'!K1053,"NULL")</f>
        <v>77.5</v>
      </c>
      <c r="J1053" s="1" t="str">
        <f t="shared" si="16"/>
        <v>INSERT INTO COTACAO (blt_id, pap_id, cot_prc_comum, cot_prc_min, cot_prc_max, cot_prc_med, cot_prc_mediana) VALUES (28, 20, NULL, 75, 80, 77.5, 77.5);</v>
      </c>
    </row>
    <row r="1054" spans="1:10" x14ac:dyDescent="0.3">
      <c r="A1054" s="1">
        <v>1053</v>
      </c>
      <c r="B1054" s="1">
        <v>28</v>
      </c>
      <c r="C1054" s="1">
        <v>21</v>
      </c>
      <c r="D1054" s="19">
        <f>IF('Boletins Nuppa Site'!G1054&lt;&gt;0,'Boletins Nuppa Site'!G1054,"NULL")</f>
        <v>50</v>
      </c>
      <c r="E1054" s="19">
        <f>IF('Boletins Nuppa Site'!H1054&lt;&gt;0,'Boletins Nuppa Site'!H1054,"NULL")</f>
        <v>40</v>
      </c>
      <c r="F1054" s="19">
        <f>IF('Boletins Nuppa Site'!I1054&lt;&gt;0,'Boletins Nuppa Site'!I1054,"NULL")</f>
        <v>60</v>
      </c>
      <c r="G1054" s="19">
        <f>IF('Boletins Nuppa Site'!J1054&lt;&gt;0,'Boletins Nuppa Site'!J1054,"NULL")</f>
        <v>51</v>
      </c>
      <c r="H1054" s="19">
        <f>IF('Boletins Nuppa Site'!K1054&lt;&gt;0,'Boletins Nuppa Site'!K1054,"NULL")</f>
        <v>50</v>
      </c>
      <c r="J1054" s="1" t="str">
        <f t="shared" si="16"/>
        <v>INSERT INTO COTACAO (blt_id, pap_id, cot_prc_comum, cot_prc_min, cot_prc_max, cot_prc_med, cot_prc_mediana) VALUES (28, 21, 50, 40, 60, 51, 50);</v>
      </c>
    </row>
    <row r="1055" spans="1:10" x14ac:dyDescent="0.3">
      <c r="A1055" s="1">
        <v>1054</v>
      </c>
      <c r="B1055" s="1">
        <v>28</v>
      </c>
      <c r="C1055" s="1">
        <v>22</v>
      </c>
      <c r="D1055" s="19">
        <f>IF('Boletins Nuppa Site'!G1055&lt;&gt;0,'Boletins Nuppa Site'!G1055,"NULL")</f>
        <v>70</v>
      </c>
      <c r="E1055" s="19">
        <f>IF('Boletins Nuppa Site'!H1055&lt;&gt;0,'Boletins Nuppa Site'!H1055,"NULL")</f>
        <v>40</v>
      </c>
      <c r="F1055" s="19">
        <f>IF('Boletins Nuppa Site'!I1055&lt;&gt;0,'Boletins Nuppa Site'!I1055,"NULL")</f>
        <v>70</v>
      </c>
      <c r="G1055" s="19">
        <f>IF('Boletins Nuppa Site'!J1055&lt;&gt;0,'Boletins Nuppa Site'!J1055,"NULL")</f>
        <v>55</v>
      </c>
      <c r="H1055" s="19">
        <f>IF('Boletins Nuppa Site'!K1055&lt;&gt;0,'Boletins Nuppa Site'!K1055,"NULL")</f>
        <v>50</v>
      </c>
      <c r="J1055" s="1" t="str">
        <f t="shared" si="16"/>
        <v>INSERT INTO COTACAO (blt_id, pap_id, cot_prc_comum, cot_prc_min, cot_prc_max, cot_prc_med, cot_prc_mediana) VALUES (28, 22, 70, 40, 70, 55, 50);</v>
      </c>
    </row>
    <row r="1056" spans="1:10" x14ac:dyDescent="0.3">
      <c r="A1056" s="1">
        <v>1055</v>
      </c>
      <c r="B1056" s="1">
        <v>28</v>
      </c>
      <c r="C1056" s="1">
        <v>23</v>
      </c>
      <c r="D1056" s="19">
        <f>IF('Boletins Nuppa Site'!G1056&lt;&gt;0,'Boletins Nuppa Site'!G1056,"NULL")</f>
        <v>50</v>
      </c>
      <c r="E1056" s="19">
        <f>IF('Boletins Nuppa Site'!H1056&lt;&gt;0,'Boletins Nuppa Site'!H1056,"NULL")</f>
        <v>35</v>
      </c>
      <c r="F1056" s="19">
        <f>IF('Boletins Nuppa Site'!I1056&lt;&gt;0,'Boletins Nuppa Site'!I1056,"NULL")</f>
        <v>50</v>
      </c>
      <c r="G1056" s="19">
        <f>IF('Boletins Nuppa Site'!J1056&lt;&gt;0,'Boletins Nuppa Site'!J1056,"NULL")</f>
        <v>44</v>
      </c>
      <c r="H1056" s="19">
        <f>IF('Boletins Nuppa Site'!K1056&lt;&gt;0,'Boletins Nuppa Site'!K1056,"NULL")</f>
        <v>45</v>
      </c>
      <c r="J1056" s="1" t="str">
        <f t="shared" si="16"/>
        <v>INSERT INTO COTACAO (blt_id, pap_id, cot_prc_comum, cot_prc_min, cot_prc_max, cot_prc_med, cot_prc_mediana) VALUES (28, 23, 50, 35, 50, 44, 45);</v>
      </c>
    </row>
    <row r="1057" spans="1:10" x14ac:dyDescent="0.3">
      <c r="A1057" s="1">
        <v>1056</v>
      </c>
      <c r="B1057" s="1">
        <v>28</v>
      </c>
      <c r="C1057" s="1">
        <v>24</v>
      </c>
      <c r="D1057" s="1" t="str">
        <f>IF('Boletins Nuppa Site'!G1057&lt;&gt;0,'Boletins Nuppa Site'!G1057,"NULL")</f>
        <v>NULL</v>
      </c>
      <c r="E1057" s="19">
        <f>IF('Boletins Nuppa Site'!H1057&lt;&gt;0,'Boletins Nuppa Site'!H1057,"NULL")</f>
        <v>90</v>
      </c>
      <c r="F1057" s="19">
        <f>IF('Boletins Nuppa Site'!I1057&lt;&gt;0,'Boletins Nuppa Site'!I1057,"NULL")</f>
        <v>100</v>
      </c>
      <c r="G1057" s="19">
        <f>IF('Boletins Nuppa Site'!J1057&lt;&gt;0,'Boletins Nuppa Site'!J1057,"NULL")</f>
        <v>95</v>
      </c>
      <c r="H1057" s="19">
        <f>IF('Boletins Nuppa Site'!K1057&lt;&gt;0,'Boletins Nuppa Site'!K1057,"NULL")</f>
        <v>95</v>
      </c>
      <c r="J1057" s="1" t="str">
        <f t="shared" si="16"/>
        <v>INSERT INTO COTACAO (blt_id, pap_id, cot_prc_comum, cot_prc_min, cot_prc_max, cot_prc_med, cot_prc_mediana) VALUES (28, 24, NULL, 90, 100, 95, 95);</v>
      </c>
    </row>
    <row r="1058" spans="1:10" x14ac:dyDescent="0.3">
      <c r="A1058" s="1">
        <v>1057</v>
      </c>
      <c r="B1058" s="1">
        <v>28</v>
      </c>
      <c r="C1058" s="1">
        <v>25</v>
      </c>
      <c r="D1058" s="19">
        <f>IF('Boletins Nuppa Site'!G1058&lt;&gt;0,'Boletins Nuppa Site'!G1058,"NULL")</f>
        <v>60</v>
      </c>
      <c r="E1058" s="19">
        <f>IF('Boletins Nuppa Site'!H1058&lt;&gt;0,'Boletins Nuppa Site'!H1058,"NULL")</f>
        <v>57</v>
      </c>
      <c r="F1058" s="19">
        <f>IF('Boletins Nuppa Site'!I1058&lt;&gt;0,'Boletins Nuppa Site'!I1058,"NULL")</f>
        <v>60</v>
      </c>
      <c r="G1058" s="1" t="str">
        <f>IF('Boletins Nuppa Site'!J1058&lt;&gt;0,'Boletins Nuppa Site'!J1058,"NULL")</f>
        <v>59.4</v>
      </c>
      <c r="H1058" s="19">
        <f>IF('Boletins Nuppa Site'!K1058&lt;&gt;0,'Boletins Nuppa Site'!K1058,"NULL")</f>
        <v>60</v>
      </c>
      <c r="J1058" s="1" t="str">
        <f t="shared" si="16"/>
        <v>INSERT INTO COTACAO (blt_id, pap_id, cot_prc_comum, cot_prc_min, cot_prc_max, cot_prc_med, cot_prc_mediana) VALUES (28, 25, 60, 57, 60, 59.4, 60);</v>
      </c>
    </row>
    <row r="1059" spans="1:10" x14ac:dyDescent="0.3">
      <c r="A1059" s="1">
        <v>1058</v>
      </c>
      <c r="B1059" s="1">
        <v>28</v>
      </c>
      <c r="C1059" s="1">
        <v>26</v>
      </c>
      <c r="D1059" s="19">
        <f>IF('Boletins Nuppa Site'!G1059&lt;&gt;0,'Boletins Nuppa Site'!G1059,"NULL")</f>
        <v>60</v>
      </c>
      <c r="E1059" s="19">
        <f>IF('Boletins Nuppa Site'!H1059&lt;&gt;0,'Boletins Nuppa Site'!H1059,"NULL")</f>
        <v>40</v>
      </c>
      <c r="F1059" s="19">
        <f>IF('Boletins Nuppa Site'!I1059&lt;&gt;0,'Boletins Nuppa Site'!I1059,"NULL")</f>
        <v>60</v>
      </c>
      <c r="G1059" s="19">
        <f>IF('Boletins Nuppa Site'!J1059&lt;&gt;0,'Boletins Nuppa Site'!J1059,"NULL")</f>
        <v>55</v>
      </c>
      <c r="H1059" s="19">
        <f>IF('Boletins Nuppa Site'!K1059&lt;&gt;0,'Boletins Nuppa Site'!K1059,"NULL")</f>
        <v>60</v>
      </c>
      <c r="J1059" s="1" t="str">
        <f t="shared" si="16"/>
        <v>INSERT INTO COTACAO (blt_id, pap_id, cot_prc_comum, cot_prc_min, cot_prc_max, cot_prc_med, cot_prc_mediana) VALUES (28, 26, 60, 40, 60, 55, 60);</v>
      </c>
    </row>
    <row r="1060" spans="1:10" x14ac:dyDescent="0.3">
      <c r="A1060" s="1">
        <v>1059</v>
      </c>
      <c r="B1060" s="1">
        <v>28</v>
      </c>
      <c r="C1060" s="1">
        <v>27</v>
      </c>
      <c r="D1060" s="19">
        <f>IF('Boletins Nuppa Site'!G1060&lt;&gt;0,'Boletins Nuppa Site'!G1060,"NULL")</f>
        <v>45</v>
      </c>
      <c r="E1060" s="19">
        <f>IF('Boletins Nuppa Site'!H1060&lt;&gt;0,'Boletins Nuppa Site'!H1060,"NULL")</f>
        <v>45</v>
      </c>
      <c r="F1060" s="19">
        <f>IF('Boletins Nuppa Site'!I1060&lt;&gt;0,'Boletins Nuppa Site'!I1060,"NULL")</f>
        <v>75</v>
      </c>
      <c r="G1060" s="19">
        <f>IF('Boletins Nuppa Site'!J1060&lt;&gt;0,'Boletins Nuppa Site'!J1060,"NULL")</f>
        <v>57</v>
      </c>
      <c r="H1060" s="19">
        <f>IF('Boletins Nuppa Site'!K1060&lt;&gt;0,'Boletins Nuppa Site'!K1060,"NULL")</f>
        <v>60</v>
      </c>
      <c r="J1060" s="1" t="str">
        <f t="shared" si="16"/>
        <v>INSERT INTO COTACAO (blt_id, pap_id, cot_prc_comum, cot_prc_min, cot_prc_max, cot_prc_med, cot_prc_mediana) VALUES (28, 27, 45, 45, 75, 57, 60);</v>
      </c>
    </row>
    <row r="1061" spans="1:10" x14ac:dyDescent="0.3">
      <c r="A1061" s="1">
        <v>1060</v>
      </c>
      <c r="B1061" s="1">
        <v>28</v>
      </c>
      <c r="C1061" s="1">
        <v>28</v>
      </c>
      <c r="D1061" s="1" t="str">
        <f>IF('Boletins Nuppa Site'!G1061&lt;&gt;0,'Boletins Nuppa Site'!G1061,"NULL")</f>
        <v>NULL</v>
      </c>
      <c r="E1061" s="19">
        <f>IF('Boletins Nuppa Site'!H1061&lt;&gt;0,'Boletins Nuppa Site'!H1061,"NULL")</f>
        <v>70</v>
      </c>
      <c r="F1061" s="19">
        <f>IF('Boletins Nuppa Site'!I1061&lt;&gt;0,'Boletins Nuppa Site'!I1061,"NULL")</f>
        <v>100</v>
      </c>
      <c r="G1061" s="19">
        <f>IF('Boletins Nuppa Site'!J1061&lt;&gt;0,'Boletins Nuppa Site'!J1061,"NULL")</f>
        <v>85</v>
      </c>
      <c r="H1061" s="19">
        <f>IF('Boletins Nuppa Site'!K1061&lt;&gt;0,'Boletins Nuppa Site'!K1061,"NULL")</f>
        <v>85</v>
      </c>
      <c r="J1061" s="1" t="str">
        <f t="shared" si="16"/>
        <v>INSERT INTO COTACAO (blt_id, pap_id, cot_prc_comum, cot_prc_min, cot_prc_max, cot_prc_med, cot_prc_mediana) VALUES (28, 28, NULL, 70, 100, 85, 85);</v>
      </c>
    </row>
    <row r="1062" spans="1:10" x14ac:dyDescent="0.3">
      <c r="A1062" s="1">
        <v>1061</v>
      </c>
      <c r="B1062" s="1">
        <v>28</v>
      </c>
      <c r="C1062" s="1">
        <v>29</v>
      </c>
      <c r="D1062" s="1" t="str">
        <f>IF('Boletins Nuppa Site'!G1062&lt;&gt;0,'Boletins Nuppa Site'!G1062,"NULL")</f>
        <v>NULL</v>
      </c>
      <c r="E1062" s="19">
        <f>IF('Boletins Nuppa Site'!H1062&lt;&gt;0,'Boletins Nuppa Site'!H1062,"NULL")</f>
        <v>60</v>
      </c>
      <c r="F1062" s="19">
        <f>IF('Boletins Nuppa Site'!I1062&lt;&gt;0,'Boletins Nuppa Site'!I1062,"NULL")</f>
        <v>65</v>
      </c>
      <c r="G1062" s="1" t="str">
        <f>IF('Boletins Nuppa Site'!J1062&lt;&gt;0,'Boletins Nuppa Site'!J1062,"NULL")</f>
        <v>62.5</v>
      </c>
      <c r="H1062" s="1" t="str">
        <f>IF('Boletins Nuppa Site'!K1062&lt;&gt;0,'Boletins Nuppa Site'!K1062,"NULL")</f>
        <v>62.5</v>
      </c>
      <c r="J1062" s="1" t="str">
        <f t="shared" si="16"/>
        <v>INSERT INTO COTACAO (blt_id, pap_id, cot_prc_comum, cot_prc_min, cot_prc_max, cot_prc_med, cot_prc_mediana) VALUES (28, 29, NULL, 60, 65, 62.5, 62.5);</v>
      </c>
    </row>
    <row r="1063" spans="1:10" x14ac:dyDescent="0.3">
      <c r="A1063" s="1">
        <v>1062</v>
      </c>
      <c r="B1063" s="1">
        <v>28</v>
      </c>
      <c r="C1063" s="1">
        <v>30</v>
      </c>
      <c r="D1063" s="19">
        <f>IF('Boletins Nuppa Site'!G1063&lt;&gt;0,'Boletins Nuppa Site'!G1063,"NULL")</f>
        <v>50</v>
      </c>
      <c r="E1063" s="19">
        <f>IF('Boletins Nuppa Site'!H1063&lt;&gt;0,'Boletins Nuppa Site'!H1063,"NULL")</f>
        <v>50</v>
      </c>
      <c r="F1063" s="19">
        <f>IF('Boletins Nuppa Site'!I1063&lt;&gt;0,'Boletins Nuppa Site'!I1063,"NULL")</f>
        <v>60</v>
      </c>
      <c r="G1063" s="1" t="str">
        <f>IF('Boletins Nuppa Site'!J1063&lt;&gt;0,'Boletins Nuppa Site'!J1063,"NULL")</f>
        <v>53.75</v>
      </c>
      <c r="H1063" s="1" t="str">
        <f>IF('Boletins Nuppa Site'!K1063&lt;&gt;0,'Boletins Nuppa Site'!K1063,"NULL")</f>
        <v>52.5</v>
      </c>
      <c r="J1063" s="1" t="str">
        <f t="shared" si="16"/>
        <v>INSERT INTO COTACAO (blt_id, pap_id, cot_prc_comum, cot_prc_min, cot_prc_max, cot_prc_med, cot_prc_mediana) VALUES (28, 30, 50, 50, 60, 53.75, 52.5);</v>
      </c>
    </row>
    <row r="1064" spans="1:10" x14ac:dyDescent="0.3">
      <c r="A1064" s="1">
        <v>1063</v>
      </c>
      <c r="B1064" s="1">
        <v>28</v>
      </c>
      <c r="C1064" s="1">
        <v>31</v>
      </c>
      <c r="D1064" s="19">
        <f>IF('Boletins Nuppa Site'!G1064&lt;&gt;0,'Boletins Nuppa Site'!G1064,"NULL")</f>
        <v>80</v>
      </c>
      <c r="E1064" s="19">
        <f>IF('Boletins Nuppa Site'!H1064&lt;&gt;0,'Boletins Nuppa Site'!H1064,"NULL")</f>
        <v>70</v>
      </c>
      <c r="F1064" s="19">
        <f>IF('Boletins Nuppa Site'!I1064&lt;&gt;0,'Boletins Nuppa Site'!I1064,"NULL")</f>
        <v>80</v>
      </c>
      <c r="G1064" s="19">
        <f>IF('Boletins Nuppa Site'!J1064&lt;&gt;0,'Boletins Nuppa Site'!J1064,"NULL")</f>
        <v>77</v>
      </c>
      <c r="H1064" s="19">
        <f>IF('Boletins Nuppa Site'!K1064&lt;&gt;0,'Boletins Nuppa Site'!K1064,"NULL")</f>
        <v>80</v>
      </c>
      <c r="J1064" s="1" t="str">
        <f t="shared" si="16"/>
        <v>INSERT INTO COTACAO (blt_id, pap_id, cot_prc_comum, cot_prc_min, cot_prc_max, cot_prc_med, cot_prc_mediana) VALUES (28, 31, 80, 70, 80, 77, 80);</v>
      </c>
    </row>
    <row r="1065" spans="1:10" x14ac:dyDescent="0.3">
      <c r="A1065" s="1">
        <v>1064</v>
      </c>
      <c r="B1065" s="1">
        <v>28</v>
      </c>
      <c r="C1065" s="1">
        <v>32</v>
      </c>
      <c r="D1065" s="19">
        <f>IF('Boletins Nuppa Site'!G1065&lt;&gt;0,'Boletins Nuppa Site'!G1065,"NULL")</f>
        <v>50</v>
      </c>
      <c r="E1065" s="19">
        <f>IF('Boletins Nuppa Site'!H1065&lt;&gt;0,'Boletins Nuppa Site'!H1065,"NULL")</f>
        <v>45</v>
      </c>
      <c r="F1065" s="19">
        <f>IF('Boletins Nuppa Site'!I1065&lt;&gt;0,'Boletins Nuppa Site'!I1065,"NULL")</f>
        <v>70</v>
      </c>
      <c r="G1065" s="19">
        <f>IF('Boletins Nuppa Site'!J1065&lt;&gt;0,'Boletins Nuppa Site'!J1065,"NULL")</f>
        <v>54</v>
      </c>
      <c r="H1065" s="19">
        <f>IF('Boletins Nuppa Site'!K1065&lt;&gt;0,'Boletins Nuppa Site'!K1065,"NULL")</f>
        <v>50</v>
      </c>
      <c r="J1065" s="1" t="str">
        <f t="shared" si="16"/>
        <v>INSERT INTO COTACAO (blt_id, pap_id, cot_prc_comum, cot_prc_min, cot_prc_max, cot_prc_med, cot_prc_mediana) VALUES (28, 32, 50, 45, 70, 54, 50);</v>
      </c>
    </row>
    <row r="1066" spans="1:10" x14ac:dyDescent="0.3">
      <c r="A1066" s="1">
        <v>1065</v>
      </c>
      <c r="B1066" s="1">
        <v>28</v>
      </c>
      <c r="C1066" s="1">
        <v>33</v>
      </c>
      <c r="D1066" s="19">
        <f>IF('Boletins Nuppa Site'!G1066&lt;&gt;0,'Boletins Nuppa Site'!G1066,"NULL")</f>
        <v>110</v>
      </c>
      <c r="E1066" s="19">
        <f>IF('Boletins Nuppa Site'!H1066&lt;&gt;0,'Boletins Nuppa Site'!H1066,"NULL")</f>
        <v>100</v>
      </c>
      <c r="F1066" s="19">
        <f>IF('Boletins Nuppa Site'!I1066&lt;&gt;0,'Boletins Nuppa Site'!I1066,"NULL")</f>
        <v>155</v>
      </c>
      <c r="G1066" s="1" t="str">
        <f>IF('Boletins Nuppa Site'!J1066&lt;&gt;0,'Boletins Nuppa Site'!J1066,"NULL")</f>
        <v>118.75</v>
      </c>
      <c r="H1066" s="19">
        <f>IF('Boletins Nuppa Site'!K1066&lt;&gt;0,'Boletins Nuppa Site'!K1066,"NULL")</f>
        <v>110</v>
      </c>
      <c r="J1066" s="1" t="str">
        <f t="shared" si="16"/>
        <v>INSERT INTO COTACAO (blt_id, pap_id, cot_prc_comum, cot_prc_min, cot_prc_max, cot_prc_med, cot_prc_mediana) VALUES (28, 33, 110, 100, 155, 118.75, 110);</v>
      </c>
    </row>
    <row r="1067" spans="1:10" x14ac:dyDescent="0.3">
      <c r="A1067" s="1">
        <v>1066</v>
      </c>
      <c r="B1067" s="1">
        <v>28</v>
      </c>
      <c r="C1067" s="1">
        <v>34</v>
      </c>
      <c r="D1067" s="19">
        <f>IF('Boletins Nuppa Site'!G1067&lt;&gt;0,'Boletins Nuppa Site'!G1067,"NULL")</f>
        <v>60</v>
      </c>
      <c r="E1067" s="19">
        <f>IF('Boletins Nuppa Site'!H1067&lt;&gt;0,'Boletins Nuppa Site'!H1067,"NULL")</f>
        <v>60</v>
      </c>
      <c r="F1067" s="19">
        <f>IF('Boletins Nuppa Site'!I1067&lt;&gt;0,'Boletins Nuppa Site'!I1067,"NULL")</f>
        <v>80</v>
      </c>
      <c r="G1067" s="19">
        <f>IF('Boletins Nuppa Site'!J1067&lt;&gt;0,'Boletins Nuppa Site'!J1067,"NULL")</f>
        <v>66</v>
      </c>
      <c r="H1067" s="19">
        <f>IF('Boletins Nuppa Site'!K1067&lt;&gt;0,'Boletins Nuppa Site'!K1067,"NULL")</f>
        <v>60</v>
      </c>
      <c r="J1067" s="1" t="str">
        <f t="shared" si="16"/>
        <v>INSERT INTO COTACAO (blt_id, pap_id, cot_prc_comum, cot_prc_min, cot_prc_max, cot_prc_med, cot_prc_mediana) VALUES (28, 34, 60, 60, 80, 66, 60);</v>
      </c>
    </row>
    <row r="1068" spans="1:10" x14ac:dyDescent="0.3">
      <c r="A1068" s="1">
        <v>1067</v>
      </c>
      <c r="B1068" s="1">
        <v>28</v>
      </c>
      <c r="C1068" s="1">
        <v>35</v>
      </c>
      <c r="D1068" s="1" t="str">
        <f>IF('Boletins Nuppa Site'!G1068&lt;&gt;0,'Boletins Nuppa Site'!G1068,"NULL")</f>
        <v>NULL</v>
      </c>
      <c r="E1068" s="19">
        <f>IF('Boletins Nuppa Site'!H1068&lt;&gt;0,'Boletins Nuppa Site'!H1068,"NULL")</f>
        <v>150</v>
      </c>
      <c r="F1068" s="19">
        <f>IF('Boletins Nuppa Site'!I1068&lt;&gt;0,'Boletins Nuppa Site'!I1068,"NULL")</f>
        <v>160</v>
      </c>
      <c r="G1068" s="19">
        <f>IF('Boletins Nuppa Site'!J1068&lt;&gt;0,'Boletins Nuppa Site'!J1068,"NULL")</f>
        <v>155</v>
      </c>
      <c r="H1068" s="19">
        <f>IF('Boletins Nuppa Site'!K1068&lt;&gt;0,'Boletins Nuppa Site'!K1068,"NULL")</f>
        <v>155</v>
      </c>
      <c r="J1068" s="1" t="str">
        <f t="shared" si="16"/>
        <v>INSERT INTO COTACAO (blt_id, pap_id, cot_prc_comum, cot_prc_min, cot_prc_max, cot_prc_med, cot_prc_mediana) VALUES (28, 35, NULL, 150, 160, 155, 155);</v>
      </c>
    </row>
    <row r="1069" spans="1:10" x14ac:dyDescent="0.3">
      <c r="A1069" s="1">
        <v>1068</v>
      </c>
      <c r="B1069" s="1">
        <v>28</v>
      </c>
      <c r="C1069" s="1">
        <v>36</v>
      </c>
      <c r="D1069" s="1" t="str">
        <f>IF('Boletins Nuppa Site'!G1069&lt;&gt;0,'Boletins Nuppa Site'!G1069,"NULL")</f>
        <v>NULL</v>
      </c>
      <c r="E1069" s="1" t="str">
        <f>IF('Boletins Nuppa Site'!H1069&lt;&gt;0,'Boletins Nuppa Site'!H1069,"NULL")</f>
        <v>NULL</v>
      </c>
      <c r="F1069" s="1" t="str">
        <f>IF('Boletins Nuppa Site'!I1069&lt;&gt;0,'Boletins Nuppa Site'!I1069,"NULL")</f>
        <v>NULL</v>
      </c>
      <c r="G1069" s="1" t="str">
        <f>IF('Boletins Nuppa Site'!J1069&lt;&gt;0,'Boletins Nuppa Site'!J1069,"NULL")</f>
        <v>NULL</v>
      </c>
      <c r="H1069" s="1" t="str">
        <f>IF('Boletins Nuppa Site'!K1069&lt;&gt;0,'Boletins Nuppa Site'!K1069,"NULL")</f>
        <v>NULL</v>
      </c>
      <c r="J1069" s="1" t="str">
        <f t="shared" si="16"/>
        <v>INSERT INTO COTACAO (blt_id, pap_id, cot_prc_comum, cot_prc_min, cot_prc_max, cot_prc_med, cot_prc_mediana) VALUES (28, 36, NULL, NULL, NULL, NULL, NULL);</v>
      </c>
    </row>
    <row r="1070" spans="1:10" x14ac:dyDescent="0.3">
      <c r="A1070" s="1">
        <v>1069</v>
      </c>
      <c r="B1070" s="1">
        <v>28</v>
      </c>
      <c r="C1070" s="1">
        <v>37</v>
      </c>
      <c r="D1070" s="1" t="str">
        <f>IF('Boletins Nuppa Site'!G1070&lt;&gt;0,'Boletins Nuppa Site'!G1070,"NULL")</f>
        <v>NULL</v>
      </c>
      <c r="E1070" s="1" t="str">
        <f>IF('Boletins Nuppa Site'!H1070&lt;&gt;0,'Boletins Nuppa Site'!H1070,"NULL")</f>
        <v>NULL</v>
      </c>
      <c r="F1070" s="1" t="str">
        <f>IF('Boletins Nuppa Site'!I1070&lt;&gt;0,'Boletins Nuppa Site'!I1070,"NULL")</f>
        <v>NULL</v>
      </c>
      <c r="G1070" s="1" t="str">
        <f>IF('Boletins Nuppa Site'!J1070&lt;&gt;0,'Boletins Nuppa Site'!J1070,"NULL")</f>
        <v>NULL</v>
      </c>
      <c r="H1070" s="1" t="str">
        <f>IF('Boletins Nuppa Site'!K1070&lt;&gt;0,'Boletins Nuppa Site'!K1070,"NULL")</f>
        <v>NULL</v>
      </c>
      <c r="J1070" s="1" t="str">
        <f t="shared" si="16"/>
        <v>INSERT INTO COTACAO (blt_id, pap_id, cot_prc_comum, cot_prc_min, cot_prc_max, cot_prc_med, cot_prc_mediana) VALUES (28, 37, NULL, NULL, NULL, NULL, NULL);</v>
      </c>
    </row>
    <row r="1071" spans="1:10" x14ac:dyDescent="0.3">
      <c r="A1071" s="1">
        <v>1070</v>
      </c>
      <c r="B1071" s="1">
        <v>28</v>
      </c>
      <c r="C1071" s="1">
        <v>38</v>
      </c>
      <c r="D1071" s="1" t="str">
        <f>IF('Boletins Nuppa Site'!G1071&lt;&gt;0,'Boletins Nuppa Site'!G1071,"NULL")</f>
        <v>NULL</v>
      </c>
      <c r="E1071" s="1" t="str">
        <f>IF('Boletins Nuppa Site'!H1071&lt;&gt;0,'Boletins Nuppa Site'!H1071,"NULL")</f>
        <v>NULL</v>
      </c>
      <c r="F1071" s="1" t="str">
        <f>IF('Boletins Nuppa Site'!I1071&lt;&gt;0,'Boletins Nuppa Site'!I1071,"NULL")</f>
        <v>NULL</v>
      </c>
      <c r="G1071" s="1" t="str">
        <f>IF('Boletins Nuppa Site'!J1071&lt;&gt;0,'Boletins Nuppa Site'!J1071,"NULL")</f>
        <v>NULL</v>
      </c>
      <c r="H1071" s="1" t="str">
        <f>IF('Boletins Nuppa Site'!K1071&lt;&gt;0,'Boletins Nuppa Site'!K1071,"NULL")</f>
        <v>NULL</v>
      </c>
      <c r="J1071" s="1" t="str">
        <f t="shared" si="16"/>
        <v>INSERT INTO COTACAO (blt_id, pap_id, cot_prc_comum, cot_prc_min, cot_prc_max, cot_prc_med, cot_prc_mediana) VALUES (28, 38, NULL, NULL, NULL, NULL, NULL);</v>
      </c>
    </row>
    <row r="1072" spans="1:10" x14ac:dyDescent="0.3">
      <c r="A1072" s="1">
        <v>1071</v>
      </c>
      <c r="B1072" s="1">
        <v>28</v>
      </c>
      <c r="C1072" s="1">
        <v>39</v>
      </c>
      <c r="D1072" s="1" t="str">
        <f>IF('Boletins Nuppa Site'!G1072&lt;&gt;0,'Boletins Nuppa Site'!G1072,"NULL")</f>
        <v>NULL</v>
      </c>
      <c r="E1072" s="19">
        <f>IF('Boletins Nuppa Site'!H1072&lt;&gt;0,'Boletins Nuppa Site'!H1072,"NULL")</f>
        <v>60</v>
      </c>
      <c r="F1072" s="19">
        <f>IF('Boletins Nuppa Site'!I1072&lt;&gt;0,'Boletins Nuppa Site'!I1072,"NULL")</f>
        <v>60</v>
      </c>
      <c r="G1072" s="19">
        <f>IF('Boletins Nuppa Site'!J1072&lt;&gt;0,'Boletins Nuppa Site'!J1072,"NULL")</f>
        <v>60</v>
      </c>
      <c r="H1072" s="19">
        <f>IF('Boletins Nuppa Site'!K1072&lt;&gt;0,'Boletins Nuppa Site'!K1072,"NULL")</f>
        <v>60</v>
      </c>
      <c r="J1072" s="1" t="str">
        <f t="shared" si="16"/>
        <v>INSERT INTO COTACAO (blt_id, pap_id, cot_prc_comum, cot_prc_min, cot_prc_max, cot_prc_med, cot_prc_mediana) VALUES (28, 39, NULL, 60, 60, 60, 60);</v>
      </c>
    </row>
    <row r="1073" spans="1:10" x14ac:dyDescent="0.3">
      <c r="A1073" s="1">
        <v>1072</v>
      </c>
      <c r="B1073" s="1">
        <v>28</v>
      </c>
      <c r="C1073" s="1">
        <v>40</v>
      </c>
      <c r="D1073" s="1" t="str">
        <f>IF('Boletins Nuppa Site'!G1073&lt;&gt;0,'Boletins Nuppa Site'!G1073,"NULL")</f>
        <v>NULL</v>
      </c>
      <c r="E1073" s="1" t="str">
        <f>IF('Boletins Nuppa Site'!H1073&lt;&gt;0,'Boletins Nuppa Site'!H1073,"NULL")</f>
        <v>NULL</v>
      </c>
      <c r="F1073" s="1" t="str">
        <f>IF('Boletins Nuppa Site'!I1073&lt;&gt;0,'Boletins Nuppa Site'!I1073,"NULL")</f>
        <v>NULL</v>
      </c>
      <c r="G1073" s="1" t="str">
        <f>IF('Boletins Nuppa Site'!J1073&lt;&gt;0,'Boletins Nuppa Site'!J1073,"NULL")</f>
        <v>NULL</v>
      </c>
      <c r="H1073" s="1" t="str">
        <f>IF('Boletins Nuppa Site'!K1073&lt;&gt;0,'Boletins Nuppa Site'!K1073,"NULL")</f>
        <v>NULL</v>
      </c>
      <c r="J1073" s="1" t="str">
        <f t="shared" si="16"/>
        <v>INSERT INTO COTACAO (blt_id, pap_id, cot_prc_comum, cot_prc_min, cot_prc_max, cot_prc_med, cot_prc_mediana) VALUES (28, 40, NULL, NULL, NULL, NULL, NULL);</v>
      </c>
    </row>
    <row r="1074" spans="1:10" x14ac:dyDescent="0.3">
      <c r="A1074" s="1">
        <v>1073</v>
      </c>
      <c r="B1074" s="1">
        <v>29</v>
      </c>
      <c r="C1074" s="1">
        <v>1</v>
      </c>
      <c r="D1074" s="19">
        <f>IF('Boletins Nuppa Site'!G1074&lt;&gt;0,'Boletins Nuppa Site'!G1074,"NULL")</f>
        <v>48</v>
      </c>
      <c r="E1074" s="19">
        <f>IF('Boletins Nuppa Site'!H1074&lt;&gt;0,'Boletins Nuppa Site'!H1074,"NULL")</f>
        <v>48</v>
      </c>
      <c r="F1074" s="19">
        <f>IF('Boletins Nuppa Site'!I1074&lt;&gt;0,'Boletins Nuppa Site'!I1074,"NULL")</f>
        <v>80</v>
      </c>
      <c r="G1074" s="19">
        <f>IF('Boletins Nuppa Site'!J1074&lt;&gt;0,'Boletins Nuppa Site'!J1074,"NULL")</f>
        <v>56</v>
      </c>
      <c r="H1074" s="19">
        <f>IF('Boletins Nuppa Site'!K1074&lt;&gt;0,'Boletins Nuppa Site'!K1074,"NULL")</f>
        <v>48</v>
      </c>
      <c r="J1074" s="1" t="str">
        <f t="shared" si="16"/>
        <v>INSERT INTO COTACAO (blt_id, pap_id, cot_prc_comum, cot_prc_min, cot_prc_max, cot_prc_med, cot_prc_mediana) VALUES (29, 1, 48, 48, 80, 56, 48);</v>
      </c>
    </row>
    <row r="1075" spans="1:10" x14ac:dyDescent="0.3">
      <c r="A1075" s="1">
        <v>1074</v>
      </c>
      <c r="B1075" s="1">
        <v>29</v>
      </c>
      <c r="C1075" s="1">
        <v>2</v>
      </c>
      <c r="D1075" s="19">
        <f>IF('Boletins Nuppa Site'!G1075&lt;&gt;0,'Boletins Nuppa Site'!G1075,"NULL")</f>
        <v>72</v>
      </c>
      <c r="E1075" s="19">
        <f>IF('Boletins Nuppa Site'!H1075&lt;&gt;0,'Boletins Nuppa Site'!H1075,"NULL")</f>
        <v>72</v>
      </c>
      <c r="F1075" s="19">
        <f>IF('Boletins Nuppa Site'!I1075&lt;&gt;0,'Boletins Nuppa Site'!I1075,"NULL")</f>
        <v>84</v>
      </c>
      <c r="G1075" s="19">
        <f>IF('Boletins Nuppa Site'!J1075&lt;&gt;0,'Boletins Nuppa Site'!J1075,"NULL")</f>
        <v>77</v>
      </c>
      <c r="H1075" s="19">
        <f>IF('Boletins Nuppa Site'!K1075&lt;&gt;0,'Boletins Nuppa Site'!K1075,"NULL")</f>
        <v>76</v>
      </c>
      <c r="J1075" s="1" t="str">
        <f t="shared" si="16"/>
        <v>INSERT INTO COTACAO (blt_id, pap_id, cot_prc_comum, cot_prc_min, cot_prc_max, cot_prc_med, cot_prc_mediana) VALUES (29, 2, 72, 72, 84, 77, 76);</v>
      </c>
    </row>
    <row r="1076" spans="1:10" x14ac:dyDescent="0.3">
      <c r="A1076" s="1">
        <v>1075</v>
      </c>
      <c r="B1076" s="1">
        <v>29</v>
      </c>
      <c r="C1076" s="1">
        <v>3</v>
      </c>
      <c r="D1076" s="19">
        <f>IF('Boletins Nuppa Site'!G1076&lt;&gt;0,'Boletins Nuppa Site'!G1076,"NULL")</f>
        <v>36</v>
      </c>
      <c r="E1076" s="19">
        <f>IF('Boletins Nuppa Site'!H1076&lt;&gt;0,'Boletins Nuppa Site'!H1076,"NULL")</f>
        <v>30</v>
      </c>
      <c r="F1076" s="19">
        <f>IF('Boletins Nuppa Site'!I1076&lt;&gt;0,'Boletins Nuppa Site'!I1076,"NULL")</f>
        <v>142</v>
      </c>
      <c r="G1076" s="1" t="str">
        <f>IF('Boletins Nuppa Site'!J1076&lt;&gt;0,'Boletins Nuppa Site'!J1076,"NULL")</f>
        <v>55.8</v>
      </c>
      <c r="H1076" s="19">
        <f>IF('Boletins Nuppa Site'!K1076&lt;&gt;0,'Boletins Nuppa Site'!K1076,"NULL")</f>
        <v>36</v>
      </c>
      <c r="J1076" s="1" t="str">
        <f t="shared" si="16"/>
        <v>INSERT INTO COTACAO (blt_id, pap_id, cot_prc_comum, cot_prc_min, cot_prc_max, cot_prc_med, cot_prc_mediana) VALUES (29, 3, 36, 30, 142, 55.8, 36);</v>
      </c>
    </row>
    <row r="1077" spans="1:10" x14ac:dyDescent="0.3">
      <c r="A1077" s="1">
        <v>1076</v>
      </c>
      <c r="B1077" s="1">
        <v>29</v>
      </c>
      <c r="C1077" s="1">
        <v>4</v>
      </c>
      <c r="D1077" s="19">
        <f>IF('Boletins Nuppa Site'!G1077&lt;&gt;0,'Boletins Nuppa Site'!G1077,"NULL")</f>
        <v>24</v>
      </c>
      <c r="E1077" s="19">
        <f>IF('Boletins Nuppa Site'!H1077&lt;&gt;0,'Boletins Nuppa Site'!H1077,"NULL")</f>
        <v>18</v>
      </c>
      <c r="F1077" s="19">
        <f>IF('Boletins Nuppa Site'!I1077&lt;&gt;0,'Boletins Nuppa Site'!I1077,"NULL")</f>
        <v>36</v>
      </c>
      <c r="G1077" s="1" t="str">
        <f>IF('Boletins Nuppa Site'!J1077&lt;&gt;0,'Boletins Nuppa Site'!J1077,"NULL")</f>
        <v>25.2</v>
      </c>
      <c r="H1077" s="19">
        <f>IF('Boletins Nuppa Site'!K1077&lt;&gt;0,'Boletins Nuppa Site'!K1077,"NULL")</f>
        <v>24</v>
      </c>
      <c r="J1077" s="1" t="str">
        <f t="shared" si="16"/>
        <v>INSERT INTO COTACAO (blt_id, pap_id, cot_prc_comum, cot_prc_min, cot_prc_max, cot_prc_med, cot_prc_mediana) VALUES (29, 4, 24, 18, 36, 25.2, 24);</v>
      </c>
    </row>
    <row r="1078" spans="1:10" x14ac:dyDescent="0.3">
      <c r="A1078" s="1">
        <v>1077</v>
      </c>
      <c r="B1078" s="1">
        <v>29</v>
      </c>
      <c r="C1078" s="1">
        <v>5</v>
      </c>
      <c r="D1078" s="19">
        <f>IF('Boletins Nuppa Site'!G1078&lt;&gt;0,'Boletins Nuppa Site'!G1078,"NULL")</f>
        <v>24</v>
      </c>
      <c r="E1078" s="19">
        <f>IF('Boletins Nuppa Site'!H1078&lt;&gt;0,'Boletins Nuppa Site'!H1078,"NULL")</f>
        <v>18</v>
      </c>
      <c r="F1078" s="19">
        <f>IF('Boletins Nuppa Site'!I1078&lt;&gt;0,'Boletins Nuppa Site'!I1078,"NULL")</f>
        <v>24</v>
      </c>
      <c r="G1078" s="1" t="str">
        <f>IF('Boletins Nuppa Site'!J1078&lt;&gt;0,'Boletins Nuppa Site'!J1078,"NULL")</f>
        <v>22.8</v>
      </c>
      <c r="H1078" s="19">
        <f>IF('Boletins Nuppa Site'!K1078&lt;&gt;0,'Boletins Nuppa Site'!K1078,"NULL")</f>
        <v>24</v>
      </c>
      <c r="J1078" s="1" t="str">
        <f t="shared" si="16"/>
        <v>INSERT INTO COTACAO (blt_id, pap_id, cot_prc_comum, cot_prc_min, cot_prc_max, cot_prc_med, cot_prc_mediana) VALUES (29, 5, 24, 18, 24, 22.8, 24);</v>
      </c>
    </row>
    <row r="1079" spans="1:10" x14ac:dyDescent="0.3">
      <c r="A1079" s="1">
        <v>1078</v>
      </c>
      <c r="B1079" s="1">
        <v>29</v>
      </c>
      <c r="C1079" s="1">
        <v>6</v>
      </c>
      <c r="D1079" s="19">
        <f>IF('Boletins Nuppa Site'!G1079&lt;&gt;0,'Boletins Nuppa Site'!G1079,"NULL")</f>
        <v>60</v>
      </c>
      <c r="E1079" s="19">
        <f>IF('Boletins Nuppa Site'!H1079&lt;&gt;0,'Boletins Nuppa Site'!H1079,"NULL")</f>
        <v>60</v>
      </c>
      <c r="F1079" s="19">
        <f>IF('Boletins Nuppa Site'!I1079&lt;&gt;0,'Boletins Nuppa Site'!I1079,"NULL")</f>
        <v>60</v>
      </c>
      <c r="G1079" s="19">
        <f>IF('Boletins Nuppa Site'!J1079&lt;&gt;0,'Boletins Nuppa Site'!J1079,"NULL")</f>
        <v>60</v>
      </c>
      <c r="H1079" s="19">
        <f>IF('Boletins Nuppa Site'!K1079&lt;&gt;0,'Boletins Nuppa Site'!K1079,"NULL")</f>
        <v>60</v>
      </c>
      <c r="J1079" s="1" t="str">
        <f t="shared" si="16"/>
        <v>INSERT INTO COTACAO (blt_id, pap_id, cot_prc_comum, cot_prc_min, cot_prc_max, cot_prc_med, cot_prc_mediana) VALUES (29, 6, 60, 60, 60, 60, 60);</v>
      </c>
    </row>
    <row r="1080" spans="1:10" x14ac:dyDescent="0.3">
      <c r="A1080" s="1">
        <v>1079</v>
      </c>
      <c r="B1080" s="1">
        <v>29</v>
      </c>
      <c r="C1080" s="1">
        <v>7</v>
      </c>
      <c r="D1080" s="19">
        <f>IF('Boletins Nuppa Site'!G1080&lt;&gt;0,'Boletins Nuppa Site'!G1080,"NULL")</f>
        <v>72</v>
      </c>
      <c r="E1080" s="19">
        <f>IF('Boletins Nuppa Site'!H1080&lt;&gt;0,'Boletins Nuppa Site'!H1080,"NULL")</f>
        <v>60</v>
      </c>
      <c r="F1080" s="19">
        <f>IF('Boletins Nuppa Site'!I1080&lt;&gt;0,'Boletins Nuppa Site'!I1080,"NULL")</f>
        <v>84</v>
      </c>
      <c r="G1080" s="19">
        <f>IF('Boletins Nuppa Site'!J1080&lt;&gt;0,'Boletins Nuppa Site'!J1080,"NULL")</f>
        <v>72</v>
      </c>
      <c r="H1080" s="19">
        <f>IF('Boletins Nuppa Site'!K1080&lt;&gt;0,'Boletins Nuppa Site'!K1080,"NULL")</f>
        <v>72</v>
      </c>
      <c r="J1080" s="1" t="str">
        <f t="shared" si="16"/>
        <v>INSERT INTO COTACAO (blt_id, pap_id, cot_prc_comum, cot_prc_min, cot_prc_max, cot_prc_med, cot_prc_mediana) VALUES (29, 7, 72, 60, 84, 72, 72);</v>
      </c>
    </row>
    <row r="1081" spans="1:10" x14ac:dyDescent="0.3">
      <c r="A1081" s="1">
        <v>1080</v>
      </c>
      <c r="B1081" s="1">
        <v>29</v>
      </c>
      <c r="C1081" s="1">
        <v>8</v>
      </c>
      <c r="D1081" s="19">
        <f>IF('Boletins Nuppa Site'!G1081&lt;&gt;0,'Boletins Nuppa Site'!G1081,"NULL")</f>
        <v>84</v>
      </c>
      <c r="E1081" s="19">
        <f>IF('Boletins Nuppa Site'!H1081&lt;&gt;0,'Boletins Nuppa Site'!H1081,"NULL")</f>
        <v>60</v>
      </c>
      <c r="F1081" s="19">
        <f>IF('Boletins Nuppa Site'!I1081&lt;&gt;0,'Boletins Nuppa Site'!I1081,"NULL")</f>
        <v>84</v>
      </c>
      <c r="G1081" s="1" t="str">
        <f>IF('Boletins Nuppa Site'!J1081&lt;&gt;0,'Boletins Nuppa Site'!J1081,"NULL")</f>
        <v>74.4</v>
      </c>
      <c r="H1081" s="19">
        <f>IF('Boletins Nuppa Site'!K1081&lt;&gt;0,'Boletins Nuppa Site'!K1081,"NULL")</f>
        <v>72</v>
      </c>
      <c r="J1081" s="1" t="str">
        <f t="shared" si="16"/>
        <v>INSERT INTO COTACAO (blt_id, pap_id, cot_prc_comum, cot_prc_min, cot_prc_max, cot_prc_med, cot_prc_mediana) VALUES (29, 8, 84, 60, 84, 74.4, 72);</v>
      </c>
    </row>
    <row r="1082" spans="1:10" x14ac:dyDescent="0.3">
      <c r="A1082" s="1">
        <v>1081</v>
      </c>
      <c r="B1082" s="1">
        <v>29</v>
      </c>
      <c r="C1082" s="1">
        <v>9</v>
      </c>
      <c r="D1082" s="19">
        <f>IF('Boletins Nuppa Site'!G1082&lt;&gt;0,'Boletins Nuppa Site'!G1082,"NULL")</f>
        <v>24</v>
      </c>
      <c r="E1082" s="19">
        <f>IF('Boletins Nuppa Site'!H1082&lt;&gt;0,'Boletins Nuppa Site'!H1082,"NULL")</f>
        <v>18</v>
      </c>
      <c r="F1082" s="19">
        <f>IF('Boletins Nuppa Site'!I1082&lt;&gt;0,'Boletins Nuppa Site'!I1082,"NULL")</f>
        <v>25</v>
      </c>
      <c r="G1082" s="1" t="str">
        <f>IF('Boletins Nuppa Site'!J1082&lt;&gt;0,'Boletins Nuppa Site'!J1082,"NULL")</f>
        <v>21.8</v>
      </c>
      <c r="H1082" s="19">
        <f>IF('Boletins Nuppa Site'!K1082&lt;&gt;0,'Boletins Nuppa Site'!K1082,"NULL")</f>
        <v>24</v>
      </c>
      <c r="J1082" s="1" t="str">
        <f t="shared" si="16"/>
        <v>INSERT INTO COTACAO (blt_id, pap_id, cot_prc_comum, cot_prc_min, cot_prc_max, cot_prc_med, cot_prc_mediana) VALUES (29, 9, 24, 18, 25, 21.8, 24);</v>
      </c>
    </row>
    <row r="1083" spans="1:10" x14ac:dyDescent="0.3">
      <c r="A1083" s="1">
        <v>1082</v>
      </c>
      <c r="B1083" s="1">
        <v>29</v>
      </c>
      <c r="C1083" s="1">
        <v>10</v>
      </c>
      <c r="D1083" s="19">
        <f>IF('Boletins Nuppa Site'!G1083&lt;&gt;0,'Boletins Nuppa Site'!G1083,"NULL")</f>
        <v>72</v>
      </c>
      <c r="E1083" s="19">
        <f>IF('Boletins Nuppa Site'!H1083&lt;&gt;0,'Boletins Nuppa Site'!H1083,"NULL")</f>
        <v>72</v>
      </c>
      <c r="F1083" s="19">
        <f>IF('Boletins Nuppa Site'!I1083&lt;&gt;0,'Boletins Nuppa Site'!I1083,"NULL")</f>
        <v>84</v>
      </c>
      <c r="G1083" s="19">
        <f>IF('Boletins Nuppa Site'!J1083&lt;&gt;0,'Boletins Nuppa Site'!J1083,"NULL")</f>
        <v>75</v>
      </c>
      <c r="H1083" s="19">
        <f>IF('Boletins Nuppa Site'!K1083&lt;&gt;0,'Boletins Nuppa Site'!K1083,"NULL")</f>
        <v>72</v>
      </c>
      <c r="J1083" s="1" t="str">
        <f t="shared" si="16"/>
        <v>INSERT INTO COTACAO (blt_id, pap_id, cot_prc_comum, cot_prc_min, cot_prc_max, cot_prc_med, cot_prc_mediana) VALUES (29, 10, 72, 72, 84, 75, 72);</v>
      </c>
    </row>
    <row r="1084" spans="1:10" x14ac:dyDescent="0.3">
      <c r="A1084" s="1">
        <v>1083</v>
      </c>
      <c r="B1084" s="1">
        <v>29</v>
      </c>
      <c r="C1084" s="1">
        <v>11</v>
      </c>
      <c r="D1084" s="19">
        <f>IF('Boletins Nuppa Site'!G1084&lt;&gt;0,'Boletins Nuppa Site'!G1084,"NULL")</f>
        <v>24</v>
      </c>
      <c r="E1084" s="19">
        <f>IF('Boletins Nuppa Site'!H1084&lt;&gt;0,'Boletins Nuppa Site'!H1084,"NULL")</f>
        <v>18</v>
      </c>
      <c r="F1084" s="19">
        <f>IF('Boletins Nuppa Site'!I1084&lt;&gt;0,'Boletins Nuppa Site'!I1084,"NULL")</f>
        <v>24</v>
      </c>
      <c r="G1084" s="1" t="str">
        <f>IF('Boletins Nuppa Site'!J1084&lt;&gt;0,'Boletins Nuppa Site'!J1084,"NULL")</f>
        <v>22.8</v>
      </c>
      <c r="H1084" s="19">
        <f>IF('Boletins Nuppa Site'!K1084&lt;&gt;0,'Boletins Nuppa Site'!K1084,"NULL")</f>
        <v>24</v>
      </c>
      <c r="J1084" s="1" t="str">
        <f t="shared" si="16"/>
        <v>INSERT INTO COTACAO (blt_id, pap_id, cot_prc_comum, cot_prc_min, cot_prc_max, cot_prc_med, cot_prc_mediana) VALUES (29, 11, 24, 18, 24, 22.8, 24);</v>
      </c>
    </row>
    <row r="1085" spans="1:10" x14ac:dyDescent="0.3">
      <c r="A1085" s="1">
        <v>1084</v>
      </c>
      <c r="B1085" s="1">
        <v>29</v>
      </c>
      <c r="C1085" s="1">
        <v>12</v>
      </c>
      <c r="D1085" s="19">
        <f>IF('Boletins Nuppa Site'!G1085&lt;&gt;0,'Boletins Nuppa Site'!G1085,"NULL")</f>
        <v>60</v>
      </c>
      <c r="E1085" s="19">
        <f>IF('Boletins Nuppa Site'!H1085&lt;&gt;0,'Boletins Nuppa Site'!H1085,"NULL")</f>
        <v>60</v>
      </c>
      <c r="F1085" s="19">
        <f>IF('Boletins Nuppa Site'!I1085&lt;&gt;0,'Boletins Nuppa Site'!I1085,"NULL")</f>
        <v>72</v>
      </c>
      <c r="G1085" s="19">
        <f>IF('Boletins Nuppa Site'!J1085&lt;&gt;0,'Boletins Nuppa Site'!J1085,"NULL")</f>
        <v>63</v>
      </c>
      <c r="H1085" s="19">
        <f>IF('Boletins Nuppa Site'!K1085&lt;&gt;0,'Boletins Nuppa Site'!K1085,"NULL")</f>
        <v>60</v>
      </c>
      <c r="J1085" s="1" t="str">
        <f t="shared" si="16"/>
        <v>INSERT INTO COTACAO (blt_id, pap_id, cot_prc_comum, cot_prc_min, cot_prc_max, cot_prc_med, cot_prc_mediana) VALUES (29, 12, 60, 60, 72, 63, 60);</v>
      </c>
    </row>
    <row r="1086" spans="1:10" x14ac:dyDescent="0.3">
      <c r="A1086" s="1">
        <v>1085</v>
      </c>
      <c r="B1086" s="1">
        <v>29</v>
      </c>
      <c r="C1086" s="1">
        <v>13</v>
      </c>
      <c r="D1086" s="19">
        <f>IF('Boletins Nuppa Site'!G1086&lt;&gt;0,'Boletins Nuppa Site'!G1086,"NULL")</f>
        <v>60</v>
      </c>
      <c r="E1086" s="19">
        <f>IF('Boletins Nuppa Site'!H1086&lt;&gt;0,'Boletins Nuppa Site'!H1086,"NULL")</f>
        <v>48</v>
      </c>
      <c r="F1086" s="19">
        <f>IF('Boletins Nuppa Site'!I1086&lt;&gt;0,'Boletins Nuppa Site'!I1086,"NULL")</f>
        <v>60</v>
      </c>
      <c r="G1086" s="1" t="str">
        <f>IF('Boletins Nuppa Site'!J1086&lt;&gt;0,'Boletins Nuppa Site'!J1086,"NULL")</f>
        <v>55.2</v>
      </c>
      <c r="H1086" s="19">
        <f>IF('Boletins Nuppa Site'!K1086&lt;&gt;0,'Boletins Nuppa Site'!K1086,"NULL")</f>
        <v>60</v>
      </c>
      <c r="J1086" s="1" t="str">
        <f t="shared" si="16"/>
        <v>INSERT INTO COTACAO (blt_id, pap_id, cot_prc_comum, cot_prc_min, cot_prc_max, cot_prc_med, cot_prc_mediana) VALUES (29, 13, 60, 48, 60, 55.2, 60);</v>
      </c>
    </row>
    <row r="1087" spans="1:10" x14ac:dyDescent="0.3">
      <c r="A1087" s="1">
        <v>1086</v>
      </c>
      <c r="B1087" s="1">
        <v>29</v>
      </c>
      <c r="C1087" s="1">
        <v>14</v>
      </c>
      <c r="D1087" s="19">
        <f>IF('Boletins Nuppa Site'!G1087&lt;&gt;0,'Boletins Nuppa Site'!G1087,"NULL")</f>
        <v>48</v>
      </c>
      <c r="E1087" s="19">
        <f>IF('Boletins Nuppa Site'!H1087&lt;&gt;0,'Boletins Nuppa Site'!H1087,"NULL")</f>
        <v>45</v>
      </c>
      <c r="F1087" s="19">
        <f>IF('Boletins Nuppa Site'!I1087&lt;&gt;0,'Boletins Nuppa Site'!I1087,"NULL")</f>
        <v>72</v>
      </c>
      <c r="G1087" s="1" t="str">
        <f>IF('Boletins Nuppa Site'!J1087&lt;&gt;0,'Boletins Nuppa Site'!J1087,"NULL")</f>
        <v>53.25</v>
      </c>
      <c r="H1087" s="19">
        <f>IF('Boletins Nuppa Site'!K1087&lt;&gt;0,'Boletins Nuppa Site'!K1087,"NULL")</f>
        <v>48</v>
      </c>
      <c r="J1087" s="1" t="str">
        <f t="shared" si="16"/>
        <v>INSERT INTO COTACAO (blt_id, pap_id, cot_prc_comum, cot_prc_min, cot_prc_max, cot_prc_med, cot_prc_mediana) VALUES (29, 14, 48, 45, 72, 53.25, 48);</v>
      </c>
    </row>
    <row r="1088" spans="1:10" x14ac:dyDescent="0.3">
      <c r="A1088" s="1">
        <v>1087</v>
      </c>
      <c r="B1088" s="1">
        <v>29</v>
      </c>
      <c r="C1088" s="1">
        <v>15</v>
      </c>
      <c r="D1088" s="19">
        <f>IF('Boletins Nuppa Site'!G1088&lt;&gt;0,'Boletins Nuppa Site'!G1088,"NULL")</f>
        <v>40</v>
      </c>
      <c r="E1088" s="19">
        <f>IF('Boletins Nuppa Site'!H1088&lt;&gt;0,'Boletins Nuppa Site'!H1088,"NULL")</f>
        <v>36</v>
      </c>
      <c r="F1088" s="19">
        <f>IF('Boletins Nuppa Site'!I1088&lt;&gt;0,'Boletins Nuppa Site'!I1088,"NULL")</f>
        <v>42</v>
      </c>
      <c r="G1088" s="1" t="str">
        <f>IF('Boletins Nuppa Site'!J1088&lt;&gt;0,'Boletins Nuppa Site'!J1088,"NULL")</f>
        <v>38.8</v>
      </c>
      <c r="H1088" s="19">
        <f>IF('Boletins Nuppa Site'!K1088&lt;&gt;0,'Boletins Nuppa Site'!K1088,"NULL")</f>
        <v>40</v>
      </c>
      <c r="J1088" s="1" t="str">
        <f t="shared" si="16"/>
        <v>INSERT INTO COTACAO (blt_id, pap_id, cot_prc_comum, cot_prc_min, cot_prc_max, cot_prc_med, cot_prc_mediana) VALUES (29, 15, 40, 36, 42, 38.8, 40);</v>
      </c>
    </row>
    <row r="1089" spans="1:10" x14ac:dyDescent="0.3">
      <c r="A1089" s="1">
        <v>1088</v>
      </c>
      <c r="B1089" s="1">
        <v>29</v>
      </c>
      <c r="C1089" s="1">
        <v>16</v>
      </c>
      <c r="D1089" s="19">
        <f>IF('Boletins Nuppa Site'!G1089&lt;&gt;0,'Boletins Nuppa Site'!G1089,"NULL")</f>
        <v>48</v>
      </c>
      <c r="E1089" s="19">
        <f>IF('Boletins Nuppa Site'!H1089&lt;&gt;0,'Boletins Nuppa Site'!H1089,"NULL")</f>
        <v>48</v>
      </c>
      <c r="F1089" s="19">
        <f>IF('Boletins Nuppa Site'!I1089&lt;&gt;0,'Boletins Nuppa Site'!I1089,"NULL")</f>
        <v>54</v>
      </c>
      <c r="G1089" s="1" t="str">
        <f>IF('Boletins Nuppa Site'!J1089&lt;&gt;0,'Boletins Nuppa Site'!J1089,"NULL")</f>
        <v>49.2</v>
      </c>
      <c r="H1089" s="19">
        <f>IF('Boletins Nuppa Site'!K1089&lt;&gt;0,'Boletins Nuppa Site'!K1089,"NULL")</f>
        <v>48</v>
      </c>
      <c r="J1089" s="1" t="str">
        <f t="shared" si="16"/>
        <v>INSERT INTO COTACAO (blt_id, pap_id, cot_prc_comum, cot_prc_min, cot_prc_max, cot_prc_med, cot_prc_mediana) VALUES (29, 16, 48, 48, 54, 49.2, 48);</v>
      </c>
    </row>
    <row r="1090" spans="1:10" x14ac:dyDescent="0.3">
      <c r="A1090" s="1">
        <v>1089</v>
      </c>
      <c r="B1090" s="1">
        <v>29</v>
      </c>
      <c r="C1090" s="1">
        <v>17</v>
      </c>
      <c r="D1090" s="19">
        <f>IF('Boletins Nuppa Site'!G1090&lt;&gt;0,'Boletins Nuppa Site'!G1090,"NULL")</f>
        <v>48</v>
      </c>
      <c r="E1090" s="19">
        <f>IF('Boletins Nuppa Site'!H1090&lt;&gt;0,'Boletins Nuppa Site'!H1090,"NULL")</f>
        <v>48</v>
      </c>
      <c r="F1090" s="19">
        <f>IF('Boletins Nuppa Site'!I1090&lt;&gt;0,'Boletins Nuppa Site'!I1090,"NULL")</f>
        <v>80</v>
      </c>
      <c r="G1090" s="19">
        <f>IF('Boletins Nuppa Site'!J1090&lt;&gt;0,'Boletins Nuppa Site'!J1090,"NULL")</f>
        <v>56</v>
      </c>
      <c r="H1090" s="19">
        <f>IF('Boletins Nuppa Site'!K1090&lt;&gt;0,'Boletins Nuppa Site'!K1090,"NULL")</f>
        <v>48</v>
      </c>
      <c r="J1090" s="1" t="str">
        <f t="shared" ref="J1090:J1153" si="17">"INSERT INTO COTACAO (blt_id, pap_id, cot_prc_comum, cot_prc_min, cot_prc_max, cot_prc_med, cot_prc_mediana) VALUES ("&amp;B1090&amp;", "&amp;C1090&amp;", "&amp;D1090&amp;", "&amp;E1090&amp;", "&amp;F1090&amp;", "&amp;G1090&amp;", "&amp;H1090&amp;");"</f>
        <v>INSERT INTO COTACAO (blt_id, pap_id, cot_prc_comum, cot_prc_min, cot_prc_max, cot_prc_med, cot_prc_mediana) VALUES (29, 17, 48, 48, 80, 56, 48);</v>
      </c>
    </row>
    <row r="1091" spans="1:10" x14ac:dyDescent="0.3">
      <c r="A1091" s="1">
        <v>1090</v>
      </c>
      <c r="B1091" s="1">
        <v>29</v>
      </c>
      <c r="C1091" s="1">
        <v>18</v>
      </c>
      <c r="D1091" s="19">
        <f>IF('Boletins Nuppa Site'!G1091&lt;&gt;0,'Boletins Nuppa Site'!G1091,"NULL")</f>
        <v>72</v>
      </c>
      <c r="E1091" s="19">
        <f>IF('Boletins Nuppa Site'!H1091&lt;&gt;0,'Boletins Nuppa Site'!H1091,"NULL")</f>
        <v>72</v>
      </c>
      <c r="F1091" s="19">
        <f>IF('Boletins Nuppa Site'!I1091&lt;&gt;0,'Boletins Nuppa Site'!I1091,"NULL")</f>
        <v>84</v>
      </c>
      <c r="G1091" s="19">
        <f>IF('Boletins Nuppa Site'!J1091&lt;&gt;0,'Boletins Nuppa Site'!J1091,"NULL")</f>
        <v>77</v>
      </c>
      <c r="H1091" s="19">
        <f>IF('Boletins Nuppa Site'!K1091&lt;&gt;0,'Boletins Nuppa Site'!K1091,"NULL")</f>
        <v>76</v>
      </c>
      <c r="J1091" s="1" t="str">
        <f t="shared" si="17"/>
        <v>INSERT INTO COTACAO (blt_id, pap_id, cot_prc_comum, cot_prc_min, cot_prc_max, cot_prc_med, cot_prc_mediana) VALUES (29, 18, 72, 72, 84, 77, 76);</v>
      </c>
    </row>
    <row r="1092" spans="1:10" x14ac:dyDescent="0.3">
      <c r="A1092" s="1">
        <v>1091</v>
      </c>
      <c r="B1092" s="1">
        <v>29</v>
      </c>
      <c r="C1092" s="1">
        <v>19</v>
      </c>
      <c r="D1092" s="19">
        <f>IF('Boletins Nuppa Site'!G1092&lt;&gt;0,'Boletins Nuppa Site'!G1092,"NULL")</f>
        <v>36</v>
      </c>
      <c r="E1092" s="19">
        <f>IF('Boletins Nuppa Site'!H1092&lt;&gt;0,'Boletins Nuppa Site'!H1092,"NULL")</f>
        <v>30</v>
      </c>
      <c r="F1092" s="19">
        <f>IF('Boletins Nuppa Site'!I1092&lt;&gt;0,'Boletins Nuppa Site'!I1092,"NULL")</f>
        <v>142</v>
      </c>
      <c r="G1092" s="1" t="str">
        <f>IF('Boletins Nuppa Site'!J1092&lt;&gt;0,'Boletins Nuppa Site'!J1092,"NULL")</f>
        <v>55.8</v>
      </c>
      <c r="H1092" s="19">
        <f>IF('Boletins Nuppa Site'!K1092&lt;&gt;0,'Boletins Nuppa Site'!K1092,"NULL")</f>
        <v>36</v>
      </c>
      <c r="J1092" s="1" t="str">
        <f t="shared" si="17"/>
        <v>INSERT INTO COTACAO (blt_id, pap_id, cot_prc_comum, cot_prc_min, cot_prc_max, cot_prc_med, cot_prc_mediana) VALUES (29, 19, 36, 30, 142, 55.8, 36);</v>
      </c>
    </row>
    <row r="1093" spans="1:10" x14ac:dyDescent="0.3">
      <c r="A1093" s="1">
        <v>1092</v>
      </c>
      <c r="B1093" s="1">
        <v>29</v>
      </c>
      <c r="C1093" s="1">
        <v>20</v>
      </c>
      <c r="D1093" s="1" t="str">
        <f>IF('Boletins Nuppa Site'!G1093&lt;&gt;0,'Boletins Nuppa Site'!G1093,"NULL")</f>
        <v>NULL</v>
      </c>
      <c r="E1093" s="19">
        <f>IF('Boletins Nuppa Site'!H1093&lt;&gt;0,'Boletins Nuppa Site'!H1093,"NULL")</f>
        <v>70</v>
      </c>
      <c r="F1093" s="19">
        <f>IF('Boletins Nuppa Site'!I1093&lt;&gt;0,'Boletins Nuppa Site'!I1093,"NULL")</f>
        <v>70</v>
      </c>
      <c r="G1093" s="19">
        <f>IF('Boletins Nuppa Site'!J1093&lt;&gt;0,'Boletins Nuppa Site'!J1093,"NULL")</f>
        <v>70</v>
      </c>
      <c r="H1093" s="19">
        <f>IF('Boletins Nuppa Site'!K1093&lt;&gt;0,'Boletins Nuppa Site'!K1093,"NULL")</f>
        <v>70</v>
      </c>
      <c r="J1093" s="1" t="str">
        <f t="shared" si="17"/>
        <v>INSERT INTO COTACAO (blt_id, pap_id, cot_prc_comum, cot_prc_min, cot_prc_max, cot_prc_med, cot_prc_mediana) VALUES (29, 20, NULL, 70, 70, 70, 70);</v>
      </c>
    </row>
    <row r="1094" spans="1:10" x14ac:dyDescent="0.3">
      <c r="A1094" s="1">
        <v>1093</v>
      </c>
      <c r="B1094" s="1">
        <v>29</v>
      </c>
      <c r="C1094" s="1">
        <v>21</v>
      </c>
      <c r="D1094" s="19">
        <f>IF('Boletins Nuppa Site'!G1094&lt;&gt;0,'Boletins Nuppa Site'!G1094,"NULL")</f>
        <v>80</v>
      </c>
      <c r="E1094" s="19">
        <f>IF('Boletins Nuppa Site'!H1094&lt;&gt;0,'Boletins Nuppa Site'!H1094,"NULL")</f>
        <v>70</v>
      </c>
      <c r="F1094" s="19">
        <f>IF('Boletins Nuppa Site'!I1094&lt;&gt;0,'Boletins Nuppa Site'!I1094,"NULL")</f>
        <v>80</v>
      </c>
      <c r="G1094" s="19">
        <f>IF('Boletins Nuppa Site'!J1094&lt;&gt;0,'Boletins Nuppa Site'!J1094,"NULL")</f>
        <v>75</v>
      </c>
      <c r="H1094" s="19">
        <f>IF('Boletins Nuppa Site'!K1094&lt;&gt;0,'Boletins Nuppa Site'!K1094,"NULL")</f>
        <v>75</v>
      </c>
      <c r="J1094" s="1" t="str">
        <f t="shared" si="17"/>
        <v>INSERT INTO COTACAO (blt_id, pap_id, cot_prc_comum, cot_prc_min, cot_prc_max, cot_prc_med, cot_prc_mediana) VALUES (29, 21, 80, 70, 80, 75, 75);</v>
      </c>
    </row>
    <row r="1095" spans="1:10" x14ac:dyDescent="0.3">
      <c r="A1095" s="1">
        <v>1094</v>
      </c>
      <c r="B1095" s="1">
        <v>29</v>
      </c>
      <c r="C1095" s="1">
        <v>22</v>
      </c>
      <c r="D1095" s="19">
        <f>IF('Boletins Nuppa Site'!G1095&lt;&gt;0,'Boletins Nuppa Site'!G1095,"NULL")</f>
        <v>70</v>
      </c>
      <c r="E1095" s="19">
        <f>IF('Boletins Nuppa Site'!H1095&lt;&gt;0,'Boletins Nuppa Site'!H1095,"NULL")</f>
        <v>30</v>
      </c>
      <c r="F1095" s="19">
        <f>IF('Boletins Nuppa Site'!I1095&lt;&gt;0,'Boletins Nuppa Site'!I1095,"NULL")</f>
        <v>70</v>
      </c>
      <c r="G1095" s="19">
        <f>IF('Boletins Nuppa Site'!J1095&lt;&gt;0,'Boletins Nuppa Site'!J1095,"NULL")</f>
        <v>53</v>
      </c>
      <c r="H1095" s="19">
        <f>IF('Boletins Nuppa Site'!K1095&lt;&gt;0,'Boletins Nuppa Site'!K1095,"NULL")</f>
        <v>50</v>
      </c>
      <c r="J1095" s="1" t="str">
        <f t="shared" si="17"/>
        <v>INSERT INTO COTACAO (blt_id, pap_id, cot_prc_comum, cot_prc_min, cot_prc_max, cot_prc_med, cot_prc_mediana) VALUES (29, 22, 70, 30, 70, 53, 50);</v>
      </c>
    </row>
    <row r="1096" spans="1:10" x14ac:dyDescent="0.3">
      <c r="A1096" s="1">
        <v>1095</v>
      </c>
      <c r="B1096" s="1">
        <v>29</v>
      </c>
      <c r="C1096" s="1">
        <v>23</v>
      </c>
      <c r="D1096" s="19">
        <f>IF('Boletins Nuppa Site'!G1096&lt;&gt;0,'Boletins Nuppa Site'!G1096,"NULL")</f>
        <v>50</v>
      </c>
      <c r="E1096" s="19">
        <f>IF('Boletins Nuppa Site'!H1096&lt;&gt;0,'Boletins Nuppa Site'!H1096,"NULL")</f>
        <v>45</v>
      </c>
      <c r="F1096" s="19">
        <f>IF('Boletins Nuppa Site'!I1096&lt;&gt;0,'Boletins Nuppa Site'!I1096,"NULL")</f>
        <v>60</v>
      </c>
      <c r="G1096" s="1" t="str">
        <f>IF('Boletins Nuppa Site'!J1096&lt;&gt;0,'Boletins Nuppa Site'!J1096,"NULL")</f>
        <v>51.25</v>
      </c>
      <c r="H1096" s="19">
        <f>IF('Boletins Nuppa Site'!K1096&lt;&gt;0,'Boletins Nuppa Site'!K1096,"NULL")</f>
        <v>50</v>
      </c>
      <c r="J1096" s="1" t="str">
        <f t="shared" si="17"/>
        <v>INSERT INTO COTACAO (blt_id, pap_id, cot_prc_comum, cot_prc_min, cot_prc_max, cot_prc_med, cot_prc_mediana) VALUES (29, 23, 50, 45, 60, 51.25, 50);</v>
      </c>
    </row>
    <row r="1097" spans="1:10" x14ac:dyDescent="0.3">
      <c r="A1097" s="1">
        <v>1096</v>
      </c>
      <c r="B1097" s="1">
        <v>29</v>
      </c>
      <c r="C1097" s="1">
        <v>24</v>
      </c>
      <c r="D1097" s="1" t="str">
        <f>IF('Boletins Nuppa Site'!G1097&lt;&gt;0,'Boletins Nuppa Site'!G1097,"NULL")</f>
        <v>NULL</v>
      </c>
      <c r="E1097" s="19">
        <f>IF('Boletins Nuppa Site'!H1097&lt;&gt;0,'Boletins Nuppa Site'!H1097,"NULL")</f>
        <v>90</v>
      </c>
      <c r="F1097" s="19">
        <f>IF('Boletins Nuppa Site'!I1097&lt;&gt;0,'Boletins Nuppa Site'!I1097,"NULL")</f>
        <v>100</v>
      </c>
      <c r="G1097" s="19">
        <f>IF('Boletins Nuppa Site'!J1097&lt;&gt;0,'Boletins Nuppa Site'!J1097,"NULL")</f>
        <v>95</v>
      </c>
      <c r="H1097" s="19">
        <f>IF('Boletins Nuppa Site'!K1097&lt;&gt;0,'Boletins Nuppa Site'!K1097,"NULL")</f>
        <v>95</v>
      </c>
      <c r="J1097" s="1" t="str">
        <f t="shared" si="17"/>
        <v>INSERT INTO COTACAO (blt_id, pap_id, cot_prc_comum, cot_prc_min, cot_prc_max, cot_prc_med, cot_prc_mediana) VALUES (29, 24, NULL, 90, 100, 95, 95);</v>
      </c>
    </row>
    <row r="1098" spans="1:10" x14ac:dyDescent="0.3">
      <c r="A1098" s="1">
        <v>1097</v>
      </c>
      <c r="B1098" s="1">
        <v>29</v>
      </c>
      <c r="C1098" s="1">
        <v>25</v>
      </c>
      <c r="D1098" s="19">
        <f>IF('Boletins Nuppa Site'!G1098&lt;&gt;0,'Boletins Nuppa Site'!G1098,"NULL")</f>
        <v>70</v>
      </c>
      <c r="E1098" s="19">
        <f>IF('Boletins Nuppa Site'!H1098&lt;&gt;0,'Boletins Nuppa Site'!H1098,"NULL")</f>
        <v>60</v>
      </c>
      <c r="F1098" s="19">
        <f>IF('Boletins Nuppa Site'!I1098&lt;&gt;0,'Boletins Nuppa Site'!I1098,"NULL")</f>
        <v>70</v>
      </c>
      <c r="G1098" s="19">
        <f>IF('Boletins Nuppa Site'!J1098&lt;&gt;0,'Boletins Nuppa Site'!J1098,"NULL")</f>
        <v>65</v>
      </c>
      <c r="H1098" s="19">
        <f>IF('Boletins Nuppa Site'!K1098&lt;&gt;0,'Boletins Nuppa Site'!K1098,"NULL")</f>
        <v>65</v>
      </c>
      <c r="J1098" s="1" t="str">
        <f t="shared" si="17"/>
        <v>INSERT INTO COTACAO (blt_id, pap_id, cot_prc_comum, cot_prc_min, cot_prc_max, cot_prc_med, cot_prc_mediana) VALUES (29, 25, 70, 60, 70, 65, 65);</v>
      </c>
    </row>
    <row r="1099" spans="1:10" x14ac:dyDescent="0.3">
      <c r="A1099" s="1">
        <v>1098</v>
      </c>
      <c r="B1099" s="1">
        <v>29</v>
      </c>
      <c r="C1099" s="1">
        <v>26</v>
      </c>
      <c r="D1099" s="19">
        <f>IF('Boletins Nuppa Site'!G1099&lt;&gt;0,'Boletins Nuppa Site'!G1099,"NULL")</f>
        <v>60</v>
      </c>
      <c r="E1099" s="19">
        <f>IF('Boletins Nuppa Site'!H1099&lt;&gt;0,'Boletins Nuppa Site'!H1099,"NULL")</f>
        <v>45</v>
      </c>
      <c r="F1099" s="19">
        <f>IF('Boletins Nuppa Site'!I1099&lt;&gt;0,'Boletins Nuppa Site'!I1099,"NULL")</f>
        <v>60</v>
      </c>
      <c r="G1099" s="1" t="str">
        <f>IF('Boletins Nuppa Site'!J1099&lt;&gt;0,'Boletins Nuppa Site'!J1099,"NULL")</f>
        <v>53.75</v>
      </c>
      <c r="H1099" s="19">
        <f>IF('Boletins Nuppa Site'!K1099&lt;&gt;0,'Boletins Nuppa Site'!K1099,"NULL")</f>
        <v>55</v>
      </c>
      <c r="J1099" s="1" t="str">
        <f t="shared" si="17"/>
        <v>INSERT INTO COTACAO (blt_id, pap_id, cot_prc_comum, cot_prc_min, cot_prc_max, cot_prc_med, cot_prc_mediana) VALUES (29, 26, 60, 45, 60, 53.75, 55);</v>
      </c>
    </row>
    <row r="1100" spans="1:10" x14ac:dyDescent="0.3">
      <c r="A1100" s="1">
        <v>1099</v>
      </c>
      <c r="B1100" s="1">
        <v>29</v>
      </c>
      <c r="C1100" s="1">
        <v>27</v>
      </c>
      <c r="D1100" s="1" t="str">
        <f>IF('Boletins Nuppa Site'!G1100&lt;&gt;0,'Boletins Nuppa Site'!G1100,"NULL")</f>
        <v>NULL</v>
      </c>
      <c r="E1100" s="19">
        <f>IF('Boletins Nuppa Site'!H1100&lt;&gt;0,'Boletins Nuppa Site'!H1100,"NULL")</f>
        <v>50</v>
      </c>
      <c r="F1100" s="19">
        <f>IF('Boletins Nuppa Site'!I1100&lt;&gt;0,'Boletins Nuppa Site'!I1100,"NULL")</f>
        <v>70</v>
      </c>
      <c r="G1100" s="1" t="str">
        <f>IF('Boletins Nuppa Site'!J1100&lt;&gt;0,'Boletins Nuppa Site'!J1100,"NULL")</f>
        <v>61.25</v>
      </c>
      <c r="H1100" s="1" t="str">
        <f>IF('Boletins Nuppa Site'!K1100&lt;&gt;0,'Boletins Nuppa Site'!K1100,"NULL")</f>
        <v>62.5</v>
      </c>
      <c r="J1100" s="1" t="str">
        <f t="shared" si="17"/>
        <v>INSERT INTO COTACAO (blt_id, pap_id, cot_prc_comum, cot_prc_min, cot_prc_max, cot_prc_med, cot_prc_mediana) VALUES (29, 27, NULL, 50, 70, 61.25, 62.5);</v>
      </c>
    </row>
    <row r="1101" spans="1:10" x14ac:dyDescent="0.3">
      <c r="A1101" s="1">
        <v>1100</v>
      </c>
      <c r="B1101" s="1">
        <v>29</v>
      </c>
      <c r="C1101" s="1">
        <v>28</v>
      </c>
      <c r="D1101" s="1" t="str">
        <f>IF('Boletins Nuppa Site'!G1101&lt;&gt;0,'Boletins Nuppa Site'!G1101,"NULL")</f>
        <v>NULL</v>
      </c>
      <c r="E1101" s="19">
        <f>IF('Boletins Nuppa Site'!H1101&lt;&gt;0,'Boletins Nuppa Site'!H1101,"NULL")</f>
        <v>70</v>
      </c>
      <c r="F1101" s="19">
        <f>IF('Boletins Nuppa Site'!I1101&lt;&gt;0,'Boletins Nuppa Site'!I1101,"NULL")</f>
        <v>100</v>
      </c>
      <c r="G1101" s="1" t="str">
        <f>IF('Boletins Nuppa Site'!J1101&lt;&gt;0,'Boletins Nuppa Site'!J1101,"NULL")</f>
        <v>86.67</v>
      </c>
      <c r="H1101" s="19">
        <f>IF('Boletins Nuppa Site'!K1101&lt;&gt;0,'Boletins Nuppa Site'!K1101,"NULL")</f>
        <v>90</v>
      </c>
      <c r="J1101" s="1" t="str">
        <f t="shared" si="17"/>
        <v>INSERT INTO COTACAO (blt_id, pap_id, cot_prc_comum, cot_prc_min, cot_prc_max, cot_prc_med, cot_prc_mediana) VALUES (29, 28, NULL, 70, 100, 86.67, 90);</v>
      </c>
    </row>
    <row r="1102" spans="1:10" x14ac:dyDescent="0.3">
      <c r="A1102" s="1">
        <v>1101</v>
      </c>
      <c r="B1102" s="1">
        <v>29</v>
      </c>
      <c r="C1102" s="1">
        <v>29</v>
      </c>
      <c r="D1102" s="1" t="str">
        <f>IF('Boletins Nuppa Site'!G1102&lt;&gt;0,'Boletins Nuppa Site'!G1102,"NULL")</f>
        <v>NULL</v>
      </c>
      <c r="E1102" s="19">
        <f>IF('Boletins Nuppa Site'!H1102&lt;&gt;0,'Boletins Nuppa Site'!H1102,"NULL")</f>
        <v>60</v>
      </c>
      <c r="F1102" s="19">
        <f>IF('Boletins Nuppa Site'!I1102&lt;&gt;0,'Boletins Nuppa Site'!I1102,"NULL")</f>
        <v>65</v>
      </c>
      <c r="G1102" s="1" t="str">
        <f>IF('Boletins Nuppa Site'!J1102&lt;&gt;0,'Boletins Nuppa Site'!J1102,"NULL")</f>
        <v>62.5</v>
      </c>
      <c r="H1102" s="1" t="str">
        <f>IF('Boletins Nuppa Site'!K1102&lt;&gt;0,'Boletins Nuppa Site'!K1102,"NULL")</f>
        <v>62.5</v>
      </c>
      <c r="J1102" s="1" t="str">
        <f t="shared" si="17"/>
        <v>INSERT INTO COTACAO (blt_id, pap_id, cot_prc_comum, cot_prc_min, cot_prc_max, cot_prc_med, cot_prc_mediana) VALUES (29, 29, NULL, 60, 65, 62.5, 62.5);</v>
      </c>
    </row>
    <row r="1103" spans="1:10" x14ac:dyDescent="0.3">
      <c r="A1103" s="1">
        <v>1102</v>
      </c>
      <c r="B1103" s="1">
        <v>29</v>
      </c>
      <c r="C1103" s="1">
        <v>30</v>
      </c>
      <c r="D1103" s="1" t="str">
        <f>IF('Boletins Nuppa Site'!G1103&lt;&gt;0,'Boletins Nuppa Site'!G1103,"NULL")</f>
        <v>NULL</v>
      </c>
      <c r="E1103" s="19">
        <f>IF('Boletins Nuppa Site'!H1103&lt;&gt;0,'Boletins Nuppa Site'!H1103,"NULL")</f>
        <v>55</v>
      </c>
      <c r="F1103" s="19">
        <f>IF('Boletins Nuppa Site'!I1103&lt;&gt;0,'Boletins Nuppa Site'!I1103,"NULL")</f>
        <v>80</v>
      </c>
      <c r="G1103" s="1" t="str">
        <f>IF('Boletins Nuppa Site'!J1103&lt;&gt;0,'Boletins Nuppa Site'!J1103,"NULL")</f>
        <v>66.25</v>
      </c>
      <c r="H1103" s="19">
        <f>IF('Boletins Nuppa Site'!K1103&lt;&gt;0,'Boletins Nuppa Site'!K1103,"NULL")</f>
        <v>65</v>
      </c>
      <c r="J1103" s="1" t="str">
        <f t="shared" si="17"/>
        <v>INSERT INTO COTACAO (blt_id, pap_id, cot_prc_comum, cot_prc_min, cot_prc_max, cot_prc_med, cot_prc_mediana) VALUES (29, 30, NULL, 55, 80, 66.25, 65);</v>
      </c>
    </row>
    <row r="1104" spans="1:10" x14ac:dyDescent="0.3">
      <c r="A1104" s="1">
        <v>1103</v>
      </c>
      <c r="B1104" s="1">
        <v>29</v>
      </c>
      <c r="C1104" s="1">
        <v>31</v>
      </c>
      <c r="D1104" s="19">
        <f>IF('Boletins Nuppa Site'!G1104&lt;&gt;0,'Boletins Nuppa Site'!G1104,"NULL")</f>
        <v>90</v>
      </c>
      <c r="E1104" s="19">
        <f>IF('Boletins Nuppa Site'!H1104&lt;&gt;0,'Boletins Nuppa Site'!H1104,"NULL")</f>
        <v>70</v>
      </c>
      <c r="F1104" s="19">
        <f>IF('Boletins Nuppa Site'!I1104&lt;&gt;0,'Boletins Nuppa Site'!I1104,"NULL")</f>
        <v>100</v>
      </c>
      <c r="G1104" s="19">
        <f>IF('Boletins Nuppa Site'!J1104&lt;&gt;0,'Boletins Nuppa Site'!J1104,"NULL")</f>
        <v>86</v>
      </c>
      <c r="H1104" s="19">
        <f>IF('Boletins Nuppa Site'!K1104&lt;&gt;0,'Boletins Nuppa Site'!K1104,"NULL")</f>
        <v>90</v>
      </c>
      <c r="J1104" s="1" t="str">
        <f t="shared" si="17"/>
        <v>INSERT INTO COTACAO (blt_id, pap_id, cot_prc_comum, cot_prc_min, cot_prc_max, cot_prc_med, cot_prc_mediana) VALUES (29, 31, 90, 70, 100, 86, 90);</v>
      </c>
    </row>
    <row r="1105" spans="1:10" x14ac:dyDescent="0.3">
      <c r="A1105" s="1">
        <v>1104</v>
      </c>
      <c r="B1105" s="1">
        <v>29</v>
      </c>
      <c r="C1105" s="1">
        <v>32</v>
      </c>
      <c r="D1105" s="19">
        <f>IF('Boletins Nuppa Site'!G1105&lt;&gt;0,'Boletins Nuppa Site'!G1105,"NULL")</f>
        <v>50</v>
      </c>
      <c r="E1105" s="19">
        <f>IF('Boletins Nuppa Site'!H1105&lt;&gt;0,'Boletins Nuppa Site'!H1105,"NULL")</f>
        <v>30</v>
      </c>
      <c r="F1105" s="19">
        <f>IF('Boletins Nuppa Site'!I1105&lt;&gt;0,'Boletins Nuppa Site'!I1105,"NULL")</f>
        <v>50</v>
      </c>
      <c r="G1105" s="19">
        <f>IF('Boletins Nuppa Site'!J1105&lt;&gt;0,'Boletins Nuppa Site'!J1105,"NULL")</f>
        <v>45</v>
      </c>
      <c r="H1105" s="19">
        <f>IF('Boletins Nuppa Site'!K1105&lt;&gt;0,'Boletins Nuppa Site'!K1105,"NULL")</f>
        <v>50</v>
      </c>
      <c r="J1105" s="1" t="str">
        <f t="shared" si="17"/>
        <v>INSERT INTO COTACAO (blt_id, pap_id, cot_prc_comum, cot_prc_min, cot_prc_max, cot_prc_med, cot_prc_mediana) VALUES (29, 32, 50, 30, 50, 45, 50);</v>
      </c>
    </row>
    <row r="1106" spans="1:10" x14ac:dyDescent="0.3">
      <c r="A1106" s="1">
        <v>1105</v>
      </c>
      <c r="B1106" s="1">
        <v>29</v>
      </c>
      <c r="C1106" s="1">
        <v>33</v>
      </c>
      <c r="D1106" s="1" t="str">
        <f>IF('Boletins Nuppa Site'!G1106&lt;&gt;0,'Boletins Nuppa Site'!G1106,"NULL")</f>
        <v>NULL</v>
      </c>
      <c r="E1106" s="19">
        <f>IF('Boletins Nuppa Site'!H1106&lt;&gt;0,'Boletins Nuppa Site'!H1106,"NULL")</f>
        <v>100</v>
      </c>
      <c r="F1106" s="19">
        <f>IF('Boletins Nuppa Site'!I1106&lt;&gt;0,'Boletins Nuppa Site'!I1106,"NULL")</f>
        <v>200</v>
      </c>
      <c r="G1106" s="1" t="str">
        <f>IF('Boletins Nuppa Site'!J1106&lt;&gt;0,'Boletins Nuppa Site'!J1106,"NULL")</f>
        <v>157.5</v>
      </c>
      <c r="H1106" s="19">
        <f>IF('Boletins Nuppa Site'!K1106&lt;&gt;0,'Boletins Nuppa Site'!K1106,"NULL")</f>
        <v>165</v>
      </c>
      <c r="J1106" s="1" t="str">
        <f t="shared" si="17"/>
        <v>INSERT INTO COTACAO (blt_id, pap_id, cot_prc_comum, cot_prc_min, cot_prc_max, cot_prc_med, cot_prc_mediana) VALUES (29, 33, NULL, 100, 200, 157.5, 165);</v>
      </c>
    </row>
    <row r="1107" spans="1:10" x14ac:dyDescent="0.3">
      <c r="A1107" s="1">
        <v>1106</v>
      </c>
      <c r="B1107" s="1">
        <v>29</v>
      </c>
      <c r="C1107" s="1">
        <v>34</v>
      </c>
      <c r="D1107" s="19">
        <f>IF('Boletins Nuppa Site'!G1107&lt;&gt;0,'Boletins Nuppa Site'!G1107,"NULL")</f>
        <v>90</v>
      </c>
      <c r="E1107" s="19">
        <f>IF('Boletins Nuppa Site'!H1107&lt;&gt;0,'Boletins Nuppa Site'!H1107,"NULL")</f>
        <v>50</v>
      </c>
      <c r="F1107" s="19">
        <f>IF('Boletins Nuppa Site'!I1107&lt;&gt;0,'Boletins Nuppa Site'!I1107,"NULL")</f>
        <v>90</v>
      </c>
      <c r="G1107" s="19">
        <f>IF('Boletins Nuppa Site'!J1107&lt;&gt;0,'Boletins Nuppa Site'!J1107,"NULL")</f>
        <v>70</v>
      </c>
      <c r="H1107" s="19">
        <f>IF('Boletins Nuppa Site'!K1107&lt;&gt;0,'Boletins Nuppa Site'!K1107,"NULL")</f>
        <v>60</v>
      </c>
      <c r="J1107" s="1" t="str">
        <f t="shared" si="17"/>
        <v>INSERT INTO COTACAO (blt_id, pap_id, cot_prc_comum, cot_prc_min, cot_prc_max, cot_prc_med, cot_prc_mediana) VALUES (29, 34, 90, 50, 90, 70, 60);</v>
      </c>
    </row>
    <row r="1108" spans="1:10" x14ac:dyDescent="0.3">
      <c r="A1108" s="1">
        <v>1107</v>
      </c>
      <c r="B1108" s="1">
        <v>29</v>
      </c>
      <c r="C1108" s="1">
        <v>35</v>
      </c>
      <c r="D1108" s="19">
        <f>IF('Boletins Nuppa Site'!G1108&lt;&gt;0,'Boletins Nuppa Site'!G1108,"NULL")</f>
        <v>150</v>
      </c>
      <c r="E1108" s="19">
        <f>IF('Boletins Nuppa Site'!H1108&lt;&gt;0,'Boletins Nuppa Site'!H1108,"NULL")</f>
        <v>100</v>
      </c>
      <c r="F1108" s="19">
        <f>IF('Boletins Nuppa Site'!I1108&lt;&gt;0,'Boletins Nuppa Site'!I1108,"NULL")</f>
        <v>200</v>
      </c>
      <c r="G1108" s="19">
        <f>IF('Boletins Nuppa Site'!J1108&lt;&gt;0,'Boletins Nuppa Site'!J1108,"NULL")</f>
        <v>150</v>
      </c>
      <c r="H1108" s="19">
        <f>IF('Boletins Nuppa Site'!K1108&lt;&gt;0,'Boletins Nuppa Site'!K1108,"NULL")</f>
        <v>150</v>
      </c>
      <c r="J1108" s="1" t="str">
        <f t="shared" si="17"/>
        <v>INSERT INTO COTACAO (blt_id, pap_id, cot_prc_comum, cot_prc_min, cot_prc_max, cot_prc_med, cot_prc_mediana) VALUES (29, 35, 150, 100, 200, 150, 150);</v>
      </c>
    </row>
    <row r="1109" spans="1:10" x14ac:dyDescent="0.3">
      <c r="A1109" s="1">
        <v>1108</v>
      </c>
      <c r="B1109" s="1">
        <v>29</v>
      </c>
      <c r="C1109" s="1">
        <v>36</v>
      </c>
      <c r="D1109" s="1" t="str">
        <f>IF('Boletins Nuppa Site'!G1109&lt;&gt;0,'Boletins Nuppa Site'!G1109,"NULL")</f>
        <v>NULL</v>
      </c>
      <c r="E1109" s="1" t="str">
        <f>IF('Boletins Nuppa Site'!H1109&lt;&gt;0,'Boletins Nuppa Site'!H1109,"NULL")</f>
        <v>NULL</v>
      </c>
      <c r="F1109" s="1" t="str">
        <f>IF('Boletins Nuppa Site'!I1109&lt;&gt;0,'Boletins Nuppa Site'!I1109,"NULL")</f>
        <v>NULL</v>
      </c>
      <c r="G1109" s="1" t="str">
        <f>IF('Boletins Nuppa Site'!J1109&lt;&gt;0,'Boletins Nuppa Site'!J1109,"NULL")</f>
        <v>NULL</v>
      </c>
      <c r="H1109" s="1" t="str">
        <f>IF('Boletins Nuppa Site'!K1109&lt;&gt;0,'Boletins Nuppa Site'!K1109,"NULL")</f>
        <v>NULL</v>
      </c>
      <c r="J1109" s="1" t="str">
        <f t="shared" si="17"/>
        <v>INSERT INTO COTACAO (blt_id, pap_id, cot_prc_comum, cot_prc_min, cot_prc_max, cot_prc_med, cot_prc_mediana) VALUES (29, 36, NULL, NULL, NULL, NULL, NULL);</v>
      </c>
    </row>
    <row r="1110" spans="1:10" x14ac:dyDescent="0.3">
      <c r="A1110" s="1">
        <v>1109</v>
      </c>
      <c r="B1110" s="1">
        <v>29</v>
      </c>
      <c r="C1110" s="1">
        <v>37</v>
      </c>
      <c r="D1110" s="1" t="str">
        <f>IF('Boletins Nuppa Site'!G1110&lt;&gt;0,'Boletins Nuppa Site'!G1110,"NULL")</f>
        <v>NULL</v>
      </c>
      <c r="E1110" s="1" t="str">
        <f>IF('Boletins Nuppa Site'!H1110&lt;&gt;0,'Boletins Nuppa Site'!H1110,"NULL")</f>
        <v>NULL</v>
      </c>
      <c r="F1110" s="1" t="str">
        <f>IF('Boletins Nuppa Site'!I1110&lt;&gt;0,'Boletins Nuppa Site'!I1110,"NULL")</f>
        <v>NULL</v>
      </c>
      <c r="G1110" s="1" t="str">
        <f>IF('Boletins Nuppa Site'!J1110&lt;&gt;0,'Boletins Nuppa Site'!J1110,"NULL")</f>
        <v>NULL</v>
      </c>
      <c r="H1110" s="1" t="str">
        <f>IF('Boletins Nuppa Site'!K1110&lt;&gt;0,'Boletins Nuppa Site'!K1110,"NULL")</f>
        <v>NULL</v>
      </c>
      <c r="J1110" s="1" t="str">
        <f t="shared" si="17"/>
        <v>INSERT INTO COTACAO (blt_id, pap_id, cot_prc_comum, cot_prc_min, cot_prc_max, cot_prc_med, cot_prc_mediana) VALUES (29, 37, NULL, NULL, NULL, NULL, NULL);</v>
      </c>
    </row>
    <row r="1111" spans="1:10" x14ac:dyDescent="0.3">
      <c r="A1111" s="1">
        <v>1110</v>
      </c>
      <c r="B1111" s="1">
        <v>29</v>
      </c>
      <c r="C1111" s="1">
        <v>38</v>
      </c>
      <c r="D1111" s="1" t="str">
        <f>IF('Boletins Nuppa Site'!G1111&lt;&gt;0,'Boletins Nuppa Site'!G1111,"NULL")</f>
        <v>NULL</v>
      </c>
      <c r="E1111" s="1" t="str">
        <f>IF('Boletins Nuppa Site'!H1111&lt;&gt;0,'Boletins Nuppa Site'!H1111,"NULL")</f>
        <v>NULL</v>
      </c>
      <c r="F1111" s="1" t="str">
        <f>IF('Boletins Nuppa Site'!I1111&lt;&gt;0,'Boletins Nuppa Site'!I1111,"NULL")</f>
        <v>NULL</v>
      </c>
      <c r="G1111" s="1" t="str">
        <f>IF('Boletins Nuppa Site'!J1111&lt;&gt;0,'Boletins Nuppa Site'!J1111,"NULL")</f>
        <v>NULL</v>
      </c>
      <c r="H1111" s="1" t="str">
        <f>IF('Boletins Nuppa Site'!K1111&lt;&gt;0,'Boletins Nuppa Site'!K1111,"NULL")</f>
        <v>NULL</v>
      </c>
      <c r="J1111" s="1" t="str">
        <f t="shared" si="17"/>
        <v>INSERT INTO COTACAO (blt_id, pap_id, cot_prc_comum, cot_prc_min, cot_prc_max, cot_prc_med, cot_prc_mediana) VALUES (29, 38, NULL, NULL, NULL, NULL, NULL);</v>
      </c>
    </row>
    <row r="1112" spans="1:10" x14ac:dyDescent="0.3">
      <c r="A1112" s="1">
        <v>1111</v>
      </c>
      <c r="B1112" s="1">
        <v>29</v>
      </c>
      <c r="C1112" s="1">
        <v>39</v>
      </c>
      <c r="D1112" s="1" t="str">
        <f>IF('Boletins Nuppa Site'!G1112&lt;&gt;0,'Boletins Nuppa Site'!G1112,"NULL")</f>
        <v>NULL</v>
      </c>
      <c r="E1112" s="19">
        <f>IF('Boletins Nuppa Site'!H1112&lt;&gt;0,'Boletins Nuppa Site'!H1112,"NULL")</f>
        <v>60</v>
      </c>
      <c r="F1112" s="19">
        <f>IF('Boletins Nuppa Site'!I1112&lt;&gt;0,'Boletins Nuppa Site'!I1112,"NULL")</f>
        <v>60</v>
      </c>
      <c r="G1112" s="19">
        <f>IF('Boletins Nuppa Site'!J1112&lt;&gt;0,'Boletins Nuppa Site'!J1112,"NULL")</f>
        <v>60</v>
      </c>
      <c r="H1112" s="19">
        <f>IF('Boletins Nuppa Site'!K1112&lt;&gt;0,'Boletins Nuppa Site'!K1112,"NULL")</f>
        <v>60</v>
      </c>
      <c r="J1112" s="1" t="str">
        <f t="shared" si="17"/>
        <v>INSERT INTO COTACAO (blt_id, pap_id, cot_prc_comum, cot_prc_min, cot_prc_max, cot_prc_med, cot_prc_mediana) VALUES (29, 39, NULL, 60, 60, 60, 60);</v>
      </c>
    </row>
    <row r="1113" spans="1:10" x14ac:dyDescent="0.3">
      <c r="A1113" s="1">
        <v>1112</v>
      </c>
      <c r="B1113" s="1">
        <v>29</v>
      </c>
      <c r="C1113" s="1">
        <v>40</v>
      </c>
      <c r="D1113" s="1" t="str">
        <f>IF('Boletins Nuppa Site'!G1113&lt;&gt;0,'Boletins Nuppa Site'!G1113,"NULL")</f>
        <v>NULL</v>
      </c>
      <c r="E1113" s="1" t="str">
        <f>IF('Boletins Nuppa Site'!H1113&lt;&gt;0,'Boletins Nuppa Site'!H1113,"NULL")</f>
        <v>NULL</v>
      </c>
      <c r="F1113" s="1" t="str">
        <f>IF('Boletins Nuppa Site'!I1113&lt;&gt;0,'Boletins Nuppa Site'!I1113,"NULL")</f>
        <v>NULL</v>
      </c>
      <c r="G1113" s="1" t="str">
        <f>IF('Boletins Nuppa Site'!J1113&lt;&gt;0,'Boletins Nuppa Site'!J1113,"NULL")</f>
        <v>NULL</v>
      </c>
      <c r="H1113" s="1" t="str">
        <f>IF('Boletins Nuppa Site'!K1113&lt;&gt;0,'Boletins Nuppa Site'!K1113,"NULL")</f>
        <v>NULL</v>
      </c>
      <c r="J1113" s="1" t="str">
        <f t="shared" si="17"/>
        <v>INSERT INTO COTACAO (blt_id, pap_id, cot_prc_comum, cot_prc_min, cot_prc_max, cot_prc_med, cot_prc_mediana) VALUES (29, 40, NULL, NULL, NULL, NULL, NULL);</v>
      </c>
    </row>
    <row r="1114" spans="1:10" x14ac:dyDescent="0.3">
      <c r="A1114" s="1">
        <v>1113</v>
      </c>
      <c r="B1114" s="1">
        <v>30</v>
      </c>
      <c r="C1114" s="1">
        <v>1</v>
      </c>
      <c r="D1114" s="1" t="str">
        <f>IF('Boletins Nuppa Site'!G1114&lt;&gt;0,'Boletins Nuppa Site'!G1114,"NULL")</f>
        <v>NULL</v>
      </c>
      <c r="E1114" s="19">
        <f>IF('Boletins Nuppa Site'!H1114&lt;&gt;0,'Boletins Nuppa Site'!H1114,"NULL")</f>
        <v>36</v>
      </c>
      <c r="F1114" s="19">
        <f>IF('Boletins Nuppa Site'!I1114&lt;&gt;0,'Boletins Nuppa Site'!I1114,"NULL")</f>
        <v>60</v>
      </c>
      <c r="G1114" s="19">
        <f>IF('Boletins Nuppa Site'!J1114&lt;&gt;0,'Boletins Nuppa Site'!J1114,"NULL")</f>
        <v>48</v>
      </c>
      <c r="H1114" s="19">
        <f>IF('Boletins Nuppa Site'!K1114&lt;&gt;0,'Boletins Nuppa Site'!K1114,"NULL")</f>
        <v>48</v>
      </c>
      <c r="J1114" s="1" t="str">
        <f t="shared" si="17"/>
        <v>INSERT INTO COTACAO (blt_id, pap_id, cot_prc_comum, cot_prc_min, cot_prc_max, cot_prc_med, cot_prc_mediana) VALUES (30, 1, NULL, 36, 60, 48, 48);</v>
      </c>
    </row>
    <row r="1115" spans="1:10" x14ac:dyDescent="0.3">
      <c r="A1115" s="1">
        <v>1114</v>
      </c>
      <c r="B1115" s="1">
        <v>30</v>
      </c>
      <c r="C1115" s="1">
        <v>2</v>
      </c>
      <c r="D1115" s="19">
        <f>IF('Boletins Nuppa Site'!G1115&lt;&gt;0,'Boletins Nuppa Site'!G1115,"NULL")</f>
        <v>72</v>
      </c>
      <c r="E1115" s="19">
        <f>IF('Boletins Nuppa Site'!H1115&lt;&gt;0,'Boletins Nuppa Site'!H1115,"NULL")</f>
        <v>72</v>
      </c>
      <c r="F1115" s="19">
        <f>IF('Boletins Nuppa Site'!I1115&lt;&gt;0,'Boletins Nuppa Site'!I1115,"NULL")</f>
        <v>84</v>
      </c>
      <c r="G1115" s="19">
        <f>IF('Boletins Nuppa Site'!J1115&lt;&gt;0,'Boletins Nuppa Site'!J1115,"NULL")</f>
        <v>76</v>
      </c>
      <c r="H1115" s="19">
        <f>IF('Boletins Nuppa Site'!K1115&lt;&gt;0,'Boletins Nuppa Site'!K1115,"NULL")</f>
        <v>72</v>
      </c>
      <c r="J1115" s="1" t="str">
        <f t="shared" si="17"/>
        <v>INSERT INTO COTACAO (blt_id, pap_id, cot_prc_comum, cot_prc_min, cot_prc_max, cot_prc_med, cot_prc_mediana) VALUES (30, 2, 72, 72, 84, 76, 72);</v>
      </c>
    </row>
    <row r="1116" spans="1:10" x14ac:dyDescent="0.3">
      <c r="A1116" s="1">
        <v>1115</v>
      </c>
      <c r="B1116" s="1">
        <v>30</v>
      </c>
      <c r="C1116" s="1">
        <v>3</v>
      </c>
      <c r="D1116" s="19">
        <f>IF('Boletins Nuppa Site'!G1116&lt;&gt;0,'Boletins Nuppa Site'!G1116,"NULL")</f>
        <v>36</v>
      </c>
      <c r="E1116" s="19">
        <f>IF('Boletins Nuppa Site'!H1116&lt;&gt;0,'Boletins Nuppa Site'!H1116,"NULL")</f>
        <v>30</v>
      </c>
      <c r="F1116" s="19">
        <f>IF('Boletins Nuppa Site'!I1116&lt;&gt;0,'Boletins Nuppa Site'!I1116,"NULL")</f>
        <v>42</v>
      </c>
      <c r="G1116" s="19">
        <f>IF('Boletins Nuppa Site'!J1116&lt;&gt;0,'Boletins Nuppa Site'!J1116,"NULL")</f>
        <v>36</v>
      </c>
      <c r="H1116" s="19">
        <f>IF('Boletins Nuppa Site'!K1116&lt;&gt;0,'Boletins Nuppa Site'!K1116,"NULL")</f>
        <v>36</v>
      </c>
      <c r="J1116" s="1" t="str">
        <f t="shared" si="17"/>
        <v>INSERT INTO COTACAO (blt_id, pap_id, cot_prc_comum, cot_prc_min, cot_prc_max, cot_prc_med, cot_prc_mediana) VALUES (30, 3, 36, 30, 42, 36, 36);</v>
      </c>
    </row>
    <row r="1117" spans="1:10" x14ac:dyDescent="0.3">
      <c r="A1117" s="1">
        <v>1116</v>
      </c>
      <c r="B1117" s="1">
        <v>30</v>
      </c>
      <c r="C1117" s="1">
        <v>4</v>
      </c>
      <c r="D1117" s="19">
        <f>IF('Boletins Nuppa Site'!G1117&lt;&gt;0,'Boletins Nuppa Site'!G1117,"NULL")</f>
        <v>18</v>
      </c>
      <c r="E1117" s="19">
        <f>IF('Boletins Nuppa Site'!H1117&lt;&gt;0,'Boletins Nuppa Site'!H1117,"NULL")</f>
        <v>18</v>
      </c>
      <c r="F1117" s="19">
        <f>IF('Boletins Nuppa Site'!I1117&lt;&gt;0,'Boletins Nuppa Site'!I1117,"NULL")</f>
        <v>24</v>
      </c>
      <c r="G1117" s="19">
        <f>IF('Boletins Nuppa Site'!J1117&lt;&gt;0,'Boletins Nuppa Site'!J1117,"NULL")</f>
        <v>21</v>
      </c>
      <c r="H1117" s="19">
        <f>IF('Boletins Nuppa Site'!K1117&lt;&gt;0,'Boletins Nuppa Site'!K1117,"NULL")</f>
        <v>21</v>
      </c>
      <c r="J1117" s="1" t="str">
        <f t="shared" si="17"/>
        <v>INSERT INTO COTACAO (blt_id, pap_id, cot_prc_comum, cot_prc_min, cot_prc_max, cot_prc_med, cot_prc_mediana) VALUES (30, 4, 18, 18, 24, 21, 21);</v>
      </c>
    </row>
    <row r="1118" spans="1:10" x14ac:dyDescent="0.3">
      <c r="A1118" s="1">
        <v>1117</v>
      </c>
      <c r="B1118" s="1">
        <v>30</v>
      </c>
      <c r="C1118" s="1">
        <v>5</v>
      </c>
      <c r="D1118" s="19">
        <f>IF('Boletins Nuppa Site'!G1118&lt;&gt;0,'Boletins Nuppa Site'!G1118,"NULL")</f>
        <v>24</v>
      </c>
      <c r="E1118" s="19">
        <f>IF('Boletins Nuppa Site'!H1118&lt;&gt;0,'Boletins Nuppa Site'!H1118,"NULL")</f>
        <v>18</v>
      </c>
      <c r="F1118" s="19">
        <f>IF('Boletins Nuppa Site'!I1118&lt;&gt;0,'Boletins Nuppa Site'!I1118,"NULL")</f>
        <v>24</v>
      </c>
      <c r="G1118" s="19">
        <f>IF('Boletins Nuppa Site'!J1118&lt;&gt;0,'Boletins Nuppa Site'!J1118,"NULL")</f>
        <v>22</v>
      </c>
      <c r="H1118" s="19">
        <f>IF('Boletins Nuppa Site'!K1118&lt;&gt;0,'Boletins Nuppa Site'!K1118,"NULL")</f>
        <v>24</v>
      </c>
      <c r="J1118" s="1" t="str">
        <f t="shared" si="17"/>
        <v>INSERT INTO COTACAO (blt_id, pap_id, cot_prc_comum, cot_prc_min, cot_prc_max, cot_prc_med, cot_prc_mediana) VALUES (30, 5, 24, 18, 24, 22, 24);</v>
      </c>
    </row>
    <row r="1119" spans="1:10" x14ac:dyDescent="0.3">
      <c r="A1119" s="1">
        <v>1118</v>
      </c>
      <c r="B1119" s="1">
        <v>30</v>
      </c>
      <c r="C1119" s="1">
        <v>6</v>
      </c>
      <c r="D1119" s="19">
        <f>IF('Boletins Nuppa Site'!G1119&lt;&gt;0,'Boletins Nuppa Site'!G1119,"NULL")</f>
        <v>60</v>
      </c>
      <c r="E1119" s="19">
        <f>IF('Boletins Nuppa Site'!H1119&lt;&gt;0,'Boletins Nuppa Site'!H1119,"NULL")</f>
        <v>60</v>
      </c>
      <c r="F1119" s="19">
        <f>IF('Boletins Nuppa Site'!I1119&lt;&gt;0,'Boletins Nuppa Site'!I1119,"NULL")</f>
        <v>60</v>
      </c>
      <c r="G1119" s="19">
        <f>IF('Boletins Nuppa Site'!J1119&lt;&gt;0,'Boletins Nuppa Site'!J1119,"NULL")</f>
        <v>60</v>
      </c>
      <c r="H1119" s="19">
        <f>IF('Boletins Nuppa Site'!K1119&lt;&gt;0,'Boletins Nuppa Site'!K1119,"NULL")</f>
        <v>60</v>
      </c>
      <c r="J1119" s="1" t="str">
        <f t="shared" si="17"/>
        <v>INSERT INTO COTACAO (blt_id, pap_id, cot_prc_comum, cot_prc_min, cot_prc_max, cot_prc_med, cot_prc_mediana) VALUES (30, 6, 60, 60, 60, 60, 60);</v>
      </c>
    </row>
    <row r="1120" spans="1:10" x14ac:dyDescent="0.3">
      <c r="A1120" s="1">
        <v>1119</v>
      </c>
      <c r="B1120" s="1">
        <v>30</v>
      </c>
      <c r="C1120" s="1">
        <v>7</v>
      </c>
      <c r="D1120" s="19">
        <f>IF('Boletins Nuppa Site'!G1120&lt;&gt;0,'Boletins Nuppa Site'!G1120,"NULL")</f>
        <v>60</v>
      </c>
      <c r="E1120" s="19">
        <f>IF('Boletins Nuppa Site'!H1120&lt;&gt;0,'Boletins Nuppa Site'!H1120,"NULL")</f>
        <v>48</v>
      </c>
      <c r="F1120" s="19">
        <f>IF('Boletins Nuppa Site'!I1120&lt;&gt;0,'Boletins Nuppa Site'!I1120,"NULL")</f>
        <v>66</v>
      </c>
      <c r="G1120" s="1" t="str">
        <f>IF('Boletins Nuppa Site'!J1120&lt;&gt;0,'Boletins Nuppa Site'!J1120,"NULL")</f>
        <v>58.5</v>
      </c>
      <c r="H1120" s="19">
        <f>IF('Boletins Nuppa Site'!K1120&lt;&gt;0,'Boletins Nuppa Site'!K1120,"NULL")</f>
        <v>60</v>
      </c>
      <c r="J1120" s="1" t="str">
        <f t="shared" si="17"/>
        <v>INSERT INTO COTACAO (blt_id, pap_id, cot_prc_comum, cot_prc_min, cot_prc_max, cot_prc_med, cot_prc_mediana) VALUES (30, 7, 60, 48, 66, 58.5, 60);</v>
      </c>
    </row>
    <row r="1121" spans="1:10" x14ac:dyDescent="0.3">
      <c r="A1121" s="1">
        <v>1120</v>
      </c>
      <c r="B1121" s="1">
        <v>30</v>
      </c>
      <c r="C1121" s="1">
        <v>8</v>
      </c>
      <c r="D1121" s="19">
        <f>IF('Boletins Nuppa Site'!G1121&lt;&gt;0,'Boletins Nuppa Site'!G1121,"NULL")</f>
        <v>60</v>
      </c>
      <c r="E1121" s="19">
        <f>IF('Boletins Nuppa Site'!H1121&lt;&gt;0,'Boletins Nuppa Site'!H1121,"NULL")</f>
        <v>60</v>
      </c>
      <c r="F1121" s="19">
        <f>IF('Boletins Nuppa Site'!I1121&lt;&gt;0,'Boletins Nuppa Site'!I1121,"NULL")</f>
        <v>72</v>
      </c>
      <c r="G1121" s="19">
        <f>IF('Boletins Nuppa Site'!J1121&lt;&gt;0,'Boletins Nuppa Site'!J1121,"NULL")</f>
        <v>66</v>
      </c>
      <c r="H1121" s="19">
        <f>IF('Boletins Nuppa Site'!K1121&lt;&gt;0,'Boletins Nuppa Site'!K1121,"NULL")</f>
        <v>66</v>
      </c>
      <c r="J1121" s="1" t="str">
        <f t="shared" si="17"/>
        <v>INSERT INTO COTACAO (blt_id, pap_id, cot_prc_comum, cot_prc_min, cot_prc_max, cot_prc_med, cot_prc_mediana) VALUES (30, 8, 60, 60, 72, 66, 66);</v>
      </c>
    </row>
    <row r="1122" spans="1:10" x14ac:dyDescent="0.3">
      <c r="A1122" s="1">
        <v>1121</v>
      </c>
      <c r="B1122" s="1">
        <v>30</v>
      </c>
      <c r="C1122" s="1">
        <v>9</v>
      </c>
      <c r="D1122" s="19">
        <f>IF('Boletins Nuppa Site'!G1122&lt;&gt;0,'Boletins Nuppa Site'!G1122,"NULL")</f>
        <v>18</v>
      </c>
      <c r="E1122" s="19">
        <f>IF('Boletins Nuppa Site'!H1122&lt;&gt;0,'Boletins Nuppa Site'!H1122,"NULL")</f>
        <v>18</v>
      </c>
      <c r="F1122" s="19">
        <f>IF('Boletins Nuppa Site'!I1122&lt;&gt;0,'Boletins Nuppa Site'!I1122,"NULL")</f>
        <v>24</v>
      </c>
      <c r="G1122" s="19">
        <f>IF('Boletins Nuppa Site'!J1122&lt;&gt;0,'Boletins Nuppa Site'!J1122,"NULL")</f>
        <v>20</v>
      </c>
      <c r="H1122" s="19">
        <f>IF('Boletins Nuppa Site'!K1122&lt;&gt;0,'Boletins Nuppa Site'!K1122,"NULL")</f>
        <v>19</v>
      </c>
      <c r="J1122" s="1" t="str">
        <f t="shared" si="17"/>
        <v>INSERT INTO COTACAO (blt_id, pap_id, cot_prc_comum, cot_prc_min, cot_prc_max, cot_prc_med, cot_prc_mediana) VALUES (30, 9, 18, 18, 24, 20, 19);</v>
      </c>
    </row>
    <row r="1123" spans="1:10" x14ac:dyDescent="0.3">
      <c r="A1123" s="1">
        <v>1122</v>
      </c>
      <c r="B1123" s="1">
        <v>30</v>
      </c>
      <c r="C1123" s="1">
        <v>10</v>
      </c>
      <c r="D1123" s="1" t="str">
        <f>IF('Boletins Nuppa Site'!G1123&lt;&gt;0,'Boletins Nuppa Site'!G1123,"NULL")</f>
        <v>NULL</v>
      </c>
      <c r="E1123" s="19">
        <f>IF('Boletins Nuppa Site'!H1123&lt;&gt;0,'Boletins Nuppa Site'!H1123,"NULL")</f>
        <v>48</v>
      </c>
      <c r="F1123" s="19">
        <f>IF('Boletins Nuppa Site'!I1123&lt;&gt;0,'Boletins Nuppa Site'!I1123,"NULL")</f>
        <v>72</v>
      </c>
      <c r="G1123" s="1" t="str">
        <f>IF('Boletins Nuppa Site'!J1123&lt;&gt;0,'Boletins Nuppa Site'!J1123,"NULL")</f>
        <v>56.67</v>
      </c>
      <c r="H1123" s="19">
        <f>IF('Boletins Nuppa Site'!K1123&lt;&gt;0,'Boletins Nuppa Site'!K1123,"NULL")</f>
        <v>50</v>
      </c>
      <c r="J1123" s="1" t="str">
        <f t="shared" si="17"/>
        <v>INSERT INTO COTACAO (blt_id, pap_id, cot_prc_comum, cot_prc_min, cot_prc_max, cot_prc_med, cot_prc_mediana) VALUES (30, 10, NULL, 48, 72, 56.67, 50);</v>
      </c>
    </row>
    <row r="1124" spans="1:10" x14ac:dyDescent="0.3">
      <c r="A1124" s="1">
        <v>1123</v>
      </c>
      <c r="B1124" s="1">
        <v>30</v>
      </c>
      <c r="C1124" s="1">
        <v>11</v>
      </c>
      <c r="D1124" s="19">
        <f>IF('Boletins Nuppa Site'!G1124&lt;&gt;0,'Boletins Nuppa Site'!G1124,"NULL")</f>
        <v>18</v>
      </c>
      <c r="E1124" s="19">
        <f>IF('Boletins Nuppa Site'!H1124&lt;&gt;0,'Boletins Nuppa Site'!H1124,"NULL")</f>
        <v>18</v>
      </c>
      <c r="F1124" s="19">
        <f>IF('Boletins Nuppa Site'!I1124&lt;&gt;0,'Boletins Nuppa Site'!I1124,"NULL")</f>
        <v>24</v>
      </c>
      <c r="G1124" s="19">
        <f>IF('Boletins Nuppa Site'!J1124&lt;&gt;0,'Boletins Nuppa Site'!J1124,"NULL")</f>
        <v>21</v>
      </c>
      <c r="H1124" s="19">
        <f>IF('Boletins Nuppa Site'!K1124&lt;&gt;0,'Boletins Nuppa Site'!K1124,"NULL")</f>
        <v>21</v>
      </c>
      <c r="J1124" s="1" t="str">
        <f t="shared" si="17"/>
        <v>INSERT INTO COTACAO (blt_id, pap_id, cot_prc_comum, cot_prc_min, cot_prc_max, cot_prc_med, cot_prc_mediana) VALUES (30, 11, 18, 18, 24, 21, 21);</v>
      </c>
    </row>
    <row r="1125" spans="1:10" x14ac:dyDescent="0.3">
      <c r="A1125" s="1">
        <v>1124</v>
      </c>
      <c r="B1125" s="1">
        <v>30</v>
      </c>
      <c r="C1125" s="1">
        <v>12</v>
      </c>
      <c r="D1125" s="19">
        <f>IF('Boletins Nuppa Site'!G1125&lt;&gt;0,'Boletins Nuppa Site'!G1125,"NULL")</f>
        <v>60</v>
      </c>
      <c r="E1125" s="19">
        <f>IF('Boletins Nuppa Site'!H1125&lt;&gt;0,'Boletins Nuppa Site'!H1125,"NULL")</f>
        <v>48</v>
      </c>
      <c r="F1125" s="19">
        <f>IF('Boletins Nuppa Site'!I1125&lt;&gt;0,'Boletins Nuppa Site'!I1125,"NULL")</f>
        <v>60</v>
      </c>
      <c r="G1125" s="19">
        <f>IF('Boletins Nuppa Site'!J1125&lt;&gt;0,'Boletins Nuppa Site'!J1125,"NULL")</f>
        <v>56</v>
      </c>
      <c r="H1125" s="19">
        <f>IF('Boletins Nuppa Site'!K1125&lt;&gt;0,'Boletins Nuppa Site'!K1125,"NULL")</f>
        <v>60</v>
      </c>
      <c r="J1125" s="1" t="str">
        <f t="shared" si="17"/>
        <v>INSERT INTO COTACAO (blt_id, pap_id, cot_prc_comum, cot_prc_min, cot_prc_max, cot_prc_med, cot_prc_mediana) VALUES (30, 12, 60, 48, 60, 56, 60);</v>
      </c>
    </row>
    <row r="1126" spans="1:10" x14ac:dyDescent="0.3">
      <c r="A1126" s="1">
        <v>1125</v>
      </c>
      <c r="B1126" s="1">
        <v>30</v>
      </c>
      <c r="C1126" s="1">
        <v>13</v>
      </c>
      <c r="D1126" s="19">
        <f>IF('Boletins Nuppa Site'!G1126&lt;&gt;0,'Boletins Nuppa Site'!G1126,"NULL")</f>
        <v>48</v>
      </c>
      <c r="E1126" s="19">
        <f>IF('Boletins Nuppa Site'!H1126&lt;&gt;0,'Boletins Nuppa Site'!H1126,"NULL")</f>
        <v>48</v>
      </c>
      <c r="F1126" s="19">
        <f>IF('Boletins Nuppa Site'!I1126&lt;&gt;0,'Boletins Nuppa Site'!I1126,"NULL")</f>
        <v>60</v>
      </c>
      <c r="G1126" s="19">
        <f>IF('Boletins Nuppa Site'!J1126&lt;&gt;0,'Boletins Nuppa Site'!J1126,"NULL")</f>
        <v>54</v>
      </c>
      <c r="H1126" s="19">
        <f>IF('Boletins Nuppa Site'!K1126&lt;&gt;0,'Boletins Nuppa Site'!K1126,"NULL")</f>
        <v>54</v>
      </c>
      <c r="J1126" s="1" t="str">
        <f t="shared" si="17"/>
        <v>INSERT INTO COTACAO (blt_id, pap_id, cot_prc_comum, cot_prc_min, cot_prc_max, cot_prc_med, cot_prc_mediana) VALUES (30, 13, 48, 48, 60, 54, 54);</v>
      </c>
    </row>
    <row r="1127" spans="1:10" x14ac:dyDescent="0.3">
      <c r="A1127" s="1">
        <v>1126</v>
      </c>
      <c r="B1127" s="1">
        <v>30</v>
      </c>
      <c r="C1127" s="1">
        <v>14</v>
      </c>
      <c r="D1127" s="19">
        <f>IF('Boletins Nuppa Site'!G1127&lt;&gt;0,'Boletins Nuppa Site'!G1127,"NULL")</f>
        <v>60</v>
      </c>
      <c r="E1127" s="19">
        <f>IF('Boletins Nuppa Site'!H1127&lt;&gt;0,'Boletins Nuppa Site'!H1127,"NULL")</f>
        <v>48</v>
      </c>
      <c r="F1127" s="19">
        <f>IF('Boletins Nuppa Site'!I1127&lt;&gt;0,'Boletins Nuppa Site'!I1127,"NULL")</f>
        <v>60</v>
      </c>
      <c r="G1127" s="19">
        <f>IF('Boletins Nuppa Site'!J1127&lt;&gt;0,'Boletins Nuppa Site'!J1127,"NULL")</f>
        <v>56</v>
      </c>
      <c r="H1127" s="19">
        <f>IF('Boletins Nuppa Site'!K1127&lt;&gt;0,'Boletins Nuppa Site'!K1127,"NULL")</f>
        <v>60</v>
      </c>
      <c r="J1127" s="1" t="str">
        <f t="shared" si="17"/>
        <v>INSERT INTO COTACAO (blt_id, pap_id, cot_prc_comum, cot_prc_min, cot_prc_max, cot_prc_med, cot_prc_mediana) VALUES (30, 14, 60, 48, 60, 56, 60);</v>
      </c>
    </row>
    <row r="1128" spans="1:10" x14ac:dyDescent="0.3">
      <c r="A1128" s="1">
        <v>1127</v>
      </c>
      <c r="B1128" s="1">
        <v>30</v>
      </c>
      <c r="C1128" s="1">
        <v>15</v>
      </c>
      <c r="D1128" s="19">
        <f>IF('Boletins Nuppa Site'!G1128&lt;&gt;0,'Boletins Nuppa Site'!G1128,"NULL")</f>
        <v>36</v>
      </c>
      <c r="E1128" s="19">
        <f>IF('Boletins Nuppa Site'!H1128&lt;&gt;0,'Boletins Nuppa Site'!H1128,"NULL")</f>
        <v>36</v>
      </c>
      <c r="F1128" s="19">
        <f>IF('Boletins Nuppa Site'!I1128&lt;&gt;0,'Boletins Nuppa Site'!I1128,"NULL")</f>
        <v>45</v>
      </c>
      <c r="G1128" s="1" t="str">
        <f>IF('Boletins Nuppa Site'!J1128&lt;&gt;0,'Boletins Nuppa Site'!J1128,"NULL")</f>
        <v>39.25</v>
      </c>
      <c r="H1128" s="19">
        <f>IF('Boletins Nuppa Site'!K1128&lt;&gt;0,'Boletins Nuppa Site'!K1128,"NULL")</f>
        <v>38</v>
      </c>
      <c r="J1128" s="1" t="str">
        <f t="shared" si="17"/>
        <v>INSERT INTO COTACAO (blt_id, pap_id, cot_prc_comum, cot_prc_min, cot_prc_max, cot_prc_med, cot_prc_mediana) VALUES (30, 15, 36, 36, 45, 39.25, 38);</v>
      </c>
    </row>
    <row r="1129" spans="1:10" x14ac:dyDescent="0.3">
      <c r="A1129" s="1">
        <v>1128</v>
      </c>
      <c r="B1129" s="1">
        <v>30</v>
      </c>
      <c r="C1129" s="1">
        <v>16</v>
      </c>
      <c r="D1129" s="19">
        <f>IF('Boletins Nuppa Site'!G1129&lt;&gt;0,'Boletins Nuppa Site'!G1129,"NULL")</f>
        <v>48</v>
      </c>
      <c r="E1129" s="19">
        <f>IF('Boletins Nuppa Site'!H1129&lt;&gt;0,'Boletins Nuppa Site'!H1129,"NULL")</f>
        <v>42</v>
      </c>
      <c r="F1129" s="19">
        <f>IF('Boletins Nuppa Site'!I1129&lt;&gt;0,'Boletins Nuppa Site'!I1129,"NULL")</f>
        <v>48</v>
      </c>
      <c r="G1129" s="1" t="str">
        <f>IF('Boletins Nuppa Site'!J1129&lt;&gt;0,'Boletins Nuppa Site'!J1129,"NULL")</f>
        <v>46.5</v>
      </c>
      <c r="H1129" s="19">
        <f>IF('Boletins Nuppa Site'!K1129&lt;&gt;0,'Boletins Nuppa Site'!K1129,"NULL")</f>
        <v>48</v>
      </c>
      <c r="J1129" s="1" t="str">
        <f t="shared" si="17"/>
        <v>INSERT INTO COTACAO (blt_id, pap_id, cot_prc_comum, cot_prc_min, cot_prc_max, cot_prc_med, cot_prc_mediana) VALUES (30, 16, 48, 42, 48, 46.5, 48);</v>
      </c>
    </row>
    <row r="1130" spans="1:10" x14ac:dyDescent="0.3">
      <c r="A1130" s="1">
        <v>1129</v>
      </c>
      <c r="B1130" s="1">
        <v>30</v>
      </c>
      <c r="C1130" s="1">
        <v>17</v>
      </c>
      <c r="D1130" s="19">
        <f>IF('Boletins Nuppa Site'!G1130&lt;&gt;0,'Boletins Nuppa Site'!G1130,"NULL")</f>
        <v>5</v>
      </c>
      <c r="E1130" s="19">
        <f>IF('Boletins Nuppa Site'!H1130&lt;&gt;0,'Boletins Nuppa Site'!H1130,"NULL")</f>
        <v>5</v>
      </c>
      <c r="F1130" s="1" t="str">
        <f>IF('Boletins Nuppa Site'!I1130&lt;&gt;0,'Boletins Nuppa Site'!I1130,"NULL")</f>
        <v>5.5</v>
      </c>
      <c r="G1130" s="1" t="str">
        <f>IF('Boletins Nuppa Site'!J1130&lt;&gt;0,'Boletins Nuppa Site'!J1130,"NULL")</f>
        <v>5.13</v>
      </c>
      <c r="H1130" s="19">
        <f>IF('Boletins Nuppa Site'!K1130&lt;&gt;0,'Boletins Nuppa Site'!K1130,"NULL")</f>
        <v>5</v>
      </c>
      <c r="J1130" s="1" t="str">
        <f t="shared" si="17"/>
        <v>INSERT INTO COTACAO (blt_id, pap_id, cot_prc_comum, cot_prc_min, cot_prc_max, cot_prc_med, cot_prc_mediana) VALUES (30, 17, 5, 5, 5.5, 5.13, 5);</v>
      </c>
    </row>
    <row r="1131" spans="1:10" x14ac:dyDescent="0.3">
      <c r="A1131" s="1">
        <v>1130</v>
      </c>
      <c r="B1131" s="1">
        <v>30</v>
      </c>
      <c r="C1131" s="1">
        <v>18</v>
      </c>
      <c r="D1131" s="19">
        <f>IF('Boletins Nuppa Site'!G1131&lt;&gt;0,'Boletins Nuppa Site'!G1131,"NULL")</f>
        <v>12</v>
      </c>
      <c r="E1131" s="19">
        <f>IF('Boletins Nuppa Site'!H1131&lt;&gt;0,'Boletins Nuppa Site'!H1131,"NULL")</f>
        <v>10</v>
      </c>
      <c r="F1131" s="19">
        <f>IF('Boletins Nuppa Site'!I1131&lt;&gt;0,'Boletins Nuppa Site'!I1131,"NULL")</f>
        <v>12</v>
      </c>
      <c r="G1131" s="19">
        <f>IF('Boletins Nuppa Site'!J1131&lt;&gt;0,'Boletins Nuppa Site'!J1131,"NULL")</f>
        <v>11</v>
      </c>
      <c r="H1131" s="19">
        <f>IF('Boletins Nuppa Site'!K1131&lt;&gt;0,'Boletins Nuppa Site'!K1131,"NULL")</f>
        <v>11</v>
      </c>
      <c r="J1131" s="1" t="str">
        <f t="shared" si="17"/>
        <v>INSERT INTO COTACAO (blt_id, pap_id, cot_prc_comum, cot_prc_min, cot_prc_max, cot_prc_med, cot_prc_mediana) VALUES (30, 18, 12, 10, 12, 11, 11);</v>
      </c>
    </row>
    <row r="1132" spans="1:10" x14ac:dyDescent="0.3">
      <c r="A1132" s="1">
        <v>1131</v>
      </c>
      <c r="B1132" s="1">
        <v>30</v>
      </c>
      <c r="C1132" s="1">
        <v>19</v>
      </c>
      <c r="D1132" s="1" t="str">
        <f>IF('Boletins Nuppa Site'!G1132&lt;&gt;0,'Boletins Nuppa Site'!G1132,"NULL")</f>
        <v>NULL</v>
      </c>
      <c r="E1132" s="19">
        <f>IF('Boletins Nuppa Site'!H1132&lt;&gt;0,'Boletins Nuppa Site'!H1132,"NULL")</f>
        <v>10</v>
      </c>
      <c r="F1132" s="19">
        <f>IF('Boletins Nuppa Site'!I1132&lt;&gt;0,'Boletins Nuppa Site'!I1132,"NULL")</f>
        <v>30</v>
      </c>
      <c r="G1132" s="1" t="str">
        <f>IF('Boletins Nuppa Site'!J1132&lt;&gt;0,'Boletins Nuppa Site'!J1132,"NULL")</f>
        <v>18.75</v>
      </c>
      <c r="H1132" s="1" t="str">
        <f>IF('Boletins Nuppa Site'!K1132&lt;&gt;0,'Boletins Nuppa Site'!K1132,"NULL")</f>
        <v>17.5</v>
      </c>
      <c r="J1132" s="1" t="str">
        <f t="shared" si="17"/>
        <v>INSERT INTO COTACAO (blt_id, pap_id, cot_prc_comum, cot_prc_min, cot_prc_max, cot_prc_med, cot_prc_mediana) VALUES (30, 19, NULL, 10, 30, 18.75, 17.5);</v>
      </c>
    </row>
    <row r="1133" spans="1:10" x14ac:dyDescent="0.3">
      <c r="A1133" s="1">
        <v>1132</v>
      </c>
      <c r="B1133" s="1">
        <v>30</v>
      </c>
      <c r="C1133" s="1">
        <v>20</v>
      </c>
      <c r="D1133" s="1" t="str">
        <f>IF('Boletins Nuppa Site'!G1133&lt;&gt;0,'Boletins Nuppa Site'!G1133,"NULL")</f>
        <v>NULL</v>
      </c>
      <c r="E1133" s="19">
        <f>IF('Boletins Nuppa Site'!H1133&lt;&gt;0,'Boletins Nuppa Site'!H1133,"NULL")</f>
        <v>75</v>
      </c>
      <c r="F1133" s="19">
        <f>IF('Boletins Nuppa Site'!I1133&lt;&gt;0,'Boletins Nuppa Site'!I1133,"NULL")</f>
        <v>75</v>
      </c>
      <c r="G1133" s="19">
        <f>IF('Boletins Nuppa Site'!J1133&lt;&gt;0,'Boletins Nuppa Site'!J1133,"NULL")</f>
        <v>75</v>
      </c>
      <c r="H1133" s="19">
        <f>IF('Boletins Nuppa Site'!K1133&lt;&gt;0,'Boletins Nuppa Site'!K1133,"NULL")</f>
        <v>75</v>
      </c>
      <c r="J1133" s="1" t="str">
        <f t="shared" si="17"/>
        <v>INSERT INTO COTACAO (blt_id, pap_id, cot_prc_comum, cot_prc_min, cot_prc_max, cot_prc_med, cot_prc_mediana) VALUES (30, 20, NULL, 75, 75, 75, 75);</v>
      </c>
    </row>
    <row r="1134" spans="1:10" x14ac:dyDescent="0.3">
      <c r="A1134" s="1">
        <v>1133</v>
      </c>
      <c r="B1134" s="1">
        <v>30</v>
      </c>
      <c r="C1134" s="1">
        <v>21</v>
      </c>
      <c r="D1134" s="19">
        <f>IF('Boletins Nuppa Site'!G1134&lt;&gt;0,'Boletins Nuppa Site'!G1134,"NULL")</f>
        <v>60</v>
      </c>
      <c r="E1134" s="19">
        <f>IF('Boletins Nuppa Site'!H1134&lt;&gt;0,'Boletins Nuppa Site'!H1134,"NULL")</f>
        <v>50</v>
      </c>
      <c r="F1134" s="19">
        <f>IF('Boletins Nuppa Site'!I1134&lt;&gt;0,'Boletins Nuppa Site'!I1134,"NULL")</f>
        <v>60</v>
      </c>
      <c r="G1134" s="19">
        <f>IF('Boletins Nuppa Site'!J1134&lt;&gt;0,'Boletins Nuppa Site'!J1134,"NULL")</f>
        <v>57</v>
      </c>
      <c r="H1134" s="19">
        <f>IF('Boletins Nuppa Site'!K1134&lt;&gt;0,'Boletins Nuppa Site'!K1134,"NULL")</f>
        <v>60</v>
      </c>
      <c r="J1134" s="1" t="str">
        <f t="shared" si="17"/>
        <v>INSERT INTO COTACAO (blt_id, pap_id, cot_prc_comum, cot_prc_min, cot_prc_max, cot_prc_med, cot_prc_mediana) VALUES (30, 21, 60, 50, 60, 57, 60);</v>
      </c>
    </row>
    <row r="1135" spans="1:10" x14ac:dyDescent="0.3">
      <c r="A1135" s="1">
        <v>1134</v>
      </c>
      <c r="B1135" s="1">
        <v>30</v>
      </c>
      <c r="C1135" s="1">
        <v>22</v>
      </c>
      <c r="D1135" s="19">
        <f>IF('Boletins Nuppa Site'!G1135&lt;&gt;0,'Boletins Nuppa Site'!G1135,"NULL")</f>
        <v>70</v>
      </c>
      <c r="E1135" s="19">
        <f>IF('Boletins Nuppa Site'!H1135&lt;&gt;0,'Boletins Nuppa Site'!H1135,"NULL")</f>
        <v>45</v>
      </c>
      <c r="F1135" s="19">
        <f>IF('Boletins Nuppa Site'!I1135&lt;&gt;0,'Boletins Nuppa Site'!I1135,"NULL")</f>
        <v>70</v>
      </c>
      <c r="G1135" s="19">
        <f>IF('Boletins Nuppa Site'!J1135&lt;&gt;0,'Boletins Nuppa Site'!J1135,"NULL")</f>
        <v>63</v>
      </c>
      <c r="H1135" s="19">
        <f>IF('Boletins Nuppa Site'!K1135&lt;&gt;0,'Boletins Nuppa Site'!K1135,"NULL")</f>
        <v>70</v>
      </c>
      <c r="J1135" s="1" t="str">
        <f t="shared" si="17"/>
        <v>INSERT INTO COTACAO (blt_id, pap_id, cot_prc_comum, cot_prc_min, cot_prc_max, cot_prc_med, cot_prc_mediana) VALUES (30, 22, 70, 45, 70, 63, 70);</v>
      </c>
    </row>
    <row r="1136" spans="1:10" x14ac:dyDescent="0.3">
      <c r="A1136" s="1">
        <v>1135</v>
      </c>
      <c r="B1136" s="1">
        <v>30</v>
      </c>
      <c r="C1136" s="1">
        <v>23</v>
      </c>
      <c r="D1136" s="19">
        <f>IF('Boletins Nuppa Site'!G1136&lt;&gt;0,'Boletins Nuppa Site'!G1136,"NULL")</f>
        <v>50</v>
      </c>
      <c r="E1136" s="19">
        <f>IF('Boletins Nuppa Site'!H1136&lt;&gt;0,'Boletins Nuppa Site'!H1136,"NULL")</f>
        <v>45</v>
      </c>
      <c r="F1136" s="19">
        <f>IF('Boletins Nuppa Site'!I1136&lt;&gt;0,'Boletins Nuppa Site'!I1136,"NULL")</f>
        <v>60</v>
      </c>
      <c r="G1136" s="19">
        <f>IF('Boletins Nuppa Site'!J1136&lt;&gt;0,'Boletins Nuppa Site'!J1136,"NULL")</f>
        <v>52</v>
      </c>
      <c r="H1136" s="19">
        <f>IF('Boletins Nuppa Site'!K1136&lt;&gt;0,'Boletins Nuppa Site'!K1136,"NULL")</f>
        <v>50</v>
      </c>
      <c r="J1136" s="1" t="str">
        <f t="shared" si="17"/>
        <v>INSERT INTO COTACAO (blt_id, pap_id, cot_prc_comum, cot_prc_min, cot_prc_max, cot_prc_med, cot_prc_mediana) VALUES (30, 23, 50, 45, 60, 52, 50);</v>
      </c>
    </row>
    <row r="1137" spans="1:10" x14ac:dyDescent="0.3">
      <c r="A1137" s="1">
        <v>1136</v>
      </c>
      <c r="B1137" s="1">
        <v>30</v>
      </c>
      <c r="C1137" s="1">
        <v>24</v>
      </c>
      <c r="D1137" s="1" t="str">
        <f>IF('Boletins Nuppa Site'!G1137&lt;&gt;0,'Boletins Nuppa Site'!G1137,"NULL")</f>
        <v>NULL</v>
      </c>
      <c r="E1137" s="19">
        <f>IF('Boletins Nuppa Site'!H1137&lt;&gt;0,'Boletins Nuppa Site'!H1137,"NULL")</f>
        <v>90</v>
      </c>
      <c r="F1137" s="19">
        <f>IF('Boletins Nuppa Site'!I1137&lt;&gt;0,'Boletins Nuppa Site'!I1137,"NULL")</f>
        <v>90</v>
      </c>
      <c r="G1137" s="19">
        <f>IF('Boletins Nuppa Site'!J1137&lt;&gt;0,'Boletins Nuppa Site'!J1137,"NULL")</f>
        <v>90</v>
      </c>
      <c r="H1137" s="19">
        <f>IF('Boletins Nuppa Site'!K1137&lt;&gt;0,'Boletins Nuppa Site'!K1137,"NULL")</f>
        <v>90</v>
      </c>
      <c r="J1137" s="1" t="str">
        <f t="shared" si="17"/>
        <v>INSERT INTO COTACAO (blt_id, pap_id, cot_prc_comum, cot_prc_min, cot_prc_max, cot_prc_med, cot_prc_mediana) VALUES (30, 24, NULL, 90, 90, 90, 90);</v>
      </c>
    </row>
    <row r="1138" spans="1:10" x14ac:dyDescent="0.3">
      <c r="A1138" s="1">
        <v>1137</v>
      </c>
      <c r="B1138" s="1">
        <v>30</v>
      </c>
      <c r="C1138" s="1">
        <v>25</v>
      </c>
      <c r="D1138" s="19">
        <f>IF('Boletins Nuppa Site'!G1138&lt;&gt;0,'Boletins Nuppa Site'!G1138,"NULL")</f>
        <v>70</v>
      </c>
      <c r="E1138" s="19">
        <f>IF('Boletins Nuppa Site'!H1138&lt;&gt;0,'Boletins Nuppa Site'!H1138,"NULL")</f>
        <v>60</v>
      </c>
      <c r="F1138" s="19">
        <f>IF('Boletins Nuppa Site'!I1138&lt;&gt;0,'Boletins Nuppa Site'!I1138,"NULL")</f>
        <v>70</v>
      </c>
      <c r="G1138" s="19">
        <f>IF('Boletins Nuppa Site'!J1138&lt;&gt;0,'Boletins Nuppa Site'!J1138,"NULL")</f>
        <v>65</v>
      </c>
      <c r="H1138" s="19">
        <f>IF('Boletins Nuppa Site'!K1138&lt;&gt;0,'Boletins Nuppa Site'!K1138,"NULL")</f>
        <v>65</v>
      </c>
      <c r="J1138" s="1" t="str">
        <f t="shared" si="17"/>
        <v>INSERT INTO COTACAO (blt_id, pap_id, cot_prc_comum, cot_prc_min, cot_prc_max, cot_prc_med, cot_prc_mediana) VALUES (30, 25, 70, 60, 70, 65, 65);</v>
      </c>
    </row>
    <row r="1139" spans="1:10" x14ac:dyDescent="0.3">
      <c r="A1139" s="1">
        <v>1138</v>
      </c>
      <c r="B1139" s="1">
        <v>30</v>
      </c>
      <c r="C1139" s="1">
        <v>26</v>
      </c>
      <c r="D1139" s="19">
        <f>IF('Boletins Nuppa Site'!G1139&lt;&gt;0,'Boletins Nuppa Site'!G1139,"NULL")</f>
        <v>60</v>
      </c>
      <c r="E1139" s="19">
        <f>IF('Boletins Nuppa Site'!H1139&lt;&gt;0,'Boletins Nuppa Site'!H1139,"NULL")</f>
        <v>45</v>
      </c>
      <c r="F1139" s="19">
        <f>IF('Boletins Nuppa Site'!I1139&lt;&gt;0,'Boletins Nuppa Site'!I1139,"NULL")</f>
        <v>65</v>
      </c>
      <c r="G1139" s="19">
        <f>IF('Boletins Nuppa Site'!J1139&lt;&gt;0,'Boletins Nuppa Site'!J1139,"NULL")</f>
        <v>57</v>
      </c>
      <c r="H1139" s="19">
        <f>IF('Boletins Nuppa Site'!K1139&lt;&gt;0,'Boletins Nuppa Site'!K1139,"NULL")</f>
        <v>60</v>
      </c>
      <c r="J1139" s="1" t="str">
        <f t="shared" si="17"/>
        <v>INSERT INTO COTACAO (blt_id, pap_id, cot_prc_comum, cot_prc_min, cot_prc_max, cot_prc_med, cot_prc_mediana) VALUES (30, 26, 60, 45, 65, 57, 60);</v>
      </c>
    </row>
    <row r="1140" spans="1:10" x14ac:dyDescent="0.3">
      <c r="A1140" s="1">
        <v>1139</v>
      </c>
      <c r="B1140" s="1">
        <v>30</v>
      </c>
      <c r="C1140" s="1">
        <v>27</v>
      </c>
      <c r="D1140" s="19">
        <f>IF('Boletins Nuppa Site'!G1140&lt;&gt;0,'Boletins Nuppa Site'!G1140,"NULL")</f>
        <v>60</v>
      </c>
      <c r="E1140" s="19">
        <f>IF('Boletins Nuppa Site'!H1140&lt;&gt;0,'Boletins Nuppa Site'!H1140,"NULL")</f>
        <v>55</v>
      </c>
      <c r="F1140" s="19">
        <f>IF('Boletins Nuppa Site'!I1140&lt;&gt;0,'Boletins Nuppa Site'!I1140,"NULL")</f>
        <v>80</v>
      </c>
      <c r="G1140" s="19">
        <f>IF('Boletins Nuppa Site'!J1140&lt;&gt;0,'Boletins Nuppa Site'!J1140,"NULL")</f>
        <v>66</v>
      </c>
      <c r="H1140" s="19">
        <f>IF('Boletins Nuppa Site'!K1140&lt;&gt;0,'Boletins Nuppa Site'!K1140,"NULL")</f>
        <v>60</v>
      </c>
      <c r="J1140" s="1" t="str">
        <f t="shared" si="17"/>
        <v>INSERT INTO COTACAO (blt_id, pap_id, cot_prc_comum, cot_prc_min, cot_prc_max, cot_prc_med, cot_prc_mediana) VALUES (30, 27, 60, 55, 80, 66, 60);</v>
      </c>
    </row>
    <row r="1141" spans="1:10" x14ac:dyDescent="0.3">
      <c r="A1141" s="1">
        <v>1140</v>
      </c>
      <c r="B1141" s="1">
        <v>30</v>
      </c>
      <c r="C1141" s="1">
        <v>28</v>
      </c>
      <c r="D1141" s="19">
        <f>IF('Boletins Nuppa Site'!G1141&lt;&gt;0,'Boletins Nuppa Site'!G1141,"NULL")</f>
        <v>90</v>
      </c>
      <c r="E1141" s="19">
        <f>IF('Boletins Nuppa Site'!H1141&lt;&gt;0,'Boletins Nuppa Site'!H1141,"NULL")</f>
        <v>90</v>
      </c>
      <c r="F1141" s="19">
        <f>IF('Boletins Nuppa Site'!I1141&lt;&gt;0,'Boletins Nuppa Site'!I1141,"NULL")</f>
        <v>100</v>
      </c>
      <c r="G1141" s="1" t="str">
        <f>IF('Boletins Nuppa Site'!J1141&lt;&gt;0,'Boletins Nuppa Site'!J1141,"NULL")</f>
        <v>93.75</v>
      </c>
      <c r="H1141" s="1" t="str">
        <f>IF('Boletins Nuppa Site'!K1141&lt;&gt;0,'Boletins Nuppa Site'!K1141,"NULL")</f>
        <v>92.5</v>
      </c>
      <c r="J1141" s="1" t="str">
        <f t="shared" si="17"/>
        <v>INSERT INTO COTACAO (blt_id, pap_id, cot_prc_comum, cot_prc_min, cot_prc_max, cot_prc_med, cot_prc_mediana) VALUES (30, 28, 90, 90, 100, 93.75, 92.5);</v>
      </c>
    </row>
    <row r="1142" spans="1:10" x14ac:dyDescent="0.3">
      <c r="A1142" s="1">
        <v>1141</v>
      </c>
      <c r="B1142" s="1">
        <v>30</v>
      </c>
      <c r="C1142" s="1">
        <v>29</v>
      </c>
      <c r="D1142" s="1" t="str">
        <f>IF('Boletins Nuppa Site'!G1142&lt;&gt;0,'Boletins Nuppa Site'!G1142,"NULL")</f>
        <v>NULL</v>
      </c>
      <c r="E1142" s="19">
        <f>IF('Boletins Nuppa Site'!H1142&lt;&gt;0,'Boletins Nuppa Site'!H1142,"NULL")</f>
        <v>50</v>
      </c>
      <c r="F1142" s="19">
        <f>IF('Boletins Nuppa Site'!I1142&lt;&gt;0,'Boletins Nuppa Site'!I1142,"NULL")</f>
        <v>65</v>
      </c>
      <c r="G1142" s="1" t="str">
        <f>IF('Boletins Nuppa Site'!J1142&lt;&gt;0,'Boletins Nuppa Site'!J1142,"NULL")</f>
        <v>57.5</v>
      </c>
      <c r="H1142" s="1" t="str">
        <f>IF('Boletins Nuppa Site'!K1142&lt;&gt;0,'Boletins Nuppa Site'!K1142,"NULL")</f>
        <v>57.5</v>
      </c>
      <c r="J1142" s="1" t="str">
        <f t="shared" si="17"/>
        <v>INSERT INTO COTACAO (blt_id, pap_id, cot_prc_comum, cot_prc_min, cot_prc_max, cot_prc_med, cot_prc_mediana) VALUES (30, 29, NULL, 50, 65, 57.5, 57.5);</v>
      </c>
    </row>
    <row r="1143" spans="1:10" x14ac:dyDescent="0.3">
      <c r="A1143" s="1">
        <v>1142</v>
      </c>
      <c r="B1143" s="1">
        <v>30</v>
      </c>
      <c r="C1143" s="1">
        <v>30</v>
      </c>
      <c r="D1143" s="1" t="str">
        <f>IF('Boletins Nuppa Site'!G1143&lt;&gt;0,'Boletins Nuppa Site'!G1143,"NULL")</f>
        <v>NULL</v>
      </c>
      <c r="E1143" s="19">
        <f>IF('Boletins Nuppa Site'!H1143&lt;&gt;0,'Boletins Nuppa Site'!H1143,"NULL")</f>
        <v>60</v>
      </c>
      <c r="F1143" s="19">
        <f>IF('Boletins Nuppa Site'!I1143&lt;&gt;0,'Boletins Nuppa Site'!I1143,"NULL")</f>
        <v>85</v>
      </c>
      <c r="G1143" s="1" t="str">
        <f>IF('Boletins Nuppa Site'!J1143&lt;&gt;0,'Boletins Nuppa Site'!J1143,"NULL")</f>
        <v>71.25</v>
      </c>
      <c r="H1143" s="19">
        <f>IF('Boletins Nuppa Site'!K1143&lt;&gt;0,'Boletins Nuppa Site'!K1143,"NULL")</f>
        <v>70</v>
      </c>
      <c r="J1143" s="1" t="str">
        <f t="shared" si="17"/>
        <v>INSERT INTO COTACAO (blt_id, pap_id, cot_prc_comum, cot_prc_min, cot_prc_max, cot_prc_med, cot_prc_mediana) VALUES (30, 30, NULL, 60, 85, 71.25, 70);</v>
      </c>
    </row>
    <row r="1144" spans="1:10" x14ac:dyDescent="0.3">
      <c r="A1144" s="1">
        <v>1143</v>
      </c>
      <c r="B1144" s="1">
        <v>30</v>
      </c>
      <c r="C1144" s="1">
        <v>31</v>
      </c>
      <c r="D1144" s="19">
        <f>IF('Boletins Nuppa Site'!G1144&lt;&gt;0,'Boletins Nuppa Site'!G1144,"NULL")</f>
        <v>90</v>
      </c>
      <c r="E1144" s="19">
        <f>IF('Boletins Nuppa Site'!H1144&lt;&gt;0,'Boletins Nuppa Site'!H1144,"NULL")</f>
        <v>80</v>
      </c>
      <c r="F1144" s="19">
        <f>IF('Boletins Nuppa Site'!I1144&lt;&gt;0,'Boletins Nuppa Site'!I1144,"NULL")</f>
        <v>100</v>
      </c>
      <c r="G1144" s="19">
        <f>IF('Boletins Nuppa Site'!J1144&lt;&gt;0,'Boletins Nuppa Site'!J1144,"NULL")</f>
        <v>90</v>
      </c>
      <c r="H1144" s="19">
        <f>IF('Boletins Nuppa Site'!K1144&lt;&gt;0,'Boletins Nuppa Site'!K1144,"NULL")</f>
        <v>90</v>
      </c>
      <c r="J1144" s="1" t="str">
        <f t="shared" si="17"/>
        <v>INSERT INTO COTACAO (blt_id, pap_id, cot_prc_comum, cot_prc_min, cot_prc_max, cot_prc_med, cot_prc_mediana) VALUES (30, 31, 90, 80, 100, 90, 90);</v>
      </c>
    </row>
    <row r="1145" spans="1:10" x14ac:dyDescent="0.3">
      <c r="A1145" s="1">
        <v>1144</v>
      </c>
      <c r="B1145" s="1">
        <v>30</v>
      </c>
      <c r="C1145" s="1">
        <v>32</v>
      </c>
      <c r="D1145" s="19">
        <f>IF('Boletins Nuppa Site'!G1145&lt;&gt;0,'Boletins Nuppa Site'!G1145,"NULL")</f>
        <v>55</v>
      </c>
      <c r="E1145" s="19">
        <f>IF('Boletins Nuppa Site'!H1145&lt;&gt;0,'Boletins Nuppa Site'!H1145,"NULL")</f>
        <v>50</v>
      </c>
      <c r="F1145" s="19">
        <f>IF('Boletins Nuppa Site'!I1145&lt;&gt;0,'Boletins Nuppa Site'!I1145,"NULL")</f>
        <v>70</v>
      </c>
      <c r="G1145" s="19">
        <f>IF('Boletins Nuppa Site'!J1145&lt;&gt;0,'Boletins Nuppa Site'!J1145,"NULL")</f>
        <v>56</v>
      </c>
      <c r="H1145" s="19">
        <f>IF('Boletins Nuppa Site'!K1145&lt;&gt;0,'Boletins Nuppa Site'!K1145,"NULL")</f>
        <v>55</v>
      </c>
      <c r="J1145" s="1" t="str">
        <f t="shared" si="17"/>
        <v>INSERT INTO COTACAO (blt_id, pap_id, cot_prc_comum, cot_prc_min, cot_prc_max, cot_prc_med, cot_prc_mediana) VALUES (30, 32, 55, 50, 70, 56, 55);</v>
      </c>
    </row>
    <row r="1146" spans="1:10" x14ac:dyDescent="0.3">
      <c r="A1146" s="1">
        <v>1145</v>
      </c>
      <c r="B1146" s="1">
        <v>30</v>
      </c>
      <c r="C1146" s="1">
        <v>33</v>
      </c>
      <c r="D1146" s="19">
        <f>IF('Boletins Nuppa Site'!G1146&lt;&gt;0,'Boletins Nuppa Site'!G1146,"NULL")</f>
        <v>130</v>
      </c>
      <c r="E1146" s="19">
        <f>IF('Boletins Nuppa Site'!H1146&lt;&gt;0,'Boletins Nuppa Site'!H1146,"NULL")</f>
        <v>130</v>
      </c>
      <c r="F1146" s="19">
        <f>IF('Boletins Nuppa Site'!I1146&lt;&gt;0,'Boletins Nuppa Site'!I1146,"NULL")</f>
        <v>150</v>
      </c>
      <c r="G1146" s="1" t="str">
        <f>IF('Boletins Nuppa Site'!J1146&lt;&gt;0,'Boletins Nuppa Site'!J1146,"NULL")</f>
        <v>137.5</v>
      </c>
      <c r="H1146" s="19">
        <f>IF('Boletins Nuppa Site'!K1146&lt;&gt;0,'Boletins Nuppa Site'!K1146,"NULL")</f>
        <v>135</v>
      </c>
      <c r="J1146" s="1" t="str">
        <f t="shared" si="17"/>
        <v>INSERT INTO COTACAO (blt_id, pap_id, cot_prc_comum, cot_prc_min, cot_prc_max, cot_prc_med, cot_prc_mediana) VALUES (30, 33, 130, 130, 150, 137.5, 135);</v>
      </c>
    </row>
    <row r="1147" spans="1:10" x14ac:dyDescent="0.3">
      <c r="A1147" s="1">
        <v>1146</v>
      </c>
      <c r="B1147" s="1">
        <v>30</v>
      </c>
      <c r="C1147" s="1">
        <v>34</v>
      </c>
      <c r="D1147" s="19">
        <f>IF('Boletins Nuppa Site'!G1147&lt;&gt;0,'Boletins Nuppa Site'!G1147,"NULL")</f>
        <v>60</v>
      </c>
      <c r="E1147" s="19">
        <f>IF('Boletins Nuppa Site'!H1147&lt;&gt;0,'Boletins Nuppa Site'!H1147,"NULL")</f>
        <v>45</v>
      </c>
      <c r="F1147" s="19">
        <f>IF('Boletins Nuppa Site'!I1147&lt;&gt;0,'Boletins Nuppa Site'!I1147,"NULL")</f>
        <v>65</v>
      </c>
      <c r="G1147" s="19">
        <f>IF('Boletins Nuppa Site'!J1147&lt;&gt;0,'Boletins Nuppa Site'!J1147,"NULL")</f>
        <v>58</v>
      </c>
      <c r="H1147" s="19">
        <f>IF('Boletins Nuppa Site'!K1147&lt;&gt;0,'Boletins Nuppa Site'!K1147,"NULL")</f>
        <v>60</v>
      </c>
      <c r="J1147" s="1" t="str">
        <f t="shared" si="17"/>
        <v>INSERT INTO COTACAO (blt_id, pap_id, cot_prc_comum, cot_prc_min, cot_prc_max, cot_prc_med, cot_prc_mediana) VALUES (30, 34, 60, 45, 65, 58, 60);</v>
      </c>
    </row>
    <row r="1148" spans="1:10" x14ac:dyDescent="0.3">
      <c r="A1148" s="1">
        <v>1147</v>
      </c>
      <c r="B1148" s="1">
        <v>30</v>
      </c>
      <c r="C1148" s="1">
        <v>35</v>
      </c>
      <c r="D1148" s="19">
        <f>IF('Boletins Nuppa Site'!G1148&lt;&gt;0,'Boletins Nuppa Site'!G1148,"NULL")</f>
        <v>150</v>
      </c>
      <c r="E1148" s="19">
        <f>IF('Boletins Nuppa Site'!H1148&lt;&gt;0,'Boletins Nuppa Site'!H1148,"NULL")</f>
        <v>140</v>
      </c>
      <c r="F1148" s="19">
        <f>IF('Boletins Nuppa Site'!I1148&lt;&gt;0,'Boletins Nuppa Site'!I1148,"NULL")</f>
        <v>150</v>
      </c>
      <c r="G1148" s="1" t="str">
        <f>IF('Boletins Nuppa Site'!J1148&lt;&gt;0,'Boletins Nuppa Site'!J1148,"NULL")</f>
        <v>147.5</v>
      </c>
      <c r="H1148" s="19">
        <f>IF('Boletins Nuppa Site'!K1148&lt;&gt;0,'Boletins Nuppa Site'!K1148,"NULL")</f>
        <v>150</v>
      </c>
      <c r="J1148" s="1" t="str">
        <f t="shared" si="17"/>
        <v>INSERT INTO COTACAO (blt_id, pap_id, cot_prc_comum, cot_prc_min, cot_prc_max, cot_prc_med, cot_prc_mediana) VALUES (30, 35, 150, 140, 150, 147.5, 150);</v>
      </c>
    </row>
    <row r="1149" spans="1:10" x14ac:dyDescent="0.3">
      <c r="A1149" s="1">
        <v>1148</v>
      </c>
      <c r="B1149" s="1">
        <v>30</v>
      </c>
      <c r="C1149" s="1">
        <v>36</v>
      </c>
      <c r="D1149" s="1" t="str">
        <f>IF('Boletins Nuppa Site'!G1149&lt;&gt;0,'Boletins Nuppa Site'!G1149,"NULL")</f>
        <v>NULL</v>
      </c>
      <c r="E1149" s="1" t="str">
        <f>IF('Boletins Nuppa Site'!H1149&lt;&gt;0,'Boletins Nuppa Site'!H1149,"NULL")</f>
        <v>NULL</v>
      </c>
      <c r="F1149" s="1" t="str">
        <f>IF('Boletins Nuppa Site'!I1149&lt;&gt;0,'Boletins Nuppa Site'!I1149,"NULL")</f>
        <v>NULL</v>
      </c>
      <c r="G1149" s="1" t="str">
        <f>IF('Boletins Nuppa Site'!J1149&lt;&gt;0,'Boletins Nuppa Site'!J1149,"NULL")</f>
        <v>NULL</v>
      </c>
      <c r="H1149" s="1" t="str">
        <f>IF('Boletins Nuppa Site'!K1149&lt;&gt;0,'Boletins Nuppa Site'!K1149,"NULL")</f>
        <v>NULL</v>
      </c>
      <c r="J1149" s="1" t="str">
        <f t="shared" si="17"/>
        <v>INSERT INTO COTACAO (blt_id, pap_id, cot_prc_comum, cot_prc_min, cot_prc_max, cot_prc_med, cot_prc_mediana) VALUES (30, 36, NULL, NULL, NULL, NULL, NULL);</v>
      </c>
    </row>
    <row r="1150" spans="1:10" x14ac:dyDescent="0.3">
      <c r="A1150" s="1">
        <v>1149</v>
      </c>
      <c r="B1150" s="1">
        <v>30</v>
      </c>
      <c r="C1150" s="1">
        <v>37</v>
      </c>
      <c r="D1150" s="1" t="str">
        <f>IF('Boletins Nuppa Site'!G1150&lt;&gt;0,'Boletins Nuppa Site'!G1150,"NULL")</f>
        <v>NULL</v>
      </c>
      <c r="E1150" s="1" t="str">
        <f>IF('Boletins Nuppa Site'!H1150&lt;&gt;0,'Boletins Nuppa Site'!H1150,"NULL")</f>
        <v>NULL</v>
      </c>
      <c r="F1150" s="1" t="str">
        <f>IF('Boletins Nuppa Site'!I1150&lt;&gt;0,'Boletins Nuppa Site'!I1150,"NULL")</f>
        <v>NULL</v>
      </c>
      <c r="G1150" s="1" t="str">
        <f>IF('Boletins Nuppa Site'!J1150&lt;&gt;0,'Boletins Nuppa Site'!J1150,"NULL")</f>
        <v>NULL</v>
      </c>
      <c r="H1150" s="1" t="str">
        <f>IF('Boletins Nuppa Site'!K1150&lt;&gt;0,'Boletins Nuppa Site'!K1150,"NULL")</f>
        <v>NULL</v>
      </c>
      <c r="J1150" s="1" t="str">
        <f t="shared" si="17"/>
        <v>INSERT INTO COTACAO (blt_id, pap_id, cot_prc_comum, cot_prc_min, cot_prc_max, cot_prc_med, cot_prc_mediana) VALUES (30, 37, NULL, NULL, NULL, NULL, NULL);</v>
      </c>
    </row>
    <row r="1151" spans="1:10" x14ac:dyDescent="0.3">
      <c r="A1151" s="1">
        <v>1150</v>
      </c>
      <c r="B1151" s="1">
        <v>30</v>
      </c>
      <c r="C1151" s="1">
        <v>38</v>
      </c>
      <c r="D1151" s="1" t="str">
        <f>IF('Boletins Nuppa Site'!G1151&lt;&gt;0,'Boletins Nuppa Site'!G1151,"NULL")</f>
        <v>NULL</v>
      </c>
      <c r="E1151" s="1" t="str">
        <f>IF('Boletins Nuppa Site'!H1151&lt;&gt;0,'Boletins Nuppa Site'!H1151,"NULL")</f>
        <v>NULL</v>
      </c>
      <c r="F1151" s="1" t="str">
        <f>IF('Boletins Nuppa Site'!I1151&lt;&gt;0,'Boletins Nuppa Site'!I1151,"NULL")</f>
        <v>NULL</v>
      </c>
      <c r="G1151" s="1" t="str">
        <f>IF('Boletins Nuppa Site'!J1151&lt;&gt;0,'Boletins Nuppa Site'!J1151,"NULL")</f>
        <v>NULL</v>
      </c>
      <c r="H1151" s="1" t="str">
        <f>IF('Boletins Nuppa Site'!K1151&lt;&gt;0,'Boletins Nuppa Site'!K1151,"NULL")</f>
        <v>NULL</v>
      </c>
      <c r="J1151" s="1" t="str">
        <f t="shared" si="17"/>
        <v>INSERT INTO COTACAO (blt_id, pap_id, cot_prc_comum, cot_prc_min, cot_prc_max, cot_prc_med, cot_prc_mediana) VALUES (30, 38, NULL, NULL, NULL, NULL, NULL);</v>
      </c>
    </row>
    <row r="1152" spans="1:10" x14ac:dyDescent="0.3">
      <c r="A1152" s="1">
        <v>1151</v>
      </c>
      <c r="B1152" s="1">
        <v>30</v>
      </c>
      <c r="C1152" s="1">
        <v>39</v>
      </c>
      <c r="D1152" s="1" t="str">
        <f>IF('Boletins Nuppa Site'!G1152&lt;&gt;0,'Boletins Nuppa Site'!G1152,"NULL")</f>
        <v>NULL</v>
      </c>
      <c r="E1152" s="19">
        <f>IF('Boletins Nuppa Site'!H1152&lt;&gt;0,'Boletins Nuppa Site'!H1152,"NULL")</f>
        <v>60</v>
      </c>
      <c r="F1152" s="19">
        <f>IF('Boletins Nuppa Site'!I1152&lt;&gt;0,'Boletins Nuppa Site'!I1152,"NULL")</f>
        <v>60</v>
      </c>
      <c r="G1152" s="19">
        <f>IF('Boletins Nuppa Site'!J1152&lt;&gt;0,'Boletins Nuppa Site'!J1152,"NULL")</f>
        <v>60</v>
      </c>
      <c r="H1152" s="19">
        <f>IF('Boletins Nuppa Site'!K1152&lt;&gt;0,'Boletins Nuppa Site'!K1152,"NULL")</f>
        <v>60</v>
      </c>
      <c r="J1152" s="1" t="str">
        <f t="shared" si="17"/>
        <v>INSERT INTO COTACAO (blt_id, pap_id, cot_prc_comum, cot_prc_min, cot_prc_max, cot_prc_med, cot_prc_mediana) VALUES (30, 39, NULL, 60, 60, 60, 60);</v>
      </c>
    </row>
    <row r="1153" spans="1:10" x14ac:dyDescent="0.3">
      <c r="A1153" s="1">
        <v>1152</v>
      </c>
      <c r="B1153" s="1">
        <v>30</v>
      </c>
      <c r="C1153" s="1">
        <v>40</v>
      </c>
      <c r="D1153" s="1" t="str">
        <f>IF('Boletins Nuppa Site'!G1153&lt;&gt;0,'Boletins Nuppa Site'!G1153,"NULL")</f>
        <v>NULL</v>
      </c>
      <c r="E1153" s="1" t="str">
        <f>IF('Boletins Nuppa Site'!H1153&lt;&gt;0,'Boletins Nuppa Site'!H1153,"NULL")</f>
        <v>NULL</v>
      </c>
      <c r="F1153" s="1" t="str">
        <f>IF('Boletins Nuppa Site'!I1153&lt;&gt;0,'Boletins Nuppa Site'!I1153,"NULL")</f>
        <v>NULL</v>
      </c>
      <c r="G1153" s="1" t="str">
        <f>IF('Boletins Nuppa Site'!J1153&lt;&gt;0,'Boletins Nuppa Site'!J1153,"NULL")</f>
        <v>NULL</v>
      </c>
      <c r="H1153" s="1" t="str">
        <f>IF('Boletins Nuppa Site'!K1153&lt;&gt;0,'Boletins Nuppa Site'!K1153,"NULL")</f>
        <v>NULL</v>
      </c>
      <c r="J1153" s="1" t="str">
        <f t="shared" si="17"/>
        <v>INSERT INTO COTACAO (blt_id, pap_id, cot_prc_comum, cot_prc_min, cot_prc_max, cot_prc_med, cot_prc_mediana) VALUES (30, 40, NULL, NULL, NULL, NULL, NULL);</v>
      </c>
    </row>
    <row r="1154" spans="1:10" x14ac:dyDescent="0.3">
      <c r="A1154" s="1">
        <v>1153</v>
      </c>
      <c r="B1154" s="1">
        <v>31</v>
      </c>
      <c r="C1154" s="1">
        <v>1</v>
      </c>
      <c r="D1154" s="19">
        <f>IF('Boletins Nuppa Site'!G1154&lt;&gt;0,'Boletins Nuppa Site'!G1154,"NULL")</f>
        <v>48</v>
      </c>
      <c r="E1154" s="19">
        <f>IF('Boletins Nuppa Site'!H1154&lt;&gt;0,'Boletins Nuppa Site'!H1154,"NULL")</f>
        <v>48</v>
      </c>
      <c r="F1154" s="19">
        <f>IF('Boletins Nuppa Site'!I1154&lt;&gt;0,'Boletins Nuppa Site'!I1154,"NULL")</f>
        <v>48</v>
      </c>
      <c r="G1154" s="19">
        <f>IF('Boletins Nuppa Site'!J1154&lt;&gt;0,'Boletins Nuppa Site'!J1154,"NULL")</f>
        <v>48</v>
      </c>
      <c r="H1154" s="19">
        <f>IF('Boletins Nuppa Site'!K1154&lt;&gt;0,'Boletins Nuppa Site'!K1154,"NULL")</f>
        <v>48</v>
      </c>
      <c r="J1154" s="1" t="str">
        <f t="shared" ref="J1154:J1217" si="18">"INSERT INTO COTACAO (blt_id, pap_id, cot_prc_comum, cot_prc_min, cot_prc_max, cot_prc_med, cot_prc_mediana) VALUES ("&amp;B1154&amp;", "&amp;C1154&amp;", "&amp;D1154&amp;", "&amp;E1154&amp;", "&amp;F1154&amp;", "&amp;G1154&amp;", "&amp;H1154&amp;");"</f>
        <v>INSERT INTO COTACAO (blt_id, pap_id, cot_prc_comum, cot_prc_min, cot_prc_max, cot_prc_med, cot_prc_mediana) VALUES (31, 1, 48, 48, 48, 48, 48);</v>
      </c>
    </row>
    <row r="1155" spans="1:10" x14ac:dyDescent="0.3">
      <c r="A1155" s="1">
        <v>1154</v>
      </c>
      <c r="B1155" s="1">
        <v>31</v>
      </c>
      <c r="C1155" s="1">
        <v>2</v>
      </c>
      <c r="D1155" s="1" t="str">
        <f>IF('Boletins Nuppa Site'!G1155&lt;&gt;0,'Boletins Nuppa Site'!G1155,"NULL")</f>
        <v>NULL</v>
      </c>
      <c r="E1155" s="19">
        <f>IF('Boletins Nuppa Site'!H1155&lt;&gt;0,'Boletins Nuppa Site'!H1155,"NULL")</f>
        <v>60</v>
      </c>
      <c r="F1155" s="19">
        <f>IF('Boletins Nuppa Site'!I1155&lt;&gt;0,'Boletins Nuppa Site'!I1155,"NULL")</f>
        <v>84</v>
      </c>
      <c r="G1155" s="19">
        <f>IF('Boletins Nuppa Site'!J1155&lt;&gt;0,'Boletins Nuppa Site'!J1155,"NULL")</f>
        <v>72</v>
      </c>
      <c r="H1155" s="19">
        <f>IF('Boletins Nuppa Site'!K1155&lt;&gt;0,'Boletins Nuppa Site'!K1155,"NULL")</f>
        <v>72</v>
      </c>
      <c r="J1155" s="1" t="str">
        <f t="shared" si="18"/>
        <v>INSERT INTO COTACAO (blt_id, pap_id, cot_prc_comum, cot_prc_min, cot_prc_max, cot_prc_med, cot_prc_mediana) VALUES (31, 2, NULL, 60, 84, 72, 72);</v>
      </c>
    </row>
    <row r="1156" spans="1:10" x14ac:dyDescent="0.3">
      <c r="A1156" s="1">
        <v>1155</v>
      </c>
      <c r="B1156" s="1">
        <v>31</v>
      </c>
      <c r="C1156" s="1">
        <v>3</v>
      </c>
      <c r="D1156" s="19">
        <f>IF('Boletins Nuppa Site'!G1156&lt;&gt;0,'Boletins Nuppa Site'!G1156,"NULL")</f>
        <v>30</v>
      </c>
      <c r="E1156" s="19">
        <f>IF('Boletins Nuppa Site'!H1156&lt;&gt;0,'Boletins Nuppa Site'!H1156,"NULL")</f>
        <v>30</v>
      </c>
      <c r="F1156" s="19">
        <f>IF('Boletins Nuppa Site'!I1156&lt;&gt;0,'Boletins Nuppa Site'!I1156,"NULL")</f>
        <v>42</v>
      </c>
      <c r="G1156" s="1" t="str">
        <f>IF('Boletins Nuppa Site'!J1156&lt;&gt;0,'Boletins Nuppa Site'!J1156,"NULL")</f>
        <v>34.5</v>
      </c>
      <c r="H1156" s="19">
        <f>IF('Boletins Nuppa Site'!K1156&lt;&gt;0,'Boletins Nuppa Site'!K1156,"NULL")</f>
        <v>33</v>
      </c>
      <c r="J1156" s="1" t="str">
        <f t="shared" si="18"/>
        <v>INSERT INTO COTACAO (blt_id, pap_id, cot_prc_comum, cot_prc_min, cot_prc_max, cot_prc_med, cot_prc_mediana) VALUES (31, 3, 30, 30, 42, 34.5, 33);</v>
      </c>
    </row>
    <row r="1157" spans="1:10" x14ac:dyDescent="0.3">
      <c r="A1157" s="1">
        <v>1156</v>
      </c>
      <c r="B1157" s="1">
        <v>31</v>
      </c>
      <c r="C1157" s="1">
        <v>4</v>
      </c>
      <c r="D1157" s="19">
        <f>IF('Boletins Nuppa Site'!G1157&lt;&gt;0,'Boletins Nuppa Site'!G1157,"NULL")</f>
        <v>24</v>
      </c>
      <c r="E1157" s="19">
        <f>IF('Boletins Nuppa Site'!H1157&lt;&gt;0,'Boletins Nuppa Site'!H1157,"NULL")</f>
        <v>18</v>
      </c>
      <c r="F1157" s="19">
        <f>IF('Boletins Nuppa Site'!I1157&lt;&gt;0,'Boletins Nuppa Site'!I1157,"NULL")</f>
        <v>24</v>
      </c>
      <c r="G1157" s="19">
        <f>IF('Boletins Nuppa Site'!J1157&lt;&gt;0,'Boletins Nuppa Site'!J1157,"NULL")</f>
        <v>21</v>
      </c>
      <c r="H1157" s="19">
        <f>IF('Boletins Nuppa Site'!K1157&lt;&gt;0,'Boletins Nuppa Site'!K1157,"NULL")</f>
        <v>21</v>
      </c>
      <c r="J1157" s="1" t="str">
        <f t="shared" si="18"/>
        <v>INSERT INTO COTACAO (blt_id, pap_id, cot_prc_comum, cot_prc_min, cot_prc_max, cot_prc_med, cot_prc_mediana) VALUES (31, 4, 24, 18, 24, 21, 21);</v>
      </c>
    </row>
    <row r="1158" spans="1:10" x14ac:dyDescent="0.3">
      <c r="A1158" s="1">
        <v>1157</v>
      </c>
      <c r="B1158" s="1">
        <v>31</v>
      </c>
      <c r="C1158" s="1">
        <v>5</v>
      </c>
      <c r="D1158" s="19">
        <f>IF('Boletins Nuppa Site'!G1158&lt;&gt;0,'Boletins Nuppa Site'!G1158,"NULL")</f>
        <v>24</v>
      </c>
      <c r="E1158" s="19">
        <f>IF('Boletins Nuppa Site'!H1158&lt;&gt;0,'Boletins Nuppa Site'!H1158,"NULL")</f>
        <v>18</v>
      </c>
      <c r="F1158" s="19">
        <f>IF('Boletins Nuppa Site'!I1158&lt;&gt;0,'Boletins Nuppa Site'!I1158,"NULL")</f>
        <v>24</v>
      </c>
      <c r="G1158" s="19">
        <f>IF('Boletins Nuppa Site'!J1158&lt;&gt;0,'Boletins Nuppa Site'!J1158,"NULL")</f>
        <v>22</v>
      </c>
      <c r="H1158" s="19">
        <f>IF('Boletins Nuppa Site'!K1158&lt;&gt;0,'Boletins Nuppa Site'!K1158,"NULL")</f>
        <v>24</v>
      </c>
      <c r="J1158" s="1" t="str">
        <f t="shared" si="18"/>
        <v>INSERT INTO COTACAO (blt_id, pap_id, cot_prc_comum, cot_prc_min, cot_prc_max, cot_prc_med, cot_prc_mediana) VALUES (31, 5, 24, 18, 24, 22, 24);</v>
      </c>
    </row>
    <row r="1159" spans="1:10" x14ac:dyDescent="0.3">
      <c r="A1159" s="1">
        <v>1158</v>
      </c>
      <c r="B1159" s="1">
        <v>31</v>
      </c>
      <c r="C1159" s="1">
        <v>6</v>
      </c>
      <c r="D1159" s="19">
        <f>IF('Boletins Nuppa Site'!G1159&lt;&gt;0,'Boletins Nuppa Site'!G1159,"NULL")</f>
        <v>60</v>
      </c>
      <c r="E1159" s="19">
        <f>IF('Boletins Nuppa Site'!H1159&lt;&gt;0,'Boletins Nuppa Site'!H1159,"NULL")</f>
        <v>48</v>
      </c>
      <c r="F1159" s="19">
        <f>IF('Boletins Nuppa Site'!I1159&lt;&gt;0,'Boletins Nuppa Site'!I1159,"NULL")</f>
        <v>60</v>
      </c>
      <c r="G1159" s="19">
        <f>IF('Boletins Nuppa Site'!J1159&lt;&gt;0,'Boletins Nuppa Site'!J1159,"NULL")</f>
        <v>56</v>
      </c>
      <c r="H1159" s="19">
        <f>IF('Boletins Nuppa Site'!K1159&lt;&gt;0,'Boletins Nuppa Site'!K1159,"NULL")</f>
        <v>60</v>
      </c>
      <c r="J1159" s="1" t="str">
        <f t="shared" si="18"/>
        <v>INSERT INTO COTACAO (blt_id, pap_id, cot_prc_comum, cot_prc_min, cot_prc_max, cot_prc_med, cot_prc_mediana) VALUES (31, 6, 60, 48, 60, 56, 60);</v>
      </c>
    </row>
    <row r="1160" spans="1:10" x14ac:dyDescent="0.3">
      <c r="A1160" s="1">
        <v>1159</v>
      </c>
      <c r="B1160" s="1">
        <v>31</v>
      </c>
      <c r="C1160" s="1">
        <v>7</v>
      </c>
      <c r="D1160" s="19">
        <f>IF('Boletins Nuppa Site'!G1160&lt;&gt;0,'Boletins Nuppa Site'!G1160,"NULL")</f>
        <v>60</v>
      </c>
      <c r="E1160" s="19">
        <f>IF('Boletins Nuppa Site'!H1160&lt;&gt;0,'Boletins Nuppa Site'!H1160,"NULL")</f>
        <v>60</v>
      </c>
      <c r="F1160" s="19">
        <f>IF('Boletins Nuppa Site'!I1160&lt;&gt;0,'Boletins Nuppa Site'!I1160,"NULL")</f>
        <v>60</v>
      </c>
      <c r="G1160" s="19">
        <f>IF('Boletins Nuppa Site'!J1160&lt;&gt;0,'Boletins Nuppa Site'!J1160,"NULL")</f>
        <v>60</v>
      </c>
      <c r="H1160" s="19">
        <f>IF('Boletins Nuppa Site'!K1160&lt;&gt;0,'Boletins Nuppa Site'!K1160,"NULL")</f>
        <v>60</v>
      </c>
      <c r="J1160" s="1" t="str">
        <f t="shared" si="18"/>
        <v>INSERT INTO COTACAO (blt_id, pap_id, cot_prc_comum, cot_prc_min, cot_prc_max, cot_prc_med, cot_prc_mediana) VALUES (31, 7, 60, 60, 60, 60, 60);</v>
      </c>
    </row>
    <row r="1161" spans="1:10" x14ac:dyDescent="0.3">
      <c r="A1161" s="1">
        <v>1160</v>
      </c>
      <c r="B1161" s="1">
        <v>31</v>
      </c>
      <c r="C1161" s="1">
        <v>8</v>
      </c>
      <c r="D1161" s="19">
        <f>IF('Boletins Nuppa Site'!G1161&lt;&gt;0,'Boletins Nuppa Site'!G1161,"NULL")</f>
        <v>72</v>
      </c>
      <c r="E1161" s="19">
        <f>IF('Boletins Nuppa Site'!H1161&lt;&gt;0,'Boletins Nuppa Site'!H1161,"NULL")</f>
        <v>40</v>
      </c>
      <c r="F1161" s="19">
        <f>IF('Boletins Nuppa Site'!I1161&lt;&gt;0,'Boletins Nuppa Site'!I1161,"NULL")</f>
        <v>72</v>
      </c>
      <c r="G1161" s="19">
        <f>IF('Boletins Nuppa Site'!J1161&lt;&gt;0,'Boletins Nuppa Site'!J1161,"NULL")</f>
        <v>64</v>
      </c>
      <c r="H1161" s="19">
        <f>IF('Boletins Nuppa Site'!K1161&lt;&gt;0,'Boletins Nuppa Site'!K1161,"NULL")</f>
        <v>72</v>
      </c>
      <c r="J1161" s="1" t="str">
        <f t="shared" si="18"/>
        <v>INSERT INTO COTACAO (blt_id, pap_id, cot_prc_comum, cot_prc_min, cot_prc_max, cot_prc_med, cot_prc_mediana) VALUES (31, 8, 72, 40, 72, 64, 72);</v>
      </c>
    </row>
    <row r="1162" spans="1:10" x14ac:dyDescent="0.3">
      <c r="A1162" s="1">
        <v>1161</v>
      </c>
      <c r="B1162" s="1">
        <v>31</v>
      </c>
      <c r="C1162" s="1">
        <v>9</v>
      </c>
      <c r="D1162" s="19">
        <f>IF('Boletins Nuppa Site'!G1162&lt;&gt;0,'Boletins Nuppa Site'!G1162,"NULL")</f>
        <v>24</v>
      </c>
      <c r="E1162" s="19">
        <f>IF('Boletins Nuppa Site'!H1162&lt;&gt;0,'Boletins Nuppa Site'!H1162,"NULL")</f>
        <v>15</v>
      </c>
      <c r="F1162" s="19">
        <f>IF('Boletins Nuppa Site'!I1162&lt;&gt;0,'Boletins Nuppa Site'!I1162,"NULL")</f>
        <v>24</v>
      </c>
      <c r="G1162" s="1" t="str">
        <f>IF('Boletins Nuppa Site'!J1162&lt;&gt;0,'Boletins Nuppa Site'!J1162,"NULL")</f>
        <v>20.25</v>
      </c>
      <c r="H1162" s="19">
        <f>IF('Boletins Nuppa Site'!K1162&lt;&gt;0,'Boletins Nuppa Site'!K1162,"NULL")</f>
        <v>21</v>
      </c>
      <c r="J1162" s="1" t="str">
        <f t="shared" si="18"/>
        <v>INSERT INTO COTACAO (blt_id, pap_id, cot_prc_comum, cot_prc_min, cot_prc_max, cot_prc_med, cot_prc_mediana) VALUES (31, 9, 24, 15, 24, 20.25, 21);</v>
      </c>
    </row>
    <row r="1163" spans="1:10" x14ac:dyDescent="0.3">
      <c r="A1163" s="1">
        <v>1162</v>
      </c>
      <c r="B1163" s="1">
        <v>31</v>
      </c>
      <c r="C1163" s="1">
        <v>10</v>
      </c>
      <c r="D1163" s="19">
        <f>IF('Boletins Nuppa Site'!G1163&lt;&gt;0,'Boletins Nuppa Site'!G1163,"NULL")</f>
        <v>60</v>
      </c>
      <c r="E1163" s="19">
        <f>IF('Boletins Nuppa Site'!H1163&lt;&gt;0,'Boletins Nuppa Site'!H1163,"NULL")</f>
        <v>60</v>
      </c>
      <c r="F1163" s="19">
        <f>IF('Boletins Nuppa Site'!I1163&lt;&gt;0,'Boletins Nuppa Site'!I1163,"NULL")</f>
        <v>72</v>
      </c>
      <c r="G1163" s="19">
        <f>IF('Boletins Nuppa Site'!J1163&lt;&gt;0,'Boletins Nuppa Site'!J1163,"NULL")</f>
        <v>64</v>
      </c>
      <c r="H1163" s="19">
        <f>IF('Boletins Nuppa Site'!K1163&lt;&gt;0,'Boletins Nuppa Site'!K1163,"NULL")</f>
        <v>60</v>
      </c>
      <c r="J1163" s="1" t="str">
        <f t="shared" si="18"/>
        <v>INSERT INTO COTACAO (blt_id, pap_id, cot_prc_comum, cot_prc_min, cot_prc_max, cot_prc_med, cot_prc_mediana) VALUES (31, 10, 60, 60, 72, 64, 60);</v>
      </c>
    </row>
    <row r="1164" spans="1:10" x14ac:dyDescent="0.3">
      <c r="A1164" s="1">
        <v>1163</v>
      </c>
      <c r="B1164" s="1">
        <v>31</v>
      </c>
      <c r="C1164" s="1">
        <v>11</v>
      </c>
      <c r="D1164" s="19">
        <f>IF('Boletins Nuppa Site'!G1164&lt;&gt;0,'Boletins Nuppa Site'!G1164,"NULL")</f>
        <v>24</v>
      </c>
      <c r="E1164" s="19">
        <f>IF('Boletins Nuppa Site'!H1164&lt;&gt;0,'Boletins Nuppa Site'!H1164,"NULL")</f>
        <v>18</v>
      </c>
      <c r="F1164" s="19">
        <f>IF('Boletins Nuppa Site'!I1164&lt;&gt;0,'Boletins Nuppa Site'!I1164,"NULL")</f>
        <v>24</v>
      </c>
      <c r="G1164" s="1" t="str">
        <f>IF('Boletins Nuppa Site'!J1164&lt;&gt;0,'Boletins Nuppa Site'!J1164,"NULL")</f>
        <v>22.5</v>
      </c>
      <c r="H1164" s="19">
        <f>IF('Boletins Nuppa Site'!K1164&lt;&gt;0,'Boletins Nuppa Site'!K1164,"NULL")</f>
        <v>24</v>
      </c>
      <c r="J1164" s="1" t="str">
        <f t="shared" si="18"/>
        <v>INSERT INTO COTACAO (blt_id, pap_id, cot_prc_comum, cot_prc_min, cot_prc_max, cot_prc_med, cot_prc_mediana) VALUES (31, 11, 24, 18, 24, 22.5, 24);</v>
      </c>
    </row>
    <row r="1165" spans="1:10" x14ac:dyDescent="0.3">
      <c r="A1165" s="1">
        <v>1164</v>
      </c>
      <c r="B1165" s="1">
        <v>31</v>
      </c>
      <c r="C1165" s="1">
        <v>12</v>
      </c>
      <c r="D1165" s="19">
        <f>IF('Boletins Nuppa Site'!G1165&lt;&gt;0,'Boletins Nuppa Site'!G1165,"NULL")</f>
        <v>60</v>
      </c>
      <c r="E1165" s="19">
        <f>IF('Boletins Nuppa Site'!H1165&lt;&gt;0,'Boletins Nuppa Site'!H1165,"NULL")</f>
        <v>48</v>
      </c>
      <c r="F1165" s="19">
        <f>IF('Boletins Nuppa Site'!I1165&lt;&gt;0,'Boletins Nuppa Site'!I1165,"NULL")</f>
        <v>60</v>
      </c>
      <c r="G1165" s="19">
        <f>IF('Boletins Nuppa Site'!J1165&lt;&gt;0,'Boletins Nuppa Site'!J1165,"NULL")</f>
        <v>56</v>
      </c>
      <c r="H1165" s="19">
        <f>IF('Boletins Nuppa Site'!K1165&lt;&gt;0,'Boletins Nuppa Site'!K1165,"NULL")</f>
        <v>60</v>
      </c>
      <c r="J1165" s="1" t="str">
        <f t="shared" si="18"/>
        <v>INSERT INTO COTACAO (blt_id, pap_id, cot_prc_comum, cot_prc_min, cot_prc_max, cot_prc_med, cot_prc_mediana) VALUES (31, 12, 60, 48, 60, 56, 60);</v>
      </c>
    </row>
    <row r="1166" spans="1:10" x14ac:dyDescent="0.3">
      <c r="A1166" s="1">
        <v>1165</v>
      </c>
      <c r="B1166" s="1">
        <v>31</v>
      </c>
      <c r="C1166" s="1">
        <v>13</v>
      </c>
      <c r="D1166" s="19">
        <f>IF('Boletins Nuppa Site'!G1166&lt;&gt;0,'Boletins Nuppa Site'!G1166,"NULL")</f>
        <v>48</v>
      </c>
      <c r="E1166" s="19">
        <f>IF('Boletins Nuppa Site'!H1166&lt;&gt;0,'Boletins Nuppa Site'!H1166,"NULL")</f>
        <v>42</v>
      </c>
      <c r="F1166" s="19">
        <f>IF('Boletins Nuppa Site'!I1166&lt;&gt;0,'Boletins Nuppa Site'!I1166,"NULL")</f>
        <v>48</v>
      </c>
      <c r="G1166" s="1" t="str">
        <f>IF('Boletins Nuppa Site'!J1166&lt;&gt;0,'Boletins Nuppa Site'!J1166,"NULL")</f>
        <v>46.5</v>
      </c>
      <c r="H1166" s="19">
        <f>IF('Boletins Nuppa Site'!K1166&lt;&gt;0,'Boletins Nuppa Site'!K1166,"NULL")</f>
        <v>48</v>
      </c>
      <c r="J1166" s="1" t="str">
        <f t="shared" si="18"/>
        <v>INSERT INTO COTACAO (blt_id, pap_id, cot_prc_comum, cot_prc_min, cot_prc_max, cot_prc_med, cot_prc_mediana) VALUES (31, 13, 48, 42, 48, 46.5, 48);</v>
      </c>
    </row>
    <row r="1167" spans="1:10" x14ac:dyDescent="0.3">
      <c r="A1167" s="1">
        <v>1166</v>
      </c>
      <c r="B1167" s="1">
        <v>31</v>
      </c>
      <c r="C1167" s="1">
        <v>14</v>
      </c>
      <c r="D1167" s="19">
        <f>IF('Boletins Nuppa Site'!G1167&lt;&gt;0,'Boletins Nuppa Site'!G1167,"NULL")</f>
        <v>60</v>
      </c>
      <c r="E1167" s="19">
        <f>IF('Boletins Nuppa Site'!H1167&lt;&gt;0,'Boletins Nuppa Site'!H1167,"NULL")</f>
        <v>60</v>
      </c>
      <c r="F1167" s="19">
        <f>IF('Boletins Nuppa Site'!I1167&lt;&gt;0,'Boletins Nuppa Site'!I1167,"NULL")</f>
        <v>60</v>
      </c>
      <c r="G1167" s="19">
        <f>IF('Boletins Nuppa Site'!J1167&lt;&gt;0,'Boletins Nuppa Site'!J1167,"NULL")</f>
        <v>60</v>
      </c>
      <c r="H1167" s="19">
        <f>IF('Boletins Nuppa Site'!K1167&lt;&gt;0,'Boletins Nuppa Site'!K1167,"NULL")</f>
        <v>60</v>
      </c>
      <c r="J1167" s="1" t="str">
        <f t="shared" si="18"/>
        <v>INSERT INTO COTACAO (blt_id, pap_id, cot_prc_comum, cot_prc_min, cot_prc_max, cot_prc_med, cot_prc_mediana) VALUES (31, 14, 60, 60, 60, 60, 60);</v>
      </c>
    </row>
    <row r="1168" spans="1:10" x14ac:dyDescent="0.3">
      <c r="A1168" s="1">
        <v>1167</v>
      </c>
      <c r="B1168" s="1">
        <v>31</v>
      </c>
      <c r="C1168" s="1">
        <v>15</v>
      </c>
      <c r="D1168" s="19">
        <f>IF('Boletins Nuppa Site'!G1168&lt;&gt;0,'Boletins Nuppa Site'!G1168,"NULL")</f>
        <v>36</v>
      </c>
      <c r="E1168" s="19">
        <f>IF('Boletins Nuppa Site'!H1168&lt;&gt;0,'Boletins Nuppa Site'!H1168,"NULL")</f>
        <v>30</v>
      </c>
      <c r="F1168" s="19">
        <f>IF('Boletins Nuppa Site'!I1168&lt;&gt;0,'Boletins Nuppa Site'!I1168,"NULL")</f>
        <v>36</v>
      </c>
      <c r="G1168" s="1" t="str">
        <f>IF('Boletins Nuppa Site'!J1168&lt;&gt;0,'Boletins Nuppa Site'!J1168,"NULL")</f>
        <v>34.25</v>
      </c>
      <c r="H1168" s="1" t="str">
        <f>IF('Boletins Nuppa Site'!K1168&lt;&gt;0,'Boletins Nuppa Site'!K1168,"NULL")</f>
        <v>35.5</v>
      </c>
      <c r="J1168" s="1" t="str">
        <f t="shared" si="18"/>
        <v>INSERT INTO COTACAO (blt_id, pap_id, cot_prc_comum, cot_prc_min, cot_prc_max, cot_prc_med, cot_prc_mediana) VALUES (31, 15, 36, 30, 36, 34.25, 35.5);</v>
      </c>
    </row>
    <row r="1169" spans="1:10" x14ac:dyDescent="0.3">
      <c r="A1169" s="1">
        <v>1168</v>
      </c>
      <c r="B1169" s="1">
        <v>31</v>
      </c>
      <c r="C1169" s="1">
        <v>16</v>
      </c>
      <c r="D1169" s="19">
        <f>IF('Boletins Nuppa Site'!G1169&lt;&gt;0,'Boletins Nuppa Site'!G1169,"NULL")</f>
        <v>48</v>
      </c>
      <c r="E1169" s="19">
        <f>IF('Boletins Nuppa Site'!H1169&lt;&gt;0,'Boletins Nuppa Site'!H1169,"NULL")</f>
        <v>48</v>
      </c>
      <c r="F1169" s="19">
        <f>IF('Boletins Nuppa Site'!I1169&lt;&gt;0,'Boletins Nuppa Site'!I1169,"NULL")</f>
        <v>54</v>
      </c>
      <c r="G1169" s="1" t="str">
        <f>IF('Boletins Nuppa Site'!J1169&lt;&gt;0,'Boletins Nuppa Site'!J1169,"NULL")</f>
        <v>49.5</v>
      </c>
      <c r="H1169" s="19">
        <f>IF('Boletins Nuppa Site'!K1169&lt;&gt;0,'Boletins Nuppa Site'!K1169,"NULL")</f>
        <v>48</v>
      </c>
      <c r="J1169" s="1" t="str">
        <f t="shared" si="18"/>
        <v>INSERT INTO COTACAO (blt_id, pap_id, cot_prc_comum, cot_prc_min, cot_prc_max, cot_prc_med, cot_prc_mediana) VALUES (31, 16, 48, 48, 54, 49.5, 48);</v>
      </c>
    </row>
    <row r="1170" spans="1:10" x14ac:dyDescent="0.3">
      <c r="A1170" s="1">
        <v>1169</v>
      </c>
      <c r="B1170" s="1">
        <v>31</v>
      </c>
      <c r="C1170" s="1">
        <v>17</v>
      </c>
      <c r="D1170" s="19">
        <f>IF('Boletins Nuppa Site'!G1170&lt;&gt;0,'Boletins Nuppa Site'!G1170,"NULL")</f>
        <v>5</v>
      </c>
      <c r="E1170" s="19">
        <f>IF('Boletins Nuppa Site'!H1170&lt;&gt;0,'Boletins Nuppa Site'!H1170,"NULL")</f>
        <v>5</v>
      </c>
      <c r="F1170" s="19">
        <f>IF('Boletins Nuppa Site'!I1170&lt;&gt;0,'Boletins Nuppa Site'!I1170,"NULL")</f>
        <v>5</v>
      </c>
      <c r="G1170" s="19">
        <f>IF('Boletins Nuppa Site'!J1170&lt;&gt;0,'Boletins Nuppa Site'!J1170,"NULL")</f>
        <v>5</v>
      </c>
      <c r="H1170" s="19">
        <f>IF('Boletins Nuppa Site'!K1170&lt;&gt;0,'Boletins Nuppa Site'!K1170,"NULL")</f>
        <v>5</v>
      </c>
      <c r="J1170" s="1" t="str">
        <f t="shared" si="18"/>
        <v>INSERT INTO COTACAO (blt_id, pap_id, cot_prc_comum, cot_prc_min, cot_prc_max, cot_prc_med, cot_prc_mediana) VALUES (31, 17, 5, 5, 5, 5, 5);</v>
      </c>
    </row>
    <row r="1171" spans="1:10" x14ac:dyDescent="0.3">
      <c r="A1171" s="1">
        <v>1170</v>
      </c>
      <c r="B1171" s="1">
        <v>31</v>
      </c>
      <c r="C1171" s="1">
        <v>18</v>
      </c>
      <c r="D1171" s="19">
        <f>IF('Boletins Nuppa Site'!G1171&lt;&gt;0,'Boletins Nuppa Site'!G1171,"NULL")</f>
        <v>10</v>
      </c>
      <c r="E1171" s="19">
        <f>IF('Boletins Nuppa Site'!H1171&lt;&gt;0,'Boletins Nuppa Site'!H1171,"NULL")</f>
        <v>10</v>
      </c>
      <c r="F1171" s="19">
        <f>IF('Boletins Nuppa Site'!I1171&lt;&gt;0,'Boletins Nuppa Site'!I1171,"NULL")</f>
        <v>10</v>
      </c>
      <c r="G1171" s="19">
        <f>IF('Boletins Nuppa Site'!J1171&lt;&gt;0,'Boletins Nuppa Site'!J1171,"NULL")</f>
        <v>10</v>
      </c>
      <c r="H1171" s="19">
        <f>IF('Boletins Nuppa Site'!K1171&lt;&gt;0,'Boletins Nuppa Site'!K1171,"NULL")</f>
        <v>10</v>
      </c>
      <c r="J1171" s="1" t="str">
        <f t="shared" si="18"/>
        <v>INSERT INTO COTACAO (blt_id, pap_id, cot_prc_comum, cot_prc_min, cot_prc_max, cot_prc_med, cot_prc_mediana) VALUES (31, 18, 10, 10, 10, 10, 10);</v>
      </c>
    </row>
    <row r="1172" spans="1:10" x14ac:dyDescent="0.3">
      <c r="A1172" s="1">
        <v>1171</v>
      </c>
      <c r="B1172" s="1">
        <v>31</v>
      </c>
      <c r="C1172" s="1">
        <v>19</v>
      </c>
      <c r="D1172" s="19">
        <f>IF('Boletins Nuppa Site'!G1172&lt;&gt;0,'Boletins Nuppa Site'!G1172,"NULL")</f>
        <v>20</v>
      </c>
      <c r="E1172" s="19">
        <f>IF('Boletins Nuppa Site'!H1172&lt;&gt;0,'Boletins Nuppa Site'!H1172,"NULL")</f>
        <v>20</v>
      </c>
      <c r="F1172" s="19">
        <f>IF('Boletins Nuppa Site'!I1172&lt;&gt;0,'Boletins Nuppa Site'!I1172,"NULL")</f>
        <v>30</v>
      </c>
      <c r="G1172" s="1" t="str">
        <f>IF('Boletins Nuppa Site'!J1172&lt;&gt;0,'Boletins Nuppa Site'!J1172,"NULL")</f>
        <v>23.75</v>
      </c>
      <c r="H1172" s="1" t="str">
        <f>IF('Boletins Nuppa Site'!K1172&lt;&gt;0,'Boletins Nuppa Site'!K1172,"NULL")</f>
        <v>22.5</v>
      </c>
      <c r="J1172" s="1" t="str">
        <f t="shared" si="18"/>
        <v>INSERT INTO COTACAO (blt_id, pap_id, cot_prc_comum, cot_prc_min, cot_prc_max, cot_prc_med, cot_prc_mediana) VALUES (31, 19, 20, 20, 30, 23.75, 22.5);</v>
      </c>
    </row>
    <row r="1173" spans="1:10" x14ac:dyDescent="0.3">
      <c r="A1173" s="1">
        <v>1172</v>
      </c>
      <c r="B1173" s="1">
        <v>31</v>
      </c>
      <c r="C1173" s="1">
        <v>20</v>
      </c>
      <c r="D1173" s="1" t="str">
        <f>IF('Boletins Nuppa Site'!G1173&lt;&gt;0,'Boletins Nuppa Site'!G1173,"NULL")</f>
        <v>NULL</v>
      </c>
      <c r="E1173" s="19">
        <f>IF('Boletins Nuppa Site'!H1173&lt;&gt;0,'Boletins Nuppa Site'!H1173,"NULL")</f>
        <v>70</v>
      </c>
      <c r="F1173" s="19">
        <f>IF('Boletins Nuppa Site'!I1173&lt;&gt;0,'Boletins Nuppa Site'!I1173,"NULL")</f>
        <v>80</v>
      </c>
      <c r="G1173" s="19">
        <f>IF('Boletins Nuppa Site'!J1173&lt;&gt;0,'Boletins Nuppa Site'!J1173,"NULL")</f>
        <v>75</v>
      </c>
      <c r="H1173" s="19">
        <f>IF('Boletins Nuppa Site'!K1173&lt;&gt;0,'Boletins Nuppa Site'!K1173,"NULL")</f>
        <v>75</v>
      </c>
      <c r="J1173" s="1" t="str">
        <f t="shared" si="18"/>
        <v>INSERT INTO COTACAO (blt_id, pap_id, cot_prc_comum, cot_prc_min, cot_prc_max, cot_prc_med, cot_prc_mediana) VALUES (31, 20, NULL, 70, 80, 75, 75);</v>
      </c>
    </row>
    <row r="1174" spans="1:10" x14ac:dyDescent="0.3">
      <c r="A1174" s="1">
        <v>1173</v>
      </c>
      <c r="B1174" s="1">
        <v>31</v>
      </c>
      <c r="C1174" s="1">
        <v>21</v>
      </c>
      <c r="D1174" s="19">
        <f>IF('Boletins Nuppa Site'!G1174&lt;&gt;0,'Boletins Nuppa Site'!G1174,"NULL")</f>
        <v>60</v>
      </c>
      <c r="E1174" s="19">
        <f>IF('Boletins Nuppa Site'!H1174&lt;&gt;0,'Boletins Nuppa Site'!H1174,"NULL")</f>
        <v>50</v>
      </c>
      <c r="F1174" s="19">
        <f>IF('Boletins Nuppa Site'!I1174&lt;&gt;0,'Boletins Nuppa Site'!I1174,"NULL")</f>
        <v>60</v>
      </c>
      <c r="G1174" s="1" t="str">
        <f>IF('Boletins Nuppa Site'!J1174&lt;&gt;0,'Boletins Nuppa Site'!J1174,"NULL")</f>
        <v>57.5</v>
      </c>
      <c r="H1174" s="19">
        <f>IF('Boletins Nuppa Site'!K1174&lt;&gt;0,'Boletins Nuppa Site'!K1174,"NULL")</f>
        <v>60</v>
      </c>
      <c r="J1174" s="1" t="str">
        <f t="shared" si="18"/>
        <v>INSERT INTO COTACAO (blt_id, pap_id, cot_prc_comum, cot_prc_min, cot_prc_max, cot_prc_med, cot_prc_mediana) VALUES (31, 21, 60, 50, 60, 57.5, 60);</v>
      </c>
    </row>
    <row r="1175" spans="1:10" x14ac:dyDescent="0.3">
      <c r="A1175" s="1">
        <v>1174</v>
      </c>
      <c r="B1175" s="1">
        <v>31</v>
      </c>
      <c r="C1175" s="1">
        <v>22</v>
      </c>
      <c r="D1175" s="1" t="str">
        <f>IF('Boletins Nuppa Site'!G1175&lt;&gt;0,'Boletins Nuppa Site'!G1175,"NULL")</f>
        <v>NULL</v>
      </c>
      <c r="E1175" s="19">
        <f>IF('Boletins Nuppa Site'!H1175&lt;&gt;0,'Boletins Nuppa Site'!H1175,"NULL")</f>
        <v>35</v>
      </c>
      <c r="F1175" s="19">
        <f>IF('Boletins Nuppa Site'!I1175&lt;&gt;0,'Boletins Nuppa Site'!I1175,"NULL")</f>
        <v>80</v>
      </c>
      <c r="G1175" s="19">
        <f>IF('Boletins Nuppa Site'!J1175&lt;&gt;0,'Boletins Nuppa Site'!J1175,"NULL")</f>
        <v>56</v>
      </c>
      <c r="H1175" s="19">
        <f>IF('Boletins Nuppa Site'!K1175&lt;&gt;0,'Boletins Nuppa Site'!K1175,"NULL")</f>
        <v>50</v>
      </c>
      <c r="J1175" s="1" t="str">
        <f t="shared" si="18"/>
        <v>INSERT INTO COTACAO (blt_id, pap_id, cot_prc_comum, cot_prc_min, cot_prc_max, cot_prc_med, cot_prc_mediana) VALUES (31, 22, NULL, 35, 80, 56, 50);</v>
      </c>
    </row>
    <row r="1176" spans="1:10" x14ac:dyDescent="0.3">
      <c r="A1176" s="1">
        <v>1175</v>
      </c>
      <c r="B1176" s="1">
        <v>31</v>
      </c>
      <c r="C1176" s="1">
        <v>23</v>
      </c>
      <c r="D1176" s="19">
        <f>IF('Boletins Nuppa Site'!G1176&lt;&gt;0,'Boletins Nuppa Site'!G1176,"NULL")</f>
        <v>45</v>
      </c>
      <c r="E1176" s="19">
        <f>IF('Boletins Nuppa Site'!H1176&lt;&gt;0,'Boletins Nuppa Site'!H1176,"NULL")</f>
        <v>45</v>
      </c>
      <c r="F1176" s="19">
        <f>IF('Boletins Nuppa Site'!I1176&lt;&gt;0,'Boletins Nuppa Site'!I1176,"NULL")</f>
        <v>60</v>
      </c>
      <c r="G1176" s="19">
        <f>IF('Boletins Nuppa Site'!J1176&lt;&gt;0,'Boletins Nuppa Site'!J1176,"NULL")</f>
        <v>50</v>
      </c>
      <c r="H1176" s="1" t="str">
        <f>IF('Boletins Nuppa Site'!K1176&lt;&gt;0,'Boletins Nuppa Site'!K1176,"NULL")</f>
        <v>47.5</v>
      </c>
      <c r="J1176" s="1" t="str">
        <f t="shared" si="18"/>
        <v>INSERT INTO COTACAO (blt_id, pap_id, cot_prc_comum, cot_prc_min, cot_prc_max, cot_prc_med, cot_prc_mediana) VALUES (31, 23, 45, 45, 60, 50, 47.5);</v>
      </c>
    </row>
    <row r="1177" spans="1:10" x14ac:dyDescent="0.3">
      <c r="A1177" s="1">
        <v>1176</v>
      </c>
      <c r="B1177" s="1">
        <v>31</v>
      </c>
      <c r="C1177" s="1">
        <v>24</v>
      </c>
      <c r="D1177" s="1" t="str">
        <f>IF('Boletins Nuppa Site'!G1177&lt;&gt;0,'Boletins Nuppa Site'!G1177,"NULL")</f>
        <v>NULL</v>
      </c>
      <c r="E1177" s="1" t="str">
        <f>IF('Boletins Nuppa Site'!H1177&lt;&gt;0,'Boletins Nuppa Site'!H1177,"NULL")</f>
        <v>NULL</v>
      </c>
      <c r="F1177" s="1" t="str">
        <f>IF('Boletins Nuppa Site'!I1177&lt;&gt;0,'Boletins Nuppa Site'!I1177,"NULL")</f>
        <v>NULL</v>
      </c>
      <c r="G1177" s="1" t="str">
        <f>IF('Boletins Nuppa Site'!J1177&lt;&gt;0,'Boletins Nuppa Site'!J1177,"NULL")</f>
        <v>NULL</v>
      </c>
      <c r="H1177" s="1" t="str">
        <f>IF('Boletins Nuppa Site'!K1177&lt;&gt;0,'Boletins Nuppa Site'!K1177,"NULL")</f>
        <v>NULL</v>
      </c>
      <c r="J1177" s="1" t="str">
        <f t="shared" si="18"/>
        <v>INSERT INTO COTACAO (blt_id, pap_id, cot_prc_comum, cot_prc_min, cot_prc_max, cot_prc_med, cot_prc_mediana) VALUES (31, 24, NULL, NULL, NULL, NULL, NULL);</v>
      </c>
    </row>
    <row r="1178" spans="1:10" x14ac:dyDescent="0.3">
      <c r="A1178" s="1">
        <v>1177</v>
      </c>
      <c r="B1178" s="1">
        <v>31</v>
      </c>
      <c r="C1178" s="1">
        <v>25</v>
      </c>
      <c r="D1178" s="19">
        <f>IF('Boletins Nuppa Site'!G1178&lt;&gt;0,'Boletins Nuppa Site'!G1178,"NULL")</f>
        <v>60</v>
      </c>
      <c r="E1178" s="19">
        <f>IF('Boletins Nuppa Site'!H1178&lt;&gt;0,'Boletins Nuppa Site'!H1178,"NULL")</f>
        <v>35</v>
      </c>
      <c r="F1178" s="19">
        <f>IF('Boletins Nuppa Site'!I1178&lt;&gt;0,'Boletins Nuppa Site'!I1178,"NULL")</f>
        <v>70</v>
      </c>
      <c r="G1178" s="19">
        <f>IF('Boletins Nuppa Site'!J1178&lt;&gt;0,'Boletins Nuppa Site'!J1178,"NULL")</f>
        <v>57</v>
      </c>
      <c r="H1178" s="19">
        <f>IF('Boletins Nuppa Site'!K1178&lt;&gt;0,'Boletins Nuppa Site'!K1178,"NULL")</f>
        <v>60</v>
      </c>
      <c r="J1178" s="1" t="str">
        <f t="shared" si="18"/>
        <v>INSERT INTO COTACAO (blt_id, pap_id, cot_prc_comum, cot_prc_min, cot_prc_max, cot_prc_med, cot_prc_mediana) VALUES (31, 25, 60, 35, 70, 57, 60);</v>
      </c>
    </row>
    <row r="1179" spans="1:10" x14ac:dyDescent="0.3">
      <c r="A1179" s="1">
        <v>1178</v>
      </c>
      <c r="B1179" s="1">
        <v>31</v>
      </c>
      <c r="C1179" s="1">
        <v>26</v>
      </c>
      <c r="D1179" s="19">
        <f>IF('Boletins Nuppa Site'!G1179&lt;&gt;0,'Boletins Nuppa Site'!G1179,"NULL")</f>
        <v>60</v>
      </c>
      <c r="E1179" s="19">
        <f>IF('Boletins Nuppa Site'!H1179&lt;&gt;0,'Boletins Nuppa Site'!H1179,"NULL")</f>
        <v>35</v>
      </c>
      <c r="F1179" s="19">
        <f>IF('Boletins Nuppa Site'!I1179&lt;&gt;0,'Boletins Nuppa Site'!I1179,"NULL")</f>
        <v>60</v>
      </c>
      <c r="G1179" s="19">
        <f>IF('Boletins Nuppa Site'!J1179&lt;&gt;0,'Boletins Nuppa Site'!J1179,"NULL")</f>
        <v>46</v>
      </c>
      <c r="H1179" s="19">
        <f>IF('Boletins Nuppa Site'!K1179&lt;&gt;0,'Boletins Nuppa Site'!K1179,"NULL")</f>
        <v>40</v>
      </c>
      <c r="J1179" s="1" t="str">
        <f t="shared" si="18"/>
        <v>INSERT INTO COTACAO (blt_id, pap_id, cot_prc_comum, cot_prc_min, cot_prc_max, cot_prc_med, cot_prc_mediana) VALUES (31, 26, 60, 35, 60, 46, 40);</v>
      </c>
    </row>
    <row r="1180" spans="1:10" x14ac:dyDescent="0.3">
      <c r="A1180" s="1">
        <v>1179</v>
      </c>
      <c r="B1180" s="1">
        <v>31</v>
      </c>
      <c r="C1180" s="1">
        <v>27</v>
      </c>
      <c r="D1180" s="1" t="str">
        <f>IF('Boletins Nuppa Site'!G1180&lt;&gt;0,'Boletins Nuppa Site'!G1180,"NULL")</f>
        <v>NULL</v>
      </c>
      <c r="E1180" s="19">
        <f>IF('Boletins Nuppa Site'!H1180&lt;&gt;0,'Boletins Nuppa Site'!H1180,"NULL")</f>
        <v>50</v>
      </c>
      <c r="F1180" s="19">
        <f>IF('Boletins Nuppa Site'!I1180&lt;&gt;0,'Boletins Nuppa Site'!I1180,"NULL")</f>
        <v>80</v>
      </c>
      <c r="G1180" s="19">
        <f>IF('Boletins Nuppa Site'!J1180&lt;&gt;0,'Boletins Nuppa Site'!J1180,"NULL")</f>
        <v>65</v>
      </c>
      <c r="H1180" s="19">
        <f>IF('Boletins Nuppa Site'!K1180&lt;&gt;0,'Boletins Nuppa Site'!K1180,"NULL")</f>
        <v>65</v>
      </c>
      <c r="J1180" s="1" t="str">
        <f t="shared" si="18"/>
        <v>INSERT INTO COTACAO (blt_id, pap_id, cot_prc_comum, cot_prc_min, cot_prc_max, cot_prc_med, cot_prc_mediana) VALUES (31, 27, NULL, 50, 80, 65, 65);</v>
      </c>
    </row>
    <row r="1181" spans="1:10" x14ac:dyDescent="0.3">
      <c r="A1181" s="1">
        <v>1180</v>
      </c>
      <c r="B1181" s="1">
        <v>31</v>
      </c>
      <c r="C1181" s="1">
        <v>28</v>
      </c>
      <c r="D1181" s="1" t="str">
        <f>IF('Boletins Nuppa Site'!G1181&lt;&gt;0,'Boletins Nuppa Site'!G1181,"NULL")</f>
        <v>NULL</v>
      </c>
      <c r="E1181" s="19">
        <f>IF('Boletins Nuppa Site'!H1181&lt;&gt;0,'Boletins Nuppa Site'!H1181,"NULL")</f>
        <v>80</v>
      </c>
      <c r="F1181" s="19">
        <f>IF('Boletins Nuppa Site'!I1181&lt;&gt;0,'Boletins Nuppa Site'!I1181,"NULL")</f>
        <v>110</v>
      </c>
      <c r="G1181" s="19">
        <f>IF('Boletins Nuppa Site'!J1181&lt;&gt;0,'Boletins Nuppa Site'!J1181,"NULL")</f>
        <v>95</v>
      </c>
      <c r="H1181" s="19">
        <f>IF('Boletins Nuppa Site'!K1181&lt;&gt;0,'Boletins Nuppa Site'!K1181,"NULL")</f>
        <v>95</v>
      </c>
      <c r="J1181" s="1" t="str">
        <f t="shared" si="18"/>
        <v>INSERT INTO COTACAO (blt_id, pap_id, cot_prc_comum, cot_prc_min, cot_prc_max, cot_prc_med, cot_prc_mediana) VALUES (31, 28, NULL, 80, 110, 95, 95);</v>
      </c>
    </row>
    <row r="1182" spans="1:10" x14ac:dyDescent="0.3">
      <c r="A1182" s="1">
        <v>1181</v>
      </c>
      <c r="B1182" s="1">
        <v>31</v>
      </c>
      <c r="C1182" s="1">
        <v>29</v>
      </c>
      <c r="D1182" s="1" t="str">
        <f>IF('Boletins Nuppa Site'!G1182&lt;&gt;0,'Boletins Nuppa Site'!G1182,"NULL")</f>
        <v>NULL</v>
      </c>
      <c r="E1182" s="1" t="str">
        <f>IF('Boletins Nuppa Site'!H1182&lt;&gt;0,'Boletins Nuppa Site'!H1182,"NULL")</f>
        <v>NULL</v>
      </c>
      <c r="F1182" s="1" t="str">
        <f>IF('Boletins Nuppa Site'!I1182&lt;&gt;0,'Boletins Nuppa Site'!I1182,"NULL")</f>
        <v>NULL</v>
      </c>
      <c r="G1182" s="1" t="str">
        <f>IF('Boletins Nuppa Site'!J1182&lt;&gt;0,'Boletins Nuppa Site'!J1182,"NULL")</f>
        <v>NULL</v>
      </c>
      <c r="H1182" s="1" t="str">
        <f>IF('Boletins Nuppa Site'!K1182&lt;&gt;0,'Boletins Nuppa Site'!K1182,"NULL")</f>
        <v>NULL</v>
      </c>
      <c r="J1182" s="1" t="str">
        <f t="shared" si="18"/>
        <v>INSERT INTO COTACAO (blt_id, pap_id, cot_prc_comum, cot_prc_min, cot_prc_max, cot_prc_med, cot_prc_mediana) VALUES (31, 29, NULL, NULL, NULL, NULL, NULL);</v>
      </c>
    </row>
    <row r="1183" spans="1:10" x14ac:dyDescent="0.3">
      <c r="A1183" s="1">
        <v>1182</v>
      </c>
      <c r="B1183" s="1">
        <v>31</v>
      </c>
      <c r="C1183" s="1">
        <v>30</v>
      </c>
      <c r="D1183" s="1" t="str">
        <f>IF('Boletins Nuppa Site'!G1183&lt;&gt;0,'Boletins Nuppa Site'!G1183,"NULL")</f>
        <v>NULL</v>
      </c>
      <c r="E1183" s="19">
        <f>IF('Boletins Nuppa Site'!H1183&lt;&gt;0,'Boletins Nuppa Site'!H1183,"NULL")</f>
        <v>25</v>
      </c>
      <c r="F1183" s="19">
        <f>IF('Boletins Nuppa Site'!I1183&lt;&gt;0,'Boletins Nuppa Site'!I1183,"NULL")</f>
        <v>80</v>
      </c>
      <c r="G1183" s="1" t="str">
        <f>IF('Boletins Nuppa Site'!J1183&lt;&gt;0,'Boletins Nuppa Site'!J1183,"NULL")</f>
        <v>58.33</v>
      </c>
      <c r="H1183" s="19">
        <f>IF('Boletins Nuppa Site'!K1183&lt;&gt;0,'Boletins Nuppa Site'!K1183,"NULL")</f>
        <v>70</v>
      </c>
      <c r="J1183" s="1" t="str">
        <f t="shared" si="18"/>
        <v>INSERT INTO COTACAO (blt_id, pap_id, cot_prc_comum, cot_prc_min, cot_prc_max, cot_prc_med, cot_prc_mediana) VALUES (31, 30, NULL, 25, 80, 58.33, 70);</v>
      </c>
    </row>
    <row r="1184" spans="1:10" x14ac:dyDescent="0.3">
      <c r="A1184" s="1">
        <v>1183</v>
      </c>
      <c r="B1184" s="1">
        <v>31</v>
      </c>
      <c r="C1184" s="1">
        <v>31</v>
      </c>
      <c r="D1184" s="1" t="str">
        <f>IF('Boletins Nuppa Site'!G1184&lt;&gt;0,'Boletins Nuppa Site'!G1184,"NULL")</f>
        <v>NULL</v>
      </c>
      <c r="E1184" s="19">
        <f>IF('Boletins Nuppa Site'!H1184&lt;&gt;0,'Boletins Nuppa Site'!H1184,"NULL")</f>
        <v>70</v>
      </c>
      <c r="F1184" s="19">
        <f>IF('Boletins Nuppa Site'!I1184&lt;&gt;0,'Boletins Nuppa Site'!I1184,"NULL")</f>
        <v>120</v>
      </c>
      <c r="G1184" s="19">
        <f>IF('Boletins Nuppa Site'!J1184&lt;&gt;0,'Boletins Nuppa Site'!J1184,"NULL")</f>
        <v>90</v>
      </c>
      <c r="H1184" s="19">
        <f>IF('Boletins Nuppa Site'!K1184&lt;&gt;0,'Boletins Nuppa Site'!K1184,"NULL")</f>
        <v>80</v>
      </c>
      <c r="J1184" s="1" t="str">
        <f t="shared" si="18"/>
        <v>INSERT INTO COTACAO (blt_id, pap_id, cot_prc_comum, cot_prc_min, cot_prc_max, cot_prc_med, cot_prc_mediana) VALUES (31, 31, NULL, 70, 120, 90, 80);</v>
      </c>
    </row>
    <row r="1185" spans="1:10" x14ac:dyDescent="0.3">
      <c r="A1185" s="1">
        <v>1184</v>
      </c>
      <c r="B1185" s="1">
        <v>31</v>
      </c>
      <c r="C1185" s="1">
        <v>32</v>
      </c>
      <c r="D1185" s="19">
        <f>IF('Boletins Nuppa Site'!G1185&lt;&gt;0,'Boletins Nuppa Site'!G1185,"NULL")</f>
        <v>50</v>
      </c>
      <c r="E1185" s="19">
        <f>IF('Boletins Nuppa Site'!H1185&lt;&gt;0,'Boletins Nuppa Site'!H1185,"NULL")</f>
        <v>25</v>
      </c>
      <c r="F1185" s="19">
        <f>IF('Boletins Nuppa Site'!I1185&lt;&gt;0,'Boletins Nuppa Site'!I1185,"NULL")</f>
        <v>60</v>
      </c>
      <c r="G1185" s="19">
        <f>IF('Boletins Nuppa Site'!J1185&lt;&gt;0,'Boletins Nuppa Site'!J1185,"NULL")</f>
        <v>48</v>
      </c>
      <c r="H1185" s="19">
        <f>IF('Boletins Nuppa Site'!K1185&lt;&gt;0,'Boletins Nuppa Site'!K1185,"NULL")</f>
        <v>50</v>
      </c>
      <c r="J1185" s="1" t="str">
        <f t="shared" si="18"/>
        <v>INSERT INTO COTACAO (blt_id, pap_id, cot_prc_comum, cot_prc_min, cot_prc_max, cot_prc_med, cot_prc_mediana) VALUES (31, 32, 50, 25, 60, 48, 50);</v>
      </c>
    </row>
    <row r="1186" spans="1:10" x14ac:dyDescent="0.3">
      <c r="A1186" s="1">
        <v>1185</v>
      </c>
      <c r="B1186" s="1">
        <v>31</v>
      </c>
      <c r="C1186" s="1">
        <v>33</v>
      </c>
      <c r="D1186" s="1" t="str">
        <f>IF('Boletins Nuppa Site'!G1186&lt;&gt;0,'Boletins Nuppa Site'!G1186,"NULL")</f>
        <v>NULL</v>
      </c>
      <c r="E1186" s="19">
        <f>IF('Boletins Nuppa Site'!H1186&lt;&gt;0,'Boletins Nuppa Site'!H1186,"NULL")</f>
        <v>120</v>
      </c>
      <c r="F1186" s="19">
        <f>IF('Boletins Nuppa Site'!I1186&lt;&gt;0,'Boletins Nuppa Site'!I1186,"NULL")</f>
        <v>140</v>
      </c>
      <c r="G1186" s="19">
        <f>IF('Boletins Nuppa Site'!J1186&lt;&gt;0,'Boletins Nuppa Site'!J1186,"NULL")</f>
        <v>130</v>
      </c>
      <c r="H1186" s="19">
        <f>IF('Boletins Nuppa Site'!K1186&lt;&gt;0,'Boletins Nuppa Site'!K1186,"NULL")</f>
        <v>130</v>
      </c>
      <c r="J1186" s="1" t="str">
        <f t="shared" si="18"/>
        <v>INSERT INTO COTACAO (blt_id, pap_id, cot_prc_comum, cot_prc_min, cot_prc_max, cot_prc_med, cot_prc_mediana) VALUES (31, 33, NULL, 120, 140, 130, 130);</v>
      </c>
    </row>
    <row r="1187" spans="1:10" x14ac:dyDescent="0.3">
      <c r="A1187" s="1">
        <v>1186</v>
      </c>
      <c r="B1187" s="1">
        <v>31</v>
      </c>
      <c r="C1187" s="1">
        <v>34</v>
      </c>
      <c r="D1187" s="19">
        <f>IF('Boletins Nuppa Site'!G1187&lt;&gt;0,'Boletins Nuppa Site'!G1187,"NULL")</f>
        <v>60</v>
      </c>
      <c r="E1187" s="19">
        <f>IF('Boletins Nuppa Site'!H1187&lt;&gt;0,'Boletins Nuppa Site'!H1187,"NULL")</f>
        <v>45</v>
      </c>
      <c r="F1187" s="19">
        <f>IF('Boletins Nuppa Site'!I1187&lt;&gt;0,'Boletins Nuppa Site'!I1187,"NULL")</f>
        <v>60</v>
      </c>
      <c r="G1187" s="1" t="str">
        <f>IF('Boletins Nuppa Site'!J1187&lt;&gt;0,'Boletins Nuppa Site'!J1187,"NULL")</f>
        <v>53.75</v>
      </c>
      <c r="H1187" s="19">
        <f>IF('Boletins Nuppa Site'!K1187&lt;&gt;0,'Boletins Nuppa Site'!K1187,"NULL")</f>
        <v>55</v>
      </c>
      <c r="J1187" s="1" t="str">
        <f t="shared" si="18"/>
        <v>INSERT INTO COTACAO (blt_id, pap_id, cot_prc_comum, cot_prc_min, cot_prc_max, cot_prc_med, cot_prc_mediana) VALUES (31, 34, 60, 45, 60, 53.75, 55);</v>
      </c>
    </row>
    <row r="1188" spans="1:10" x14ac:dyDescent="0.3">
      <c r="A1188" s="1">
        <v>1187</v>
      </c>
      <c r="B1188" s="1">
        <v>31</v>
      </c>
      <c r="C1188" s="1">
        <v>35</v>
      </c>
      <c r="D1188" s="1" t="str">
        <f>IF('Boletins Nuppa Site'!G1188&lt;&gt;0,'Boletins Nuppa Site'!G1188,"NULL")</f>
        <v>NULL</v>
      </c>
      <c r="E1188" s="19">
        <f>IF('Boletins Nuppa Site'!H1188&lt;&gt;0,'Boletins Nuppa Site'!H1188,"NULL")</f>
        <v>120</v>
      </c>
      <c r="F1188" s="19">
        <f>IF('Boletins Nuppa Site'!I1188&lt;&gt;0,'Boletins Nuppa Site'!I1188,"NULL")</f>
        <v>120</v>
      </c>
      <c r="G1188" s="19">
        <f>IF('Boletins Nuppa Site'!J1188&lt;&gt;0,'Boletins Nuppa Site'!J1188,"NULL")</f>
        <v>120</v>
      </c>
      <c r="H1188" s="19">
        <f>IF('Boletins Nuppa Site'!K1188&lt;&gt;0,'Boletins Nuppa Site'!K1188,"NULL")</f>
        <v>120</v>
      </c>
      <c r="J1188" s="1" t="str">
        <f t="shared" si="18"/>
        <v>INSERT INTO COTACAO (blt_id, pap_id, cot_prc_comum, cot_prc_min, cot_prc_max, cot_prc_med, cot_prc_mediana) VALUES (31, 35, NULL, 120, 120, 120, 120);</v>
      </c>
    </row>
    <row r="1189" spans="1:10" x14ac:dyDescent="0.3">
      <c r="A1189" s="1">
        <v>1188</v>
      </c>
      <c r="B1189" s="1">
        <v>31</v>
      </c>
      <c r="C1189" s="1">
        <v>36</v>
      </c>
      <c r="D1189" s="1" t="str">
        <f>IF('Boletins Nuppa Site'!G1189&lt;&gt;0,'Boletins Nuppa Site'!G1189,"NULL")</f>
        <v>NULL</v>
      </c>
      <c r="E1189" s="1" t="str">
        <f>IF('Boletins Nuppa Site'!H1189&lt;&gt;0,'Boletins Nuppa Site'!H1189,"NULL")</f>
        <v>NULL</v>
      </c>
      <c r="F1189" s="1" t="str">
        <f>IF('Boletins Nuppa Site'!I1189&lt;&gt;0,'Boletins Nuppa Site'!I1189,"NULL")</f>
        <v>NULL</v>
      </c>
      <c r="G1189" s="1" t="str">
        <f>IF('Boletins Nuppa Site'!J1189&lt;&gt;0,'Boletins Nuppa Site'!J1189,"NULL")</f>
        <v>NULL</v>
      </c>
      <c r="H1189" s="1" t="str">
        <f>IF('Boletins Nuppa Site'!K1189&lt;&gt;0,'Boletins Nuppa Site'!K1189,"NULL")</f>
        <v>NULL</v>
      </c>
      <c r="J1189" s="1" t="str">
        <f t="shared" si="18"/>
        <v>INSERT INTO COTACAO (blt_id, pap_id, cot_prc_comum, cot_prc_min, cot_prc_max, cot_prc_med, cot_prc_mediana) VALUES (31, 36, NULL, NULL, NULL, NULL, NULL);</v>
      </c>
    </row>
    <row r="1190" spans="1:10" x14ac:dyDescent="0.3">
      <c r="A1190" s="1">
        <v>1189</v>
      </c>
      <c r="B1190" s="1">
        <v>31</v>
      </c>
      <c r="C1190" s="1">
        <v>37</v>
      </c>
      <c r="D1190" s="1" t="str">
        <f>IF('Boletins Nuppa Site'!G1190&lt;&gt;0,'Boletins Nuppa Site'!G1190,"NULL")</f>
        <v>NULL</v>
      </c>
      <c r="E1190" s="1" t="str">
        <f>IF('Boletins Nuppa Site'!H1190&lt;&gt;0,'Boletins Nuppa Site'!H1190,"NULL")</f>
        <v>NULL</v>
      </c>
      <c r="F1190" s="1" t="str">
        <f>IF('Boletins Nuppa Site'!I1190&lt;&gt;0,'Boletins Nuppa Site'!I1190,"NULL")</f>
        <v>NULL</v>
      </c>
      <c r="G1190" s="1" t="str">
        <f>IF('Boletins Nuppa Site'!J1190&lt;&gt;0,'Boletins Nuppa Site'!J1190,"NULL")</f>
        <v>NULL</v>
      </c>
      <c r="H1190" s="1" t="str">
        <f>IF('Boletins Nuppa Site'!K1190&lt;&gt;0,'Boletins Nuppa Site'!K1190,"NULL")</f>
        <v>NULL</v>
      </c>
      <c r="J1190" s="1" t="str">
        <f t="shared" si="18"/>
        <v>INSERT INTO COTACAO (blt_id, pap_id, cot_prc_comum, cot_prc_min, cot_prc_max, cot_prc_med, cot_prc_mediana) VALUES (31, 37, NULL, NULL, NULL, NULL, NULL);</v>
      </c>
    </row>
    <row r="1191" spans="1:10" x14ac:dyDescent="0.3">
      <c r="A1191" s="1">
        <v>1190</v>
      </c>
      <c r="B1191" s="1">
        <v>31</v>
      </c>
      <c r="C1191" s="1">
        <v>38</v>
      </c>
      <c r="D1191" s="1" t="str">
        <f>IF('Boletins Nuppa Site'!G1191&lt;&gt;0,'Boletins Nuppa Site'!G1191,"NULL")</f>
        <v>NULL</v>
      </c>
      <c r="E1191" s="1" t="str">
        <f>IF('Boletins Nuppa Site'!H1191&lt;&gt;0,'Boletins Nuppa Site'!H1191,"NULL")</f>
        <v>NULL</v>
      </c>
      <c r="F1191" s="1" t="str">
        <f>IF('Boletins Nuppa Site'!I1191&lt;&gt;0,'Boletins Nuppa Site'!I1191,"NULL")</f>
        <v>NULL</v>
      </c>
      <c r="G1191" s="1" t="str">
        <f>IF('Boletins Nuppa Site'!J1191&lt;&gt;0,'Boletins Nuppa Site'!J1191,"NULL")</f>
        <v>NULL</v>
      </c>
      <c r="H1191" s="1" t="str">
        <f>IF('Boletins Nuppa Site'!K1191&lt;&gt;0,'Boletins Nuppa Site'!K1191,"NULL")</f>
        <v>NULL</v>
      </c>
      <c r="J1191" s="1" t="str">
        <f t="shared" si="18"/>
        <v>INSERT INTO COTACAO (blt_id, pap_id, cot_prc_comum, cot_prc_min, cot_prc_max, cot_prc_med, cot_prc_mediana) VALUES (31, 38, NULL, NULL, NULL, NULL, NULL);</v>
      </c>
    </row>
    <row r="1192" spans="1:10" x14ac:dyDescent="0.3">
      <c r="A1192" s="1">
        <v>1191</v>
      </c>
      <c r="B1192" s="1">
        <v>31</v>
      </c>
      <c r="C1192" s="1">
        <v>39</v>
      </c>
      <c r="D1192" s="1" t="str">
        <f>IF('Boletins Nuppa Site'!G1192&lt;&gt;0,'Boletins Nuppa Site'!G1192,"NULL")</f>
        <v>NULL</v>
      </c>
      <c r="E1192" s="19">
        <f>IF('Boletins Nuppa Site'!H1192&lt;&gt;0,'Boletins Nuppa Site'!H1192,"NULL")</f>
        <v>60</v>
      </c>
      <c r="F1192" s="19">
        <f>IF('Boletins Nuppa Site'!I1192&lt;&gt;0,'Boletins Nuppa Site'!I1192,"NULL")</f>
        <v>60</v>
      </c>
      <c r="G1192" s="19">
        <f>IF('Boletins Nuppa Site'!J1192&lt;&gt;0,'Boletins Nuppa Site'!J1192,"NULL")</f>
        <v>60</v>
      </c>
      <c r="H1192" s="19">
        <f>IF('Boletins Nuppa Site'!K1192&lt;&gt;0,'Boletins Nuppa Site'!K1192,"NULL")</f>
        <v>60</v>
      </c>
      <c r="J1192" s="1" t="str">
        <f t="shared" si="18"/>
        <v>INSERT INTO COTACAO (blt_id, pap_id, cot_prc_comum, cot_prc_min, cot_prc_max, cot_prc_med, cot_prc_mediana) VALUES (31, 39, NULL, 60, 60, 60, 60);</v>
      </c>
    </row>
    <row r="1193" spans="1:10" x14ac:dyDescent="0.3">
      <c r="A1193" s="1">
        <v>1192</v>
      </c>
      <c r="B1193" s="1">
        <v>31</v>
      </c>
      <c r="C1193" s="1">
        <v>40</v>
      </c>
      <c r="D1193" s="1" t="str">
        <f>IF('Boletins Nuppa Site'!G1193&lt;&gt;0,'Boletins Nuppa Site'!G1193,"NULL")</f>
        <v>NULL</v>
      </c>
      <c r="E1193" s="19">
        <f>IF('Boletins Nuppa Site'!H1193&lt;&gt;0,'Boletins Nuppa Site'!H1193,"NULL")</f>
        <v>80</v>
      </c>
      <c r="F1193" s="19">
        <f>IF('Boletins Nuppa Site'!I1193&lt;&gt;0,'Boletins Nuppa Site'!I1193,"NULL")</f>
        <v>80</v>
      </c>
      <c r="G1193" s="19">
        <f>IF('Boletins Nuppa Site'!J1193&lt;&gt;0,'Boletins Nuppa Site'!J1193,"NULL")</f>
        <v>80</v>
      </c>
      <c r="H1193" s="19">
        <f>IF('Boletins Nuppa Site'!K1193&lt;&gt;0,'Boletins Nuppa Site'!K1193,"NULL")</f>
        <v>80</v>
      </c>
      <c r="J1193" s="1" t="str">
        <f t="shared" si="18"/>
        <v>INSERT INTO COTACAO (blt_id, pap_id, cot_prc_comum, cot_prc_min, cot_prc_max, cot_prc_med, cot_prc_mediana) VALUES (31, 40, NULL, 80, 80, 80, 80);</v>
      </c>
    </row>
    <row r="1194" spans="1:10" x14ac:dyDescent="0.3">
      <c r="A1194" s="1">
        <v>1193</v>
      </c>
      <c r="B1194" s="1">
        <v>32</v>
      </c>
      <c r="C1194" s="1">
        <v>1</v>
      </c>
      <c r="D1194" s="19">
        <f>IF('Boletins Nuppa Site'!G1194&lt;&gt;0,'Boletins Nuppa Site'!G1194,"NULL")</f>
        <v>48</v>
      </c>
      <c r="E1194" s="19">
        <f>IF('Boletins Nuppa Site'!H1194&lt;&gt;0,'Boletins Nuppa Site'!H1194,"NULL")</f>
        <v>48</v>
      </c>
      <c r="F1194" s="19">
        <f>IF('Boletins Nuppa Site'!I1194&lt;&gt;0,'Boletins Nuppa Site'!I1194,"NULL")</f>
        <v>60</v>
      </c>
      <c r="G1194" s="1" t="str">
        <f>IF('Boletins Nuppa Site'!J1194&lt;&gt;0,'Boletins Nuppa Site'!J1194,"NULL")</f>
        <v>50.4</v>
      </c>
      <c r="H1194" s="19">
        <f>IF('Boletins Nuppa Site'!K1194&lt;&gt;0,'Boletins Nuppa Site'!K1194,"NULL")</f>
        <v>48</v>
      </c>
      <c r="J1194" s="1" t="str">
        <f t="shared" si="18"/>
        <v>INSERT INTO COTACAO (blt_id, pap_id, cot_prc_comum, cot_prc_min, cot_prc_max, cot_prc_med, cot_prc_mediana) VALUES (32, 1, 48, 48, 60, 50.4, 48);</v>
      </c>
    </row>
    <row r="1195" spans="1:10" x14ac:dyDescent="0.3">
      <c r="A1195" s="1">
        <v>1194</v>
      </c>
      <c r="B1195" s="1">
        <v>32</v>
      </c>
      <c r="C1195" s="1">
        <v>2</v>
      </c>
      <c r="D1195" s="19">
        <f>IF('Boletins Nuppa Site'!G1195&lt;&gt;0,'Boletins Nuppa Site'!G1195,"NULL")</f>
        <v>72</v>
      </c>
      <c r="E1195" s="19">
        <f>IF('Boletins Nuppa Site'!H1195&lt;&gt;0,'Boletins Nuppa Site'!H1195,"NULL")</f>
        <v>72</v>
      </c>
      <c r="F1195" s="19">
        <f>IF('Boletins Nuppa Site'!I1195&lt;&gt;0,'Boletins Nuppa Site'!I1195,"NULL")</f>
        <v>96</v>
      </c>
      <c r="G1195" s="19">
        <f>IF('Boletins Nuppa Site'!J1195&lt;&gt;0,'Boletins Nuppa Site'!J1195,"NULL")</f>
        <v>81</v>
      </c>
      <c r="H1195" s="19">
        <f>IF('Boletins Nuppa Site'!K1195&lt;&gt;0,'Boletins Nuppa Site'!K1195,"NULL")</f>
        <v>78</v>
      </c>
      <c r="J1195" s="1" t="str">
        <f t="shared" si="18"/>
        <v>INSERT INTO COTACAO (blt_id, pap_id, cot_prc_comum, cot_prc_min, cot_prc_max, cot_prc_med, cot_prc_mediana) VALUES (32, 2, 72, 72, 96, 81, 78);</v>
      </c>
    </row>
    <row r="1196" spans="1:10" x14ac:dyDescent="0.3">
      <c r="A1196" s="1">
        <v>1195</v>
      </c>
      <c r="B1196" s="1">
        <v>32</v>
      </c>
      <c r="C1196" s="1">
        <v>3</v>
      </c>
      <c r="D1196" s="19">
        <f>IF('Boletins Nuppa Site'!G1196&lt;&gt;0,'Boletins Nuppa Site'!G1196,"NULL")</f>
        <v>36</v>
      </c>
      <c r="E1196" s="19">
        <f>IF('Boletins Nuppa Site'!H1196&lt;&gt;0,'Boletins Nuppa Site'!H1196,"NULL")</f>
        <v>25</v>
      </c>
      <c r="F1196" s="19">
        <f>IF('Boletins Nuppa Site'!I1196&lt;&gt;0,'Boletins Nuppa Site'!I1196,"NULL")</f>
        <v>42</v>
      </c>
      <c r="G1196" s="19">
        <f>IF('Boletins Nuppa Site'!J1196&lt;&gt;0,'Boletins Nuppa Site'!J1196,"NULL")</f>
        <v>35</v>
      </c>
      <c r="H1196" s="19">
        <f>IF('Boletins Nuppa Site'!K1196&lt;&gt;0,'Boletins Nuppa Site'!K1196,"NULL")</f>
        <v>36</v>
      </c>
      <c r="J1196" s="1" t="str">
        <f t="shared" si="18"/>
        <v>INSERT INTO COTACAO (blt_id, pap_id, cot_prc_comum, cot_prc_min, cot_prc_max, cot_prc_med, cot_prc_mediana) VALUES (32, 3, 36, 25, 42, 35, 36);</v>
      </c>
    </row>
    <row r="1197" spans="1:10" x14ac:dyDescent="0.3">
      <c r="A1197" s="1">
        <v>1196</v>
      </c>
      <c r="B1197" s="1">
        <v>32</v>
      </c>
      <c r="C1197" s="1">
        <v>4</v>
      </c>
      <c r="D1197" s="19">
        <f>IF('Boletins Nuppa Site'!G1197&lt;&gt;0,'Boletins Nuppa Site'!G1197,"NULL")</f>
        <v>24</v>
      </c>
      <c r="E1197" s="19">
        <f>IF('Boletins Nuppa Site'!H1197&lt;&gt;0,'Boletins Nuppa Site'!H1197,"NULL")</f>
        <v>18</v>
      </c>
      <c r="F1197" s="19">
        <f>IF('Boletins Nuppa Site'!I1197&lt;&gt;0,'Boletins Nuppa Site'!I1197,"NULL")</f>
        <v>24</v>
      </c>
      <c r="G1197" s="1" t="str">
        <f>IF('Boletins Nuppa Site'!J1197&lt;&gt;0,'Boletins Nuppa Site'!J1197,"NULL")</f>
        <v>21.6</v>
      </c>
      <c r="H1197" s="19">
        <f>IF('Boletins Nuppa Site'!K1197&lt;&gt;0,'Boletins Nuppa Site'!K1197,"NULL")</f>
        <v>24</v>
      </c>
      <c r="J1197" s="1" t="str">
        <f t="shared" si="18"/>
        <v>INSERT INTO COTACAO (blt_id, pap_id, cot_prc_comum, cot_prc_min, cot_prc_max, cot_prc_med, cot_prc_mediana) VALUES (32, 4, 24, 18, 24, 21.6, 24);</v>
      </c>
    </row>
    <row r="1198" spans="1:10" x14ac:dyDescent="0.3">
      <c r="A1198" s="1">
        <v>1197</v>
      </c>
      <c r="B1198" s="1">
        <v>32</v>
      </c>
      <c r="C1198" s="1">
        <v>5</v>
      </c>
      <c r="D1198" s="19">
        <f>IF('Boletins Nuppa Site'!G1198&lt;&gt;0,'Boletins Nuppa Site'!G1198,"NULL")</f>
        <v>24</v>
      </c>
      <c r="E1198" s="19">
        <f>IF('Boletins Nuppa Site'!H1198&lt;&gt;0,'Boletins Nuppa Site'!H1198,"NULL")</f>
        <v>18</v>
      </c>
      <c r="F1198" s="19">
        <f>IF('Boletins Nuppa Site'!I1198&lt;&gt;0,'Boletins Nuppa Site'!I1198,"NULL")</f>
        <v>24</v>
      </c>
      <c r="G1198" s="19">
        <f>IF('Boletins Nuppa Site'!J1198&lt;&gt;0,'Boletins Nuppa Site'!J1198,"NULL")</f>
        <v>21</v>
      </c>
      <c r="H1198" s="19">
        <f>IF('Boletins Nuppa Site'!K1198&lt;&gt;0,'Boletins Nuppa Site'!K1198,"NULL")</f>
        <v>21</v>
      </c>
      <c r="J1198" s="1" t="str">
        <f t="shared" si="18"/>
        <v>INSERT INTO COTACAO (blt_id, pap_id, cot_prc_comum, cot_prc_min, cot_prc_max, cot_prc_med, cot_prc_mediana) VALUES (32, 5, 24, 18, 24, 21, 21);</v>
      </c>
    </row>
    <row r="1199" spans="1:10" x14ac:dyDescent="0.3">
      <c r="A1199" s="1">
        <v>1198</v>
      </c>
      <c r="B1199" s="1">
        <v>32</v>
      </c>
      <c r="C1199" s="1">
        <v>6</v>
      </c>
      <c r="D1199" s="19">
        <f>IF('Boletins Nuppa Site'!G1199&lt;&gt;0,'Boletins Nuppa Site'!G1199,"NULL")</f>
        <v>60</v>
      </c>
      <c r="E1199" s="19">
        <f>IF('Boletins Nuppa Site'!H1199&lt;&gt;0,'Boletins Nuppa Site'!H1199,"NULL")</f>
        <v>48</v>
      </c>
      <c r="F1199" s="19">
        <f>IF('Boletins Nuppa Site'!I1199&lt;&gt;0,'Boletins Nuppa Site'!I1199,"NULL")</f>
        <v>60</v>
      </c>
      <c r="G1199" s="19">
        <f>IF('Boletins Nuppa Site'!J1199&lt;&gt;0,'Boletins Nuppa Site'!J1199,"NULL")</f>
        <v>54</v>
      </c>
      <c r="H1199" s="19">
        <f>IF('Boletins Nuppa Site'!K1199&lt;&gt;0,'Boletins Nuppa Site'!K1199,"NULL")</f>
        <v>54</v>
      </c>
      <c r="J1199" s="1" t="str">
        <f t="shared" si="18"/>
        <v>INSERT INTO COTACAO (blt_id, pap_id, cot_prc_comum, cot_prc_min, cot_prc_max, cot_prc_med, cot_prc_mediana) VALUES (32, 6, 60, 48, 60, 54, 54);</v>
      </c>
    </row>
    <row r="1200" spans="1:10" x14ac:dyDescent="0.3">
      <c r="A1200" s="1">
        <v>1199</v>
      </c>
      <c r="B1200" s="1">
        <v>32</v>
      </c>
      <c r="C1200" s="1">
        <v>7</v>
      </c>
      <c r="D1200" s="19">
        <f>IF('Boletins Nuppa Site'!G1200&lt;&gt;0,'Boletins Nuppa Site'!G1200,"NULL")</f>
        <v>60</v>
      </c>
      <c r="E1200" s="19">
        <f>IF('Boletins Nuppa Site'!H1200&lt;&gt;0,'Boletins Nuppa Site'!H1200,"NULL")</f>
        <v>48</v>
      </c>
      <c r="F1200" s="19">
        <f>IF('Boletins Nuppa Site'!I1200&lt;&gt;0,'Boletins Nuppa Site'!I1200,"NULL")</f>
        <v>72</v>
      </c>
      <c r="G1200" s="19">
        <f>IF('Boletins Nuppa Site'!J1200&lt;&gt;0,'Boletins Nuppa Site'!J1200,"NULL")</f>
        <v>60</v>
      </c>
      <c r="H1200" s="19">
        <f>IF('Boletins Nuppa Site'!K1200&lt;&gt;0,'Boletins Nuppa Site'!K1200,"NULL")</f>
        <v>60</v>
      </c>
      <c r="J1200" s="1" t="str">
        <f t="shared" si="18"/>
        <v>INSERT INTO COTACAO (blt_id, pap_id, cot_prc_comum, cot_prc_min, cot_prc_max, cot_prc_med, cot_prc_mediana) VALUES (32, 7, 60, 48, 72, 60, 60);</v>
      </c>
    </row>
    <row r="1201" spans="1:10" x14ac:dyDescent="0.3">
      <c r="A1201" s="1">
        <v>1200</v>
      </c>
      <c r="B1201" s="1">
        <v>32</v>
      </c>
      <c r="C1201" s="1">
        <v>8</v>
      </c>
      <c r="D1201" s="19">
        <f>IF('Boletins Nuppa Site'!G1201&lt;&gt;0,'Boletins Nuppa Site'!G1201,"NULL")</f>
        <v>72</v>
      </c>
      <c r="E1201" s="19">
        <f>IF('Boletins Nuppa Site'!H1201&lt;&gt;0,'Boletins Nuppa Site'!H1201,"NULL")</f>
        <v>60</v>
      </c>
      <c r="F1201" s="19">
        <f>IF('Boletins Nuppa Site'!I1201&lt;&gt;0,'Boletins Nuppa Site'!I1201,"NULL")</f>
        <v>72</v>
      </c>
      <c r="G1201" s="1" t="str">
        <f>IF('Boletins Nuppa Site'!J1201&lt;&gt;0,'Boletins Nuppa Site'!J1201,"NULL")</f>
        <v>69.6</v>
      </c>
      <c r="H1201" s="19">
        <f>IF('Boletins Nuppa Site'!K1201&lt;&gt;0,'Boletins Nuppa Site'!K1201,"NULL")</f>
        <v>72</v>
      </c>
      <c r="J1201" s="1" t="str">
        <f t="shared" si="18"/>
        <v>INSERT INTO COTACAO (blt_id, pap_id, cot_prc_comum, cot_prc_min, cot_prc_max, cot_prc_med, cot_prc_mediana) VALUES (32, 8, 72, 60, 72, 69.6, 72);</v>
      </c>
    </row>
    <row r="1202" spans="1:10" x14ac:dyDescent="0.3">
      <c r="A1202" s="1">
        <v>1201</v>
      </c>
      <c r="B1202" s="1">
        <v>32</v>
      </c>
      <c r="C1202" s="1">
        <v>9</v>
      </c>
      <c r="D1202" s="19">
        <f>IF('Boletins Nuppa Site'!G1202&lt;&gt;0,'Boletins Nuppa Site'!G1202,"NULL")</f>
        <v>18</v>
      </c>
      <c r="E1202" s="19">
        <f>IF('Boletins Nuppa Site'!H1202&lt;&gt;0,'Boletins Nuppa Site'!H1202,"NULL")</f>
        <v>18</v>
      </c>
      <c r="F1202" s="19">
        <f>IF('Boletins Nuppa Site'!I1202&lt;&gt;0,'Boletins Nuppa Site'!I1202,"NULL")</f>
        <v>24</v>
      </c>
      <c r="G1202" s="1" t="str">
        <f>IF('Boletins Nuppa Site'!J1202&lt;&gt;0,'Boletins Nuppa Site'!J1202,"NULL")</f>
        <v>20.4</v>
      </c>
      <c r="H1202" s="19">
        <f>IF('Boletins Nuppa Site'!K1202&lt;&gt;0,'Boletins Nuppa Site'!K1202,"NULL")</f>
        <v>18</v>
      </c>
      <c r="J1202" s="1" t="str">
        <f t="shared" si="18"/>
        <v>INSERT INTO COTACAO (blt_id, pap_id, cot_prc_comum, cot_prc_min, cot_prc_max, cot_prc_med, cot_prc_mediana) VALUES (32, 9, 18, 18, 24, 20.4, 18);</v>
      </c>
    </row>
    <row r="1203" spans="1:10" x14ac:dyDescent="0.3">
      <c r="A1203" s="1">
        <v>1202</v>
      </c>
      <c r="B1203" s="1">
        <v>32</v>
      </c>
      <c r="C1203" s="1">
        <v>10</v>
      </c>
      <c r="D1203" s="19">
        <f>IF('Boletins Nuppa Site'!G1203&lt;&gt;0,'Boletins Nuppa Site'!G1203,"NULL")</f>
        <v>60</v>
      </c>
      <c r="E1203" s="19">
        <f>IF('Boletins Nuppa Site'!H1203&lt;&gt;0,'Boletins Nuppa Site'!H1203,"NULL")</f>
        <v>60</v>
      </c>
      <c r="F1203" s="19">
        <f>IF('Boletins Nuppa Site'!I1203&lt;&gt;0,'Boletins Nuppa Site'!I1203,"NULL")</f>
        <v>78</v>
      </c>
      <c r="G1203" s="1" t="str">
        <f>IF('Boletins Nuppa Site'!J1203&lt;&gt;0,'Boletins Nuppa Site'!J1203,"NULL")</f>
        <v>64.5</v>
      </c>
      <c r="H1203" s="19">
        <f>IF('Boletins Nuppa Site'!K1203&lt;&gt;0,'Boletins Nuppa Site'!K1203,"NULL")</f>
        <v>60</v>
      </c>
      <c r="J1203" s="1" t="str">
        <f t="shared" si="18"/>
        <v>INSERT INTO COTACAO (blt_id, pap_id, cot_prc_comum, cot_prc_min, cot_prc_max, cot_prc_med, cot_prc_mediana) VALUES (32, 10, 60, 60, 78, 64.5, 60);</v>
      </c>
    </row>
    <row r="1204" spans="1:10" x14ac:dyDescent="0.3">
      <c r="A1204" s="1">
        <v>1203</v>
      </c>
      <c r="B1204" s="1">
        <v>32</v>
      </c>
      <c r="C1204" s="1">
        <v>11</v>
      </c>
      <c r="D1204" s="19">
        <f>IF('Boletins Nuppa Site'!G1204&lt;&gt;0,'Boletins Nuppa Site'!G1204,"NULL")</f>
        <v>24</v>
      </c>
      <c r="E1204" s="19">
        <f>IF('Boletins Nuppa Site'!H1204&lt;&gt;0,'Boletins Nuppa Site'!H1204,"NULL")</f>
        <v>18</v>
      </c>
      <c r="F1204" s="19">
        <f>IF('Boletins Nuppa Site'!I1204&lt;&gt;0,'Boletins Nuppa Site'!I1204,"NULL")</f>
        <v>24</v>
      </c>
      <c r="G1204" s="1" t="str">
        <f>IF('Boletins Nuppa Site'!J1204&lt;&gt;0,'Boletins Nuppa Site'!J1204,"NULL")</f>
        <v>22.8</v>
      </c>
      <c r="H1204" s="19">
        <f>IF('Boletins Nuppa Site'!K1204&lt;&gt;0,'Boletins Nuppa Site'!K1204,"NULL")</f>
        <v>24</v>
      </c>
      <c r="J1204" s="1" t="str">
        <f t="shared" si="18"/>
        <v>INSERT INTO COTACAO (blt_id, pap_id, cot_prc_comum, cot_prc_min, cot_prc_max, cot_prc_med, cot_prc_mediana) VALUES (32, 11, 24, 18, 24, 22.8, 24);</v>
      </c>
    </row>
    <row r="1205" spans="1:10" x14ac:dyDescent="0.3">
      <c r="A1205" s="1">
        <v>1204</v>
      </c>
      <c r="B1205" s="1">
        <v>32</v>
      </c>
      <c r="C1205" s="1">
        <v>12</v>
      </c>
      <c r="D1205" s="19">
        <f>IF('Boletins Nuppa Site'!G1205&lt;&gt;0,'Boletins Nuppa Site'!G1205,"NULL")</f>
        <v>60</v>
      </c>
      <c r="E1205" s="19">
        <f>IF('Boletins Nuppa Site'!H1205&lt;&gt;0,'Boletins Nuppa Site'!H1205,"NULL")</f>
        <v>48</v>
      </c>
      <c r="F1205" s="19">
        <f>IF('Boletins Nuppa Site'!I1205&lt;&gt;0,'Boletins Nuppa Site'!I1205,"NULL")</f>
        <v>60</v>
      </c>
      <c r="G1205" s="19">
        <f>IF('Boletins Nuppa Site'!J1205&lt;&gt;0,'Boletins Nuppa Site'!J1205,"NULL")</f>
        <v>54</v>
      </c>
      <c r="H1205" s="19">
        <f>IF('Boletins Nuppa Site'!K1205&lt;&gt;0,'Boletins Nuppa Site'!K1205,"NULL")</f>
        <v>54</v>
      </c>
      <c r="J1205" s="1" t="str">
        <f t="shared" si="18"/>
        <v>INSERT INTO COTACAO (blt_id, pap_id, cot_prc_comum, cot_prc_min, cot_prc_max, cot_prc_med, cot_prc_mediana) VALUES (32, 12, 60, 48, 60, 54, 54);</v>
      </c>
    </row>
    <row r="1206" spans="1:10" x14ac:dyDescent="0.3">
      <c r="A1206" s="1">
        <v>1205</v>
      </c>
      <c r="B1206" s="1">
        <v>32</v>
      </c>
      <c r="C1206" s="1">
        <v>13</v>
      </c>
      <c r="D1206" s="19">
        <f>IF('Boletins Nuppa Site'!G1206&lt;&gt;0,'Boletins Nuppa Site'!G1206,"NULL")</f>
        <v>48</v>
      </c>
      <c r="E1206" s="19">
        <f>IF('Boletins Nuppa Site'!H1206&lt;&gt;0,'Boletins Nuppa Site'!H1206,"NULL")</f>
        <v>42</v>
      </c>
      <c r="F1206" s="19">
        <f>IF('Boletins Nuppa Site'!I1206&lt;&gt;0,'Boletins Nuppa Site'!I1206,"NULL")</f>
        <v>60</v>
      </c>
      <c r="G1206" s="1" t="str">
        <f>IF('Boletins Nuppa Site'!J1206&lt;&gt;0,'Boletins Nuppa Site'!J1206,"NULL")</f>
        <v>49.2</v>
      </c>
      <c r="H1206" s="19">
        <f>IF('Boletins Nuppa Site'!K1206&lt;&gt;0,'Boletins Nuppa Site'!K1206,"NULL")</f>
        <v>48</v>
      </c>
      <c r="J1206" s="1" t="str">
        <f t="shared" si="18"/>
        <v>INSERT INTO COTACAO (blt_id, pap_id, cot_prc_comum, cot_prc_min, cot_prc_max, cot_prc_med, cot_prc_mediana) VALUES (32, 13, 48, 42, 60, 49.2, 48);</v>
      </c>
    </row>
    <row r="1207" spans="1:10" x14ac:dyDescent="0.3">
      <c r="A1207" s="1">
        <v>1206</v>
      </c>
      <c r="B1207" s="1">
        <v>32</v>
      </c>
      <c r="C1207" s="1">
        <v>14</v>
      </c>
      <c r="D1207" s="19">
        <f>IF('Boletins Nuppa Site'!G1207&lt;&gt;0,'Boletins Nuppa Site'!G1207,"NULL")</f>
        <v>48</v>
      </c>
      <c r="E1207" s="19">
        <f>IF('Boletins Nuppa Site'!H1207&lt;&gt;0,'Boletins Nuppa Site'!H1207,"NULL")</f>
        <v>48</v>
      </c>
      <c r="F1207" s="19">
        <f>IF('Boletins Nuppa Site'!I1207&lt;&gt;0,'Boletins Nuppa Site'!I1207,"NULL")</f>
        <v>84</v>
      </c>
      <c r="G1207" s="19">
        <f>IF('Boletins Nuppa Site'!J1207&lt;&gt;0,'Boletins Nuppa Site'!J1207,"NULL")</f>
        <v>60</v>
      </c>
      <c r="H1207" s="19">
        <f>IF('Boletins Nuppa Site'!K1207&lt;&gt;0,'Boletins Nuppa Site'!K1207,"NULL")</f>
        <v>54</v>
      </c>
      <c r="J1207" s="1" t="str">
        <f t="shared" si="18"/>
        <v>INSERT INTO COTACAO (blt_id, pap_id, cot_prc_comum, cot_prc_min, cot_prc_max, cot_prc_med, cot_prc_mediana) VALUES (32, 14, 48, 48, 84, 60, 54);</v>
      </c>
    </row>
    <row r="1208" spans="1:10" x14ac:dyDescent="0.3">
      <c r="A1208" s="1">
        <v>1207</v>
      </c>
      <c r="B1208" s="1">
        <v>32</v>
      </c>
      <c r="C1208" s="1">
        <v>15</v>
      </c>
      <c r="D1208" s="19">
        <f>IF('Boletins Nuppa Site'!G1208&lt;&gt;0,'Boletins Nuppa Site'!G1208,"NULL")</f>
        <v>36</v>
      </c>
      <c r="E1208" s="19">
        <f>IF('Boletins Nuppa Site'!H1208&lt;&gt;0,'Boletins Nuppa Site'!H1208,"NULL")</f>
        <v>20</v>
      </c>
      <c r="F1208" s="19">
        <f>IF('Boletins Nuppa Site'!I1208&lt;&gt;0,'Boletins Nuppa Site'!I1208,"NULL")</f>
        <v>40</v>
      </c>
      <c r="G1208" s="1" t="str">
        <f>IF('Boletins Nuppa Site'!J1208&lt;&gt;0,'Boletins Nuppa Site'!J1208,"NULL")</f>
        <v>33.6</v>
      </c>
      <c r="H1208" s="19">
        <f>IF('Boletins Nuppa Site'!K1208&lt;&gt;0,'Boletins Nuppa Site'!K1208,"NULL")</f>
        <v>36</v>
      </c>
      <c r="J1208" s="1" t="str">
        <f t="shared" si="18"/>
        <v>INSERT INTO COTACAO (blt_id, pap_id, cot_prc_comum, cot_prc_min, cot_prc_max, cot_prc_med, cot_prc_mediana) VALUES (32, 15, 36, 20, 40, 33.6, 36);</v>
      </c>
    </row>
    <row r="1209" spans="1:10" x14ac:dyDescent="0.3">
      <c r="A1209" s="1">
        <v>1208</v>
      </c>
      <c r="B1209" s="1">
        <v>32</v>
      </c>
      <c r="C1209" s="1">
        <v>16</v>
      </c>
      <c r="D1209" s="19">
        <f>IF('Boletins Nuppa Site'!G1209&lt;&gt;0,'Boletins Nuppa Site'!G1209,"NULL")</f>
        <v>48</v>
      </c>
      <c r="E1209" s="19">
        <f>IF('Boletins Nuppa Site'!H1209&lt;&gt;0,'Boletins Nuppa Site'!H1209,"NULL")</f>
        <v>48</v>
      </c>
      <c r="F1209" s="19">
        <f>IF('Boletins Nuppa Site'!I1209&lt;&gt;0,'Boletins Nuppa Site'!I1209,"NULL")</f>
        <v>54</v>
      </c>
      <c r="G1209" s="1" t="str">
        <f>IF('Boletins Nuppa Site'!J1209&lt;&gt;0,'Boletins Nuppa Site'!J1209,"NULL")</f>
        <v>49.2</v>
      </c>
      <c r="H1209" s="19">
        <f>IF('Boletins Nuppa Site'!K1209&lt;&gt;0,'Boletins Nuppa Site'!K1209,"NULL")</f>
        <v>48</v>
      </c>
      <c r="J1209" s="1" t="str">
        <f t="shared" si="18"/>
        <v>INSERT INTO COTACAO (blt_id, pap_id, cot_prc_comum, cot_prc_min, cot_prc_max, cot_prc_med, cot_prc_mediana) VALUES (32, 16, 48, 48, 54, 49.2, 48);</v>
      </c>
    </row>
    <row r="1210" spans="1:10" x14ac:dyDescent="0.3">
      <c r="A1210" s="1">
        <v>1209</v>
      </c>
      <c r="B1210" s="1">
        <v>32</v>
      </c>
      <c r="C1210" s="1">
        <v>17</v>
      </c>
      <c r="D1210" s="19">
        <f>IF('Boletins Nuppa Site'!G1210&lt;&gt;0,'Boletins Nuppa Site'!G1210,"NULL")</f>
        <v>5</v>
      </c>
      <c r="E1210" s="19">
        <f>IF('Boletins Nuppa Site'!H1210&lt;&gt;0,'Boletins Nuppa Site'!H1210,"NULL")</f>
        <v>5</v>
      </c>
      <c r="F1210" s="19">
        <f>IF('Boletins Nuppa Site'!I1210&lt;&gt;0,'Boletins Nuppa Site'!I1210,"NULL")</f>
        <v>5</v>
      </c>
      <c r="G1210" s="19">
        <f>IF('Boletins Nuppa Site'!J1210&lt;&gt;0,'Boletins Nuppa Site'!J1210,"NULL")</f>
        <v>5</v>
      </c>
      <c r="H1210" s="19">
        <f>IF('Boletins Nuppa Site'!K1210&lt;&gt;0,'Boletins Nuppa Site'!K1210,"NULL")</f>
        <v>5</v>
      </c>
      <c r="J1210" s="1" t="str">
        <f t="shared" si="18"/>
        <v>INSERT INTO COTACAO (blt_id, pap_id, cot_prc_comum, cot_prc_min, cot_prc_max, cot_prc_med, cot_prc_mediana) VALUES (32, 17, 5, 5, 5, 5, 5);</v>
      </c>
    </row>
    <row r="1211" spans="1:10" x14ac:dyDescent="0.3">
      <c r="A1211" s="1">
        <v>1210</v>
      </c>
      <c r="B1211" s="1">
        <v>32</v>
      </c>
      <c r="C1211" s="1">
        <v>18</v>
      </c>
      <c r="D1211" s="19">
        <f>IF('Boletins Nuppa Site'!G1211&lt;&gt;0,'Boletins Nuppa Site'!G1211,"NULL")</f>
        <v>10</v>
      </c>
      <c r="E1211" s="19">
        <f>IF('Boletins Nuppa Site'!H1211&lt;&gt;0,'Boletins Nuppa Site'!H1211,"NULL")</f>
        <v>10</v>
      </c>
      <c r="F1211" s="19">
        <f>IF('Boletins Nuppa Site'!I1211&lt;&gt;0,'Boletins Nuppa Site'!I1211,"NULL")</f>
        <v>10</v>
      </c>
      <c r="G1211" s="19">
        <f>IF('Boletins Nuppa Site'!J1211&lt;&gt;0,'Boletins Nuppa Site'!J1211,"NULL")</f>
        <v>10</v>
      </c>
      <c r="H1211" s="19">
        <f>IF('Boletins Nuppa Site'!K1211&lt;&gt;0,'Boletins Nuppa Site'!K1211,"NULL")</f>
        <v>10</v>
      </c>
      <c r="J1211" s="1" t="str">
        <f t="shared" si="18"/>
        <v>INSERT INTO COTACAO (blt_id, pap_id, cot_prc_comum, cot_prc_min, cot_prc_max, cot_prc_med, cot_prc_mediana) VALUES (32, 18, 10, 10, 10, 10, 10);</v>
      </c>
    </row>
    <row r="1212" spans="1:10" x14ac:dyDescent="0.3">
      <c r="A1212" s="1">
        <v>1211</v>
      </c>
      <c r="B1212" s="1">
        <v>32</v>
      </c>
      <c r="C1212" s="1">
        <v>19</v>
      </c>
      <c r="D1212" s="19">
        <f>IF('Boletins Nuppa Site'!G1212&lt;&gt;0,'Boletins Nuppa Site'!G1212,"NULL")</f>
        <v>15</v>
      </c>
      <c r="E1212" s="19">
        <f>IF('Boletins Nuppa Site'!H1212&lt;&gt;0,'Boletins Nuppa Site'!H1212,"NULL")</f>
        <v>15</v>
      </c>
      <c r="F1212" s="19">
        <f>IF('Boletins Nuppa Site'!I1212&lt;&gt;0,'Boletins Nuppa Site'!I1212,"NULL")</f>
        <v>30</v>
      </c>
      <c r="G1212" s="19">
        <f>IF('Boletins Nuppa Site'!J1212&lt;&gt;0,'Boletins Nuppa Site'!J1212,"NULL")</f>
        <v>21</v>
      </c>
      <c r="H1212" s="19">
        <f>IF('Boletins Nuppa Site'!K1212&lt;&gt;0,'Boletins Nuppa Site'!K1212,"NULL")</f>
        <v>20</v>
      </c>
      <c r="J1212" s="1" t="str">
        <f t="shared" si="18"/>
        <v>INSERT INTO COTACAO (blt_id, pap_id, cot_prc_comum, cot_prc_min, cot_prc_max, cot_prc_med, cot_prc_mediana) VALUES (32, 19, 15, 15, 30, 21, 20);</v>
      </c>
    </row>
    <row r="1213" spans="1:10" x14ac:dyDescent="0.3">
      <c r="A1213" s="1">
        <v>1212</v>
      </c>
      <c r="B1213" s="1">
        <v>32</v>
      </c>
      <c r="C1213" s="1">
        <v>20</v>
      </c>
      <c r="D1213" s="19">
        <f>IF('Boletins Nuppa Site'!G1213&lt;&gt;0,'Boletins Nuppa Site'!G1213,"NULL")</f>
        <v>75</v>
      </c>
      <c r="E1213" s="19">
        <f>IF('Boletins Nuppa Site'!H1213&lt;&gt;0,'Boletins Nuppa Site'!H1213,"NULL")</f>
        <v>75</v>
      </c>
      <c r="F1213" s="19">
        <f>IF('Boletins Nuppa Site'!I1213&lt;&gt;0,'Boletins Nuppa Site'!I1213,"NULL")</f>
        <v>75</v>
      </c>
      <c r="G1213" s="19">
        <f>IF('Boletins Nuppa Site'!J1213&lt;&gt;0,'Boletins Nuppa Site'!J1213,"NULL")</f>
        <v>75</v>
      </c>
      <c r="H1213" s="19">
        <f>IF('Boletins Nuppa Site'!K1213&lt;&gt;0,'Boletins Nuppa Site'!K1213,"NULL")</f>
        <v>75</v>
      </c>
      <c r="J1213" s="1" t="str">
        <f t="shared" si="18"/>
        <v>INSERT INTO COTACAO (blt_id, pap_id, cot_prc_comum, cot_prc_min, cot_prc_max, cot_prc_med, cot_prc_mediana) VALUES (32, 20, 75, 75, 75, 75, 75);</v>
      </c>
    </row>
    <row r="1214" spans="1:10" x14ac:dyDescent="0.3">
      <c r="A1214" s="1">
        <v>1213</v>
      </c>
      <c r="B1214" s="1">
        <v>32</v>
      </c>
      <c r="C1214" s="1">
        <v>21</v>
      </c>
      <c r="D1214" s="19">
        <f>IF('Boletins Nuppa Site'!G1214&lt;&gt;0,'Boletins Nuppa Site'!G1214,"NULL")</f>
        <v>45</v>
      </c>
      <c r="E1214" s="19">
        <f>IF('Boletins Nuppa Site'!H1214&lt;&gt;0,'Boletins Nuppa Site'!H1214,"NULL")</f>
        <v>30</v>
      </c>
      <c r="F1214" s="19">
        <f>IF('Boletins Nuppa Site'!I1214&lt;&gt;0,'Boletins Nuppa Site'!I1214,"NULL")</f>
        <v>50</v>
      </c>
      <c r="G1214" s="19">
        <f>IF('Boletins Nuppa Site'!J1214&lt;&gt;0,'Boletins Nuppa Site'!J1214,"NULL")</f>
        <v>42</v>
      </c>
      <c r="H1214" s="19">
        <f>IF('Boletins Nuppa Site'!K1214&lt;&gt;0,'Boletins Nuppa Site'!K1214,"NULL")</f>
        <v>45</v>
      </c>
      <c r="J1214" s="1" t="str">
        <f t="shared" si="18"/>
        <v>INSERT INTO COTACAO (blt_id, pap_id, cot_prc_comum, cot_prc_min, cot_prc_max, cot_prc_med, cot_prc_mediana) VALUES (32, 21, 45, 30, 50, 42, 45);</v>
      </c>
    </row>
    <row r="1215" spans="1:10" x14ac:dyDescent="0.3">
      <c r="A1215" s="1">
        <v>1214</v>
      </c>
      <c r="B1215" s="1">
        <v>32</v>
      </c>
      <c r="C1215" s="1">
        <v>22</v>
      </c>
      <c r="D1215" s="19">
        <f>IF('Boletins Nuppa Site'!G1215&lt;&gt;0,'Boletins Nuppa Site'!G1215,"NULL")</f>
        <v>70</v>
      </c>
      <c r="E1215" s="19">
        <f>IF('Boletins Nuppa Site'!H1215&lt;&gt;0,'Boletins Nuppa Site'!H1215,"NULL")</f>
        <v>45</v>
      </c>
      <c r="F1215" s="19">
        <f>IF('Boletins Nuppa Site'!I1215&lt;&gt;0,'Boletins Nuppa Site'!I1215,"NULL")</f>
        <v>70</v>
      </c>
      <c r="G1215" s="19">
        <f>IF('Boletins Nuppa Site'!J1215&lt;&gt;0,'Boletins Nuppa Site'!J1215,"NULL")</f>
        <v>60</v>
      </c>
      <c r="H1215" s="19">
        <f>IF('Boletins Nuppa Site'!K1215&lt;&gt;0,'Boletins Nuppa Site'!K1215,"NULL")</f>
        <v>65</v>
      </c>
      <c r="J1215" s="1" t="str">
        <f t="shared" si="18"/>
        <v>INSERT INTO COTACAO (blt_id, pap_id, cot_prc_comum, cot_prc_min, cot_prc_max, cot_prc_med, cot_prc_mediana) VALUES (32, 22, 70, 45, 70, 60, 65);</v>
      </c>
    </row>
    <row r="1216" spans="1:10" x14ac:dyDescent="0.3">
      <c r="A1216" s="1">
        <v>1215</v>
      </c>
      <c r="B1216" s="1">
        <v>32</v>
      </c>
      <c r="C1216" s="1">
        <v>23</v>
      </c>
      <c r="D1216" s="19">
        <f>IF('Boletins Nuppa Site'!G1216&lt;&gt;0,'Boletins Nuppa Site'!G1216,"NULL")</f>
        <v>50</v>
      </c>
      <c r="E1216" s="19">
        <f>IF('Boletins Nuppa Site'!H1216&lt;&gt;0,'Boletins Nuppa Site'!H1216,"NULL")</f>
        <v>40</v>
      </c>
      <c r="F1216" s="19">
        <f>IF('Boletins Nuppa Site'!I1216&lt;&gt;0,'Boletins Nuppa Site'!I1216,"NULL")</f>
        <v>50</v>
      </c>
      <c r="G1216" s="19">
        <f>IF('Boletins Nuppa Site'!J1216&lt;&gt;0,'Boletins Nuppa Site'!J1216,"NULL")</f>
        <v>46</v>
      </c>
      <c r="H1216" s="19">
        <f>IF('Boletins Nuppa Site'!K1216&lt;&gt;0,'Boletins Nuppa Site'!K1216,"NULL")</f>
        <v>50</v>
      </c>
      <c r="J1216" s="1" t="str">
        <f t="shared" si="18"/>
        <v>INSERT INTO COTACAO (blt_id, pap_id, cot_prc_comum, cot_prc_min, cot_prc_max, cot_prc_med, cot_prc_mediana) VALUES (32, 23, 50, 40, 50, 46, 50);</v>
      </c>
    </row>
    <row r="1217" spans="1:10" x14ac:dyDescent="0.3">
      <c r="A1217" s="1">
        <v>1216</v>
      </c>
      <c r="B1217" s="1">
        <v>32</v>
      </c>
      <c r="C1217" s="1">
        <v>24</v>
      </c>
      <c r="D1217" s="1" t="str">
        <f>IF('Boletins Nuppa Site'!G1217&lt;&gt;0,'Boletins Nuppa Site'!G1217,"NULL")</f>
        <v>NULL</v>
      </c>
      <c r="E1217" s="19">
        <f>IF('Boletins Nuppa Site'!H1217&lt;&gt;0,'Boletins Nuppa Site'!H1217,"NULL")</f>
        <v>90</v>
      </c>
      <c r="F1217" s="19">
        <f>IF('Boletins Nuppa Site'!I1217&lt;&gt;0,'Boletins Nuppa Site'!I1217,"NULL")</f>
        <v>100</v>
      </c>
      <c r="G1217" s="19">
        <f>IF('Boletins Nuppa Site'!J1217&lt;&gt;0,'Boletins Nuppa Site'!J1217,"NULL")</f>
        <v>95</v>
      </c>
      <c r="H1217" s="19">
        <f>IF('Boletins Nuppa Site'!K1217&lt;&gt;0,'Boletins Nuppa Site'!K1217,"NULL")</f>
        <v>95</v>
      </c>
      <c r="J1217" s="1" t="str">
        <f t="shared" si="18"/>
        <v>INSERT INTO COTACAO (blt_id, pap_id, cot_prc_comum, cot_prc_min, cot_prc_max, cot_prc_med, cot_prc_mediana) VALUES (32, 24, NULL, 90, 100, 95, 95);</v>
      </c>
    </row>
    <row r="1218" spans="1:10" x14ac:dyDescent="0.3">
      <c r="A1218" s="1">
        <v>1217</v>
      </c>
      <c r="B1218" s="1">
        <v>32</v>
      </c>
      <c r="C1218" s="1">
        <v>25</v>
      </c>
      <c r="D1218" s="19">
        <f>IF('Boletins Nuppa Site'!G1218&lt;&gt;0,'Boletins Nuppa Site'!G1218,"NULL")</f>
        <v>60</v>
      </c>
      <c r="E1218" s="19">
        <f>IF('Boletins Nuppa Site'!H1218&lt;&gt;0,'Boletins Nuppa Site'!H1218,"NULL")</f>
        <v>60</v>
      </c>
      <c r="F1218" s="19">
        <f>IF('Boletins Nuppa Site'!I1218&lt;&gt;0,'Boletins Nuppa Site'!I1218,"NULL")</f>
        <v>65</v>
      </c>
      <c r="G1218" s="19">
        <f>IF('Boletins Nuppa Site'!J1218&lt;&gt;0,'Boletins Nuppa Site'!J1218,"NULL")</f>
        <v>62</v>
      </c>
      <c r="H1218" s="19">
        <f>IF('Boletins Nuppa Site'!K1218&lt;&gt;0,'Boletins Nuppa Site'!K1218,"NULL")</f>
        <v>60</v>
      </c>
      <c r="J1218" s="1" t="str">
        <f t="shared" ref="J1218:J1281" si="19">"INSERT INTO COTACAO (blt_id, pap_id, cot_prc_comum, cot_prc_min, cot_prc_max, cot_prc_med, cot_prc_mediana) VALUES ("&amp;B1218&amp;", "&amp;C1218&amp;", "&amp;D1218&amp;", "&amp;E1218&amp;", "&amp;F1218&amp;", "&amp;G1218&amp;", "&amp;H1218&amp;");"</f>
        <v>INSERT INTO COTACAO (blt_id, pap_id, cot_prc_comum, cot_prc_min, cot_prc_max, cot_prc_med, cot_prc_mediana) VALUES (32, 25, 60, 60, 65, 62, 60);</v>
      </c>
    </row>
    <row r="1219" spans="1:10" x14ac:dyDescent="0.3">
      <c r="A1219" s="1">
        <v>1218</v>
      </c>
      <c r="B1219" s="1">
        <v>32</v>
      </c>
      <c r="C1219" s="1">
        <v>26</v>
      </c>
      <c r="D1219" s="19">
        <f>IF('Boletins Nuppa Site'!G1219&lt;&gt;0,'Boletins Nuppa Site'!G1219,"NULL")</f>
        <v>55</v>
      </c>
      <c r="E1219" s="19">
        <f>IF('Boletins Nuppa Site'!H1219&lt;&gt;0,'Boletins Nuppa Site'!H1219,"NULL")</f>
        <v>35</v>
      </c>
      <c r="F1219" s="19">
        <f>IF('Boletins Nuppa Site'!I1219&lt;&gt;0,'Boletins Nuppa Site'!I1219,"NULL")</f>
        <v>60</v>
      </c>
      <c r="G1219" s="19">
        <f>IF('Boletins Nuppa Site'!J1219&lt;&gt;0,'Boletins Nuppa Site'!J1219,"NULL")</f>
        <v>51</v>
      </c>
      <c r="H1219" s="19">
        <f>IF('Boletins Nuppa Site'!K1219&lt;&gt;0,'Boletins Nuppa Site'!K1219,"NULL")</f>
        <v>55</v>
      </c>
      <c r="J1219" s="1" t="str">
        <f t="shared" si="19"/>
        <v>INSERT INTO COTACAO (blt_id, pap_id, cot_prc_comum, cot_prc_min, cot_prc_max, cot_prc_med, cot_prc_mediana) VALUES (32, 26, 55, 35, 60, 51, 55);</v>
      </c>
    </row>
    <row r="1220" spans="1:10" x14ac:dyDescent="0.3">
      <c r="A1220" s="1">
        <v>1219</v>
      </c>
      <c r="B1220" s="1">
        <v>32</v>
      </c>
      <c r="C1220" s="1">
        <v>27</v>
      </c>
      <c r="D1220" s="19">
        <f>IF('Boletins Nuppa Site'!G1220&lt;&gt;0,'Boletins Nuppa Site'!G1220,"NULL")</f>
        <v>65</v>
      </c>
      <c r="E1220" s="19">
        <f>IF('Boletins Nuppa Site'!H1220&lt;&gt;0,'Boletins Nuppa Site'!H1220,"NULL")</f>
        <v>50</v>
      </c>
      <c r="F1220" s="19">
        <f>IF('Boletins Nuppa Site'!I1220&lt;&gt;0,'Boletins Nuppa Site'!I1220,"NULL")</f>
        <v>65</v>
      </c>
      <c r="G1220" s="19">
        <f>IF('Boletins Nuppa Site'!J1220&lt;&gt;0,'Boletins Nuppa Site'!J1220,"NULL")</f>
        <v>58</v>
      </c>
      <c r="H1220" s="19">
        <f>IF('Boletins Nuppa Site'!K1220&lt;&gt;0,'Boletins Nuppa Site'!K1220,"NULL")</f>
        <v>60</v>
      </c>
      <c r="J1220" s="1" t="str">
        <f t="shared" si="19"/>
        <v>INSERT INTO COTACAO (blt_id, pap_id, cot_prc_comum, cot_prc_min, cot_prc_max, cot_prc_med, cot_prc_mediana) VALUES (32, 27, 65, 50, 65, 58, 60);</v>
      </c>
    </row>
    <row r="1221" spans="1:10" x14ac:dyDescent="0.3">
      <c r="A1221" s="1">
        <v>1220</v>
      </c>
      <c r="B1221" s="1">
        <v>32</v>
      </c>
      <c r="C1221" s="1">
        <v>28</v>
      </c>
      <c r="D1221" s="19">
        <f>IF('Boletins Nuppa Site'!G1221&lt;&gt;0,'Boletins Nuppa Site'!G1221,"NULL")</f>
        <v>90</v>
      </c>
      <c r="E1221" s="19">
        <f>IF('Boletins Nuppa Site'!H1221&lt;&gt;0,'Boletins Nuppa Site'!H1221,"NULL")</f>
        <v>70</v>
      </c>
      <c r="F1221" s="19">
        <f>IF('Boletins Nuppa Site'!I1221&lt;&gt;0,'Boletins Nuppa Site'!I1221,"NULL")</f>
        <v>100</v>
      </c>
      <c r="G1221" s="1" t="str">
        <f>IF('Boletins Nuppa Site'!J1221&lt;&gt;0,'Boletins Nuppa Site'!J1221,"NULL")</f>
        <v>87.5</v>
      </c>
      <c r="H1221" s="19">
        <f>IF('Boletins Nuppa Site'!K1221&lt;&gt;0,'Boletins Nuppa Site'!K1221,"NULL")</f>
        <v>90</v>
      </c>
      <c r="J1221" s="1" t="str">
        <f t="shared" si="19"/>
        <v>INSERT INTO COTACAO (blt_id, pap_id, cot_prc_comum, cot_prc_min, cot_prc_max, cot_prc_med, cot_prc_mediana) VALUES (32, 28, 90, 70, 100, 87.5, 90);</v>
      </c>
    </row>
    <row r="1222" spans="1:10" x14ac:dyDescent="0.3">
      <c r="A1222" s="1">
        <v>1221</v>
      </c>
      <c r="B1222" s="1">
        <v>32</v>
      </c>
      <c r="C1222" s="1">
        <v>29</v>
      </c>
      <c r="D1222" s="1" t="str">
        <f>IF('Boletins Nuppa Site'!G1222&lt;&gt;0,'Boletins Nuppa Site'!G1222,"NULL")</f>
        <v>NULL</v>
      </c>
      <c r="E1222" s="19">
        <f>IF('Boletins Nuppa Site'!H1222&lt;&gt;0,'Boletins Nuppa Site'!H1222,"NULL")</f>
        <v>60</v>
      </c>
      <c r="F1222" s="19">
        <f>IF('Boletins Nuppa Site'!I1222&lt;&gt;0,'Boletins Nuppa Site'!I1222,"NULL")</f>
        <v>60</v>
      </c>
      <c r="G1222" s="19">
        <f>IF('Boletins Nuppa Site'!J1222&lt;&gt;0,'Boletins Nuppa Site'!J1222,"NULL")</f>
        <v>60</v>
      </c>
      <c r="H1222" s="19">
        <f>IF('Boletins Nuppa Site'!K1222&lt;&gt;0,'Boletins Nuppa Site'!K1222,"NULL")</f>
        <v>60</v>
      </c>
      <c r="J1222" s="1" t="str">
        <f t="shared" si="19"/>
        <v>INSERT INTO COTACAO (blt_id, pap_id, cot_prc_comum, cot_prc_min, cot_prc_max, cot_prc_med, cot_prc_mediana) VALUES (32, 29, NULL, 60, 60, 60, 60);</v>
      </c>
    </row>
    <row r="1223" spans="1:10" x14ac:dyDescent="0.3">
      <c r="A1223" s="1">
        <v>1222</v>
      </c>
      <c r="B1223" s="1">
        <v>32</v>
      </c>
      <c r="C1223" s="1">
        <v>30</v>
      </c>
      <c r="D1223" s="1" t="str">
        <f>IF('Boletins Nuppa Site'!G1223&lt;&gt;0,'Boletins Nuppa Site'!G1223,"NULL")</f>
        <v>NULL</v>
      </c>
      <c r="E1223" s="19">
        <f>IF('Boletins Nuppa Site'!H1223&lt;&gt;0,'Boletins Nuppa Site'!H1223,"NULL")</f>
        <v>70</v>
      </c>
      <c r="F1223" s="19">
        <f>IF('Boletins Nuppa Site'!I1223&lt;&gt;0,'Boletins Nuppa Site'!I1223,"NULL")</f>
        <v>85</v>
      </c>
      <c r="G1223" s="1" t="str">
        <f>IF('Boletins Nuppa Site'!J1223&lt;&gt;0,'Boletins Nuppa Site'!J1223,"NULL")</f>
        <v>77.5</v>
      </c>
      <c r="H1223" s="1" t="str">
        <f>IF('Boletins Nuppa Site'!K1223&lt;&gt;0,'Boletins Nuppa Site'!K1223,"NULL")</f>
        <v>77.5</v>
      </c>
      <c r="J1223" s="1" t="str">
        <f t="shared" si="19"/>
        <v>INSERT INTO COTACAO (blt_id, pap_id, cot_prc_comum, cot_prc_min, cot_prc_max, cot_prc_med, cot_prc_mediana) VALUES (32, 30, NULL, 70, 85, 77.5, 77.5);</v>
      </c>
    </row>
    <row r="1224" spans="1:10" x14ac:dyDescent="0.3">
      <c r="A1224" s="1">
        <v>1223</v>
      </c>
      <c r="B1224" s="1">
        <v>32</v>
      </c>
      <c r="C1224" s="1">
        <v>31</v>
      </c>
      <c r="D1224" s="19">
        <f>IF('Boletins Nuppa Site'!G1224&lt;&gt;0,'Boletins Nuppa Site'!G1224,"NULL")</f>
        <v>120</v>
      </c>
      <c r="E1224" s="19">
        <f>IF('Boletins Nuppa Site'!H1224&lt;&gt;0,'Boletins Nuppa Site'!H1224,"NULL")</f>
        <v>80</v>
      </c>
      <c r="F1224" s="19">
        <f>IF('Boletins Nuppa Site'!I1224&lt;&gt;0,'Boletins Nuppa Site'!I1224,"NULL")</f>
        <v>120</v>
      </c>
      <c r="G1224" s="19">
        <f>IF('Boletins Nuppa Site'!J1224&lt;&gt;0,'Boletins Nuppa Site'!J1224,"NULL")</f>
        <v>103</v>
      </c>
      <c r="H1224" s="19">
        <f>IF('Boletins Nuppa Site'!K1224&lt;&gt;0,'Boletins Nuppa Site'!K1224,"NULL")</f>
        <v>110</v>
      </c>
      <c r="J1224" s="1" t="str">
        <f t="shared" si="19"/>
        <v>INSERT INTO COTACAO (blt_id, pap_id, cot_prc_comum, cot_prc_min, cot_prc_max, cot_prc_med, cot_prc_mediana) VALUES (32, 31, 120, 80, 120, 103, 110);</v>
      </c>
    </row>
    <row r="1225" spans="1:10" x14ac:dyDescent="0.3">
      <c r="A1225" s="1">
        <v>1224</v>
      </c>
      <c r="B1225" s="1">
        <v>32</v>
      </c>
      <c r="C1225" s="1">
        <v>32</v>
      </c>
      <c r="D1225" s="19">
        <f>IF('Boletins Nuppa Site'!G1225&lt;&gt;0,'Boletins Nuppa Site'!G1225,"NULL")</f>
        <v>50</v>
      </c>
      <c r="E1225" s="19">
        <f>IF('Boletins Nuppa Site'!H1225&lt;&gt;0,'Boletins Nuppa Site'!H1225,"NULL")</f>
        <v>50</v>
      </c>
      <c r="F1225" s="19">
        <f>IF('Boletins Nuppa Site'!I1225&lt;&gt;0,'Boletins Nuppa Site'!I1225,"NULL")</f>
        <v>60</v>
      </c>
      <c r="G1225" s="19">
        <f>IF('Boletins Nuppa Site'!J1225&lt;&gt;0,'Boletins Nuppa Site'!J1225,"NULL")</f>
        <v>53</v>
      </c>
      <c r="H1225" s="19">
        <f>IF('Boletins Nuppa Site'!K1225&lt;&gt;0,'Boletins Nuppa Site'!K1225,"NULL")</f>
        <v>50</v>
      </c>
      <c r="J1225" s="1" t="str">
        <f t="shared" si="19"/>
        <v>INSERT INTO COTACAO (blt_id, pap_id, cot_prc_comum, cot_prc_min, cot_prc_max, cot_prc_med, cot_prc_mediana) VALUES (32, 32, 50, 50, 60, 53, 50);</v>
      </c>
    </row>
    <row r="1226" spans="1:10" x14ac:dyDescent="0.3">
      <c r="A1226" s="1">
        <v>1225</v>
      </c>
      <c r="B1226" s="1">
        <v>32</v>
      </c>
      <c r="C1226" s="1">
        <v>33</v>
      </c>
      <c r="D1226" s="1" t="str">
        <f>IF('Boletins Nuppa Site'!G1226&lt;&gt;0,'Boletins Nuppa Site'!G1226,"NULL")</f>
        <v>NULL</v>
      </c>
      <c r="E1226" s="19">
        <f>IF('Boletins Nuppa Site'!H1226&lt;&gt;0,'Boletins Nuppa Site'!H1226,"NULL")</f>
        <v>110</v>
      </c>
      <c r="F1226" s="19">
        <f>IF('Boletins Nuppa Site'!I1226&lt;&gt;0,'Boletins Nuppa Site'!I1226,"NULL")</f>
        <v>160</v>
      </c>
      <c r="G1226" s="19">
        <f>IF('Boletins Nuppa Site'!J1226&lt;&gt;0,'Boletins Nuppa Site'!J1226,"NULL")</f>
        <v>137</v>
      </c>
      <c r="H1226" s="19">
        <f>IF('Boletins Nuppa Site'!K1226&lt;&gt;0,'Boletins Nuppa Site'!K1226,"NULL")</f>
        <v>140</v>
      </c>
      <c r="J1226" s="1" t="str">
        <f t="shared" si="19"/>
        <v>INSERT INTO COTACAO (blt_id, pap_id, cot_prc_comum, cot_prc_min, cot_prc_max, cot_prc_med, cot_prc_mediana) VALUES (32, 33, NULL, 110, 160, 137, 140);</v>
      </c>
    </row>
    <row r="1227" spans="1:10" x14ac:dyDescent="0.3">
      <c r="A1227" s="1">
        <v>1226</v>
      </c>
      <c r="B1227" s="1">
        <v>32</v>
      </c>
      <c r="C1227" s="1">
        <v>34</v>
      </c>
      <c r="D1227" s="19">
        <f>IF('Boletins Nuppa Site'!G1227&lt;&gt;0,'Boletins Nuppa Site'!G1227,"NULL")</f>
        <v>60</v>
      </c>
      <c r="E1227" s="19">
        <f>IF('Boletins Nuppa Site'!H1227&lt;&gt;0,'Boletins Nuppa Site'!H1227,"NULL")</f>
        <v>45</v>
      </c>
      <c r="F1227" s="19">
        <f>IF('Boletins Nuppa Site'!I1227&lt;&gt;0,'Boletins Nuppa Site'!I1227,"NULL")</f>
        <v>60</v>
      </c>
      <c r="G1227" s="19">
        <f>IF('Boletins Nuppa Site'!J1227&lt;&gt;0,'Boletins Nuppa Site'!J1227,"NULL")</f>
        <v>53</v>
      </c>
      <c r="H1227" s="19">
        <f>IF('Boletins Nuppa Site'!K1227&lt;&gt;0,'Boletins Nuppa Site'!K1227,"NULL")</f>
        <v>50</v>
      </c>
      <c r="J1227" s="1" t="str">
        <f t="shared" si="19"/>
        <v>INSERT INTO COTACAO (blt_id, pap_id, cot_prc_comum, cot_prc_min, cot_prc_max, cot_prc_med, cot_prc_mediana) VALUES (32, 34, 60, 45, 60, 53, 50);</v>
      </c>
    </row>
    <row r="1228" spans="1:10" x14ac:dyDescent="0.3">
      <c r="A1228" s="1">
        <v>1227</v>
      </c>
      <c r="B1228" s="1">
        <v>32</v>
      </c>
      <c r="C1228" s="1">
        <v>35</v>
      </c>
      <c r="D1228" s="1" t="str">
        <f>IF('Boletins Nuppa Site'!G1228&lt;&gt;0,'Boletins Nuppa Site'!G1228,"NULL")</f>
        <v>NULL</v>
      </c>
      <c r="E1228" s="19">
        <f>IF('Boletins Nuppa Site'!H1228&lt;&gt;0,'Boletins Nuppa Site'!H1228,"NULL")</f>
        <v>120</v>
      </c>
      <c r="F1228" s="19">
        <f>IF('Boletins Nuppa Site'!I1228&lt;&gt;0,'Boletins Nuppa Site'!I1228,"NULL")</f>
        <v>150</v>
      </c>
      <c r="G1228" s="19">
        <f>IF('Boletins Nuppa Site'!J1228&lt;&gt;0,'Boletins Nuppa Site'!J1228,"NULL")</f>
        <v>135</v>
      </c>
      <c r="H1228" s="19">
        <f>IF('Boletins Nuppa Site'!K1228&lt;&gt;0,'Boletins Nuppa Site'!K1228,"NULL")</f>
        <v>135</v>
      </c>
      <c r="J1228" s="1" t="str">
        <f t="shared" si="19"/>
        <v>INSERT INTO COTACAO (blt_id, pap_id, cot_prc_comum, cot_prc_min, cot_prc_max, cot_prc_med, cot_prc_mediana) VALUES (32, 35, NULL, 120, 150, 135, 135);</v>
      </c>
    </row>
    <row r="1229" spans="1:10" x14ac:dyDescent="0.3">
      <c r="A1229" s="1">
        <v>1228</v>
      </c>
      <c r="B1229" s="1">
        <v>32</v>
      </c>
      <c r="C1229" s="1">
        <v>36</v>
      </c>
      <c r="D1229" s="1" t="str">
        <f>IF('Boletins Nuppa Site'!G1229&lt;&gt;0,'Boletins Nuppa Site'!G1229,"NULL")</f>
        <v>NULL</v>
      </c>
      <c r="E1229" s="1" t="str">
        <f>IF('Boletins Nuppa Site'!H1229&lt;&gt;0,'Boletins Nuppa Site'!H1229,"NULL")</f>
        <v>NULL</v>
      </c>
      <c r="F1229" s="1" t="str">
        <f>IF('Boletins Nuppa Site'!I1229&lt;&gt;0,'Boletins Nuppa Site'!I1229,"NULL")</f>
        <v>NULL</v>
      </c>
      <c r="G1229" s="1" t="str">
        <f>IF('Boletins Nuppa Site'!J1229&lt;&gt;0,'Boletins Nuppa Site'!J1229,"NULL")</f>
        <v>NULL</v>
      </c>
      <c r="H1229" s="1" t="str">
        <f>IF('Boletins Nuppa Site'!K1229&lt;&gt;0,'Boletins Nuppa Site'!K1229,"NULL")</f>
        <v>NULL</v>
      </c>
      <c r="J1229" s="1" t="str">
        <f t="shared" si="19"/>
        <v>INSERT INTO COTACAO (blt_id, pap_id, cot_prc_comum, cot_prc_min, cot_prc_max, cot_prc_med, cot_prc_mediana) VALUES (32, 36, NULL, NULL, NULL, NULL, NULL);</v>
      </c>
    </row>
    <row r="1230" spans="1:10" x14ac:dyDescent="0.3">
      <c r="A1230" s="1">
        <v>1229</v>
      </c>
      <c r="B1230" s="1">
        <v>32</v>
      </c>
      <c r="C1230" s="1">
        <v>37</v>
      </c>
      <c r="D1230" s="1" t="str">
        <f>IF('Boletins Nuppa Site'!G1230&lt;&gt;0,'Boletins Nuppa Site'!G1230,"NULL")</f>
        <v>NULL</v>
      </c>
      <c r="E1230" s="1" t="str">
        <f>IF('Boletins Nuppa Site'!H1230&lt;&gt;0,'Boletins Nuppa Site'!H1230,"NULL")</f>
        <v>NULL</v>
      </c>
      <c r="F1230" s="1" t="str">
        <f>IF('Boletins Nuppa Site'!I1230&lt;&gt;0,'Boletins Nuppa Site'!I1230,"NULL")</f>
        <v>NULL</v>
      </c>
      <c r="G1230" s="1" t="str">
        <f>IF('Boletins Nuppa Site'!J1230&lt;&gt;0,'Boletins Nuppa Site'!J1230,"NULL")</f>
        <v>NULL</v>
      </c>
      <c r="H1230" s="1" t="str">
        <f>IF('Boletins Nuppa Site'!K1230&lt;&gt;0,'Boletins Nuppa Site'!K1230,"NULL")</f>
        <v>NULL</v>
      </c>
      <c r="J1230" s="1" t="str">
        <f t="shared" si="19"/>
        <v>INSERT INTO COTACAO (blt_id, pap_id, cot_prc_comum, cot_prc_min, cot_prc_max, cot_prc_med, cot_prc_mediana) VALUES (32, 37, NULL, NULL, NULL, NULL, NULL);</v>
      </c>
    </row>
    <row r="1231" spans="1:10" x14ac:dyDescent="0.3">
      <c r="A1231" s="1">
        <v>1230</v>
      </c>
      <c r="B1231" s="1">
        <v>32</v>
      </c>
      <c r="C1231" s="1">
        <v>38</v>
      </c>
      <c r="D1231" s="1" t="str">
        <f>IF('Boletins Nuppa Site'!G1231&lt;&gt;0,'Boletins Nuppa Site'!G1231,"NULL")</f>
        <v>NULL</v>
      </c>
      <c r="E1231" s="1" t="str">
        <f>IF('Boletins Nuppa Site'!H1231&lt;&gt;0,'Boletins Nuppa Site'!H1231,"NULL")</f>
        <v>NULL</v>
      </c>
      <c r="F1231" s="1" t="str">
        <f>IF('Boletins Nuppa Site'!I1231&lt;&gt;0,'Boletins Nuppa Site'!I1231,"NULL")</f>
        <v>NULL</v>
      </c>
      <c r="G1231" s="1" t="str">
        <f>IF('Boletins Nuppa Site'!J1231&lt;&gt;0,'Boletins Nuppa Site'!J1231,"NULL")</f>
        <v>NULL</v>
      </c>
      <c r="H1231" s="1" t="str">
        <f>IF('Boletins Nuppa Site'!K1231&lt;&gt;0,'Boletins Nuppa Site'!K1231,"NULL")</f>
        <v>NULL</v>
      </c>
      <c r="J1231" s="1" t="str">
        <f t="shared" si="19"/>
        <v>INSERT INTO COTACAO (blt_id, pap_id, cot_prc_comum, cot_prc_min, cot_prc_max, cot_prc_med, cot_prc_mediana) VALUES (32, 38, NULL, NULL, NULL, NULL, NULL);</v>
      </c>
    </row>
    <row r="1232" spans="1:10" x14ac:dyDescent="0.3">
      <c r="A1232" s="1">
        <v>1231</v>
      </c>
      <c r="B1232" s="1">
        <v>32</v>
      </c>
      <c r="C1232" s="1">
        <v>39</v>
      </c>
      <c r="D1232" s="1" t="str">
        <f>IF('Boletins Nuppa Site'!G1232&lt;&gt;0,'Boletins Nuppa Site'!G1232,"NULL")</f>
        <v>NULL</v>
      </c>
      <c r="E1232" s="19">
        <f>IF('Boletins Nuppa Site'!H1232&lt;&gt;0,'Boletins Nuppa Site'!H1232,"NULL")</f>
        <v>60</v>
      </c>
      <c r="F1232" s="19">
        <f>IF('Boletins Nuppa Site'!I1232&lt;&gt;0,'Boletins Nuppa Site'!I1232,"NULL")</f>
        <v>60</v>
      </c>
      <c r="G1232" s="19">
        <f>IF('Boletins Nuppa Site'!J1232&lt;&gt;0,'Boletins Nuppa Site'!J1232,"NULL")</f>
        <v>60</v>
      </c>
      <c r="H1232" s="19">
        <f>IF('Boletins Nuppa Site'!K1232&lt;&gt;0,'Boletins Nuppa Site'!K1232,"NULL")</f>
        <v>60</v>
      </c>
      <c r="J1232" s="1" t="str">
        <f t="shared" si="19"/>
        <v>INSERT INTO COTACAO (blt_id, pap_id, cot_prc_comum, cot_prc_min, cot_prc_max, cot_prc_med, cot_prc_mediana) VALUES (32, 39, NULL, 60, 60, 60, 60);</v>
      </c>
    </row>
    <row r="1233" spans="1:10" x14ac:dyDescent="0.3">
      <c r="A1233" s="1">
        <v>1232</v>
      </c>
      <c r="B1233" s="1">
        <v>32</v>
      </c>
      <c r="C1233" s="1">
        <v>40</v>
      </c>
      <c r="D1233" s="1" t="str">
        <f>IF('Boletins Nuppa Site'!G1233&lt;&gt;0,'Boletins Nuppa Site'!G1233,"NULL")</f>
        <v>NULL</v>
      </c>
      <c r="E1233" s="1" t="str">
        <f>IF('Boletins Nuppa Site'!H1233&lt;&gt;0,'Boletins Nuppa Site'!H1233,"NULL")</f>
        <v>NULL</v>
      </c>
      <c r="F1233" s="1" t="str">
        <f>IF('Boletins Nuppa Site'!I1233&lt;&gt;0,'Boletins Nuppa Site'!I1233,"NULL")</f>
        <v>NULL</v>
      </c>
      <c r="G1233" s="1" t="str">
        <f>IF('Boletins Nuppa Site'!J1233&lt;&gt;0,'Boletins Nuppa Site'!J1233,"NULL")</f>
        <v>NULL</v>
      </c>
      <c r="H1233" s="1" t="str">
        <f>IF('Boletins Nuppa Site'!K1233&lt;&gt;0,'Boletins Nuppa Site'!K1233,"NULL")</f>
        <v>NULL</v>
      </c>
      <c r="J1233" s="1" t="str">
        <f t="shared" si="19"/>
        <v>INSERT INTO COTACAO (blt_id, pap_id, cot_prc_comum, cot_prc_min, cot_prc_max, cot_prc_med, cot_prc_mediana) VALUES (32, 40, NULL, NULL, NULL, NULL, NULL);</v>
      </c>
    </row>
    <row r="1234" spans="1:10" x14ac:dyDescent="0.3">
      <c r="A1234" s="1">
        <v>1233</v>
      </c>
      <c r="B1234" s="1">
        <v>33</v>
      </c>
      <c r="C1234" s="1">
        <v>1</v>
      </c>
      <c r="D1234" s="19">
        <f>IF('Boletins Nuppa Site'!G1234&lt;&gt;0,'Boletins Nuppa Site'!G1234,"NULL")</f>
        <v>48</v>
      </c>
      <c r="E1234" s="19">
        <f>IF('Boletins Nuppa Site'!H1234&lt;&gt;0,'Boletins Nuppa Site'!H1234,"NULL")</f>
        <v>5</v>
      </c>
      <c r="F1234" s="19">
        <f>IF('Boletins Nuppa Site'!I1234&lt;&gt;0,'Boletins Nuppa Site'!I1234,"NULL")</f>
        <v>48</v>
      </c>
      <c r="G1234" s="1" t="str">
        <f>IF('Boletins Nuppa Site'!J1234&lt;&gt;0,'Boletins Nuppa Site'!J1234,"NULL")</f>
        <v>32.2</v>
      </c>
      <c r="H1234" s="19">
        <f>IF('Boletins Nuppa Site'!K1234&lt;&gt;0,'Boletins Nuppa Site'!K1234,"NULL")</f>
        <v>36</v>
      </c>
      <c r="J1234" s="1" t="str">
        <f t="shared" si="19"/>
        <v>INSERT INTO COTACAO (blt_id, pap_id, cot_prc_comum, cot_prc_min, cot_prc_max, cot_prc_med, cot_prc_mediana) VALUES (33, 1, 48, 5, 48, 32.2, 36);</v>
      </c>
    </row>
    <row r="1235" spans="1:10" x14ac:dyDescent="0.3">
      <c r="A1235" s="1">
        <v>1234</v>
      </c>
      <c r="B1235" s="1">
        <v>33</v>
      </c>
      <c r="C1235" s="1">
        <v>2</v>
      </c>
      <c r="D1235" s="19">
        <f>IF('Boletins Nuppa Site'!G1235&lt;&gt;0,'Boletins Nuppa Site'!G1235,"NULL")</f>
        <v>60</v>
      </c>
      <c r="E1235" s="19">
        <f>IF('Boletins Nuppa Site'!H1235&lt;&gt;0,'Boletins Nuppa Site'!H1235,"NULL")</f>
        <v>7</v>
      </c>
      <c r="F1235" s="19">
        <f>IF('Boletins Nuppa Site'!I1235&lt;&gt;0,'Boletins Nuppa Site'!I1235,"NULL")</f>
        <v>72</v>
      </c>
      <c r="G1235" s="1" t="str">
        <f>IF('Boletins Nuppa Site'!J1235&lt;&gt;0,'Boletins Nuppa Site'!J1235,"NULL")</f>
        <v>51.8</v>
      </c>
      <c r="H1235" s="19">
        <f>IF('Boletins Nuppa Site'!K1235&lt;&gt;0,'Boletins Nuppa Site'!K1235,"NULL")</f>
        <v>60</v>
      </c>
      <c r="J1235" s="1" t="str">
        <f t="shared" si="19"/>
        <v>INSERT INTO COTACAO (blt_id, pap_id, cot_prc_comum, cot_prc_min, cot_prc_max, cot_prc_med, cot_prc_mediana) VALUES (33, 2, 60, 7, 72, 51.8, 60);</v>
      </c>
    </row>
    <row r="1236" spans="1:10" x14ac:dyDescent="0.3">
      <c r="A1236" s="1">
        <v>1235</v>
      </c>
      <c r="B1236" s="1">
        <v>33</v>
      </c>
      <c r="C1236" s="1">
        <v>3</v>
      </c>
      <c r="D1236" s="19">
        <f>IF('Boletins Nuppa Site'!G1236&lt;&gt;0,'Boletins Nuppa Site'!G1236,"NULL")</f>
        <v>30</v>
      </c>
      <c r="E1236" s="19">
        <f>IF('Boletins Nuppa Site'!H1236&lt;&gt;0,'Boletins Nuppa Site'!H1236,"NULL")</f>
        <v>30</v>
      </c>
      <c r="F1236" s="19">
        <f>IF('Boletins Nuppa Site'!I1236&lt;&gt;0,'Boletins Nuppa Site'!I1236,"NULL")</f>
        <v>36</v>
      </c>
      <c r="G1236" s="19">
        <f>IF('Boletins Nuppa Site'!J1236&lt;&gt;0,'Boletins Nuppa Site'!J1236,"NULL")</f>
        <v>31</v>
      </c>
      <c r="H1236" s="19">
        <f>IF('Boletins Nuppa Site'!K1236&lt;&gt;0,'Boletins Nuppa Site'!K1236,"NULL")</f>
        <v>30</v>
      </c>
      <c r="J1236" s="1" t="str">
        <f t="shared" si="19"/>
        <v>INSERT INTO COTACAO (blt_id, pap_id, cot_prc_comum, cot_prc_min, cot_prc_max, cot_prc_med, cot_prc_mediana) VALUES (33, 3, 30, 30, 36, 31, 30);</v>
      </c>
    </row>
    <row r="1237" spans="1:10" x14ac:dyDescent="0.3">
      <c r="A1237" s="1">
        <v>1236</v>
      </c>
      <c r="B1237" s="1">
        <v>33</v>
      </c>
      <c r="C1237" s="1">
        <v>4</v>
      </c>
      <c r="D1237" s="19">
        <f>IF('Boletins Nuppa Site'!G1237&lt;&gt;0,'Boletins Nuppa Site'!G1237,"NULL")</f>
        <v>18</v>
      </c>
      <c r="E1237" s="19">
        <f>IF('Boletins Nuppa Site'!H1237&lt;&gt;0,'Boletins Nuppa Site'!H1237,"NULL")</f>
        <v>15</v>
      </c>
      <c r="F1237" s="19">
        <f>IF('Boletins Nuppa Site'!I1237&lt;&gt;0,'Boletins Nuppa Site'!I1237,"NULL")</f>
        <v>24</v>
      </c>
      <c r="G1237" s="19">
        <f>IF('Boletins Nuppa Site'!J1237&lt;&gt;0,'Boletins Nuppa Site'!J1237,"NULL")</f>
        <v>19</v>
      </c>
      <c r="H1237" s="19">
        <f>IF('Boletins Nuppa Site'!K1237&lt;&gt;0,'Boletins Nuppa Site'!K1237,"NULL")</f>
        <v>18</v>
      </c>
      <c r="J1237" s="1" t="str">
        <f t="shared" si="19"/>
        <v>INSERT INTO COTACAO (blt_id, pap_id, cot_prc_comum, cot_prc_min, cot_prc_max, cot_prc_med, cot_prc_mediana) VALUES (33, 4, 18, 15, 24, 19, 18);</v>
      </c>
    </row>
    <row r="1238" spans="1:10" x14ac:dyDescent="0.3">
      <c r="A1238" s="1">
        <v>1237</v>
      </c>
      <c r="B1238" s="1">
        <v>33</v>
      </c>
      <c r="C1238" s="1">
        <v>5</v>
      </c>
      <c r="D1238" s="19">
        <f>IF('Boletins Nuppa Site'!G1238&lt;&gt;0,'Boletins Nuppa Site'!G1238,"NULL")</f>
        <v>24</v>
      </c>
      <c r="E1238" s="19">
        <f>IF('Boletins Nuppa Site'!H1238&lt;&gt;0,'Boletins Nuppa Site'!H1238,"NULL")</f>
        <v>15</v>
      </c>
      <c r="F1238" s="19">
        <f>IF('Boletins Nuppa Site'!I1238&lt;&gt;0,'Boletins Nuppa Site'!I1238,"NULL")</f>
        <v>24</v>
      </c>
      <c r="G1238" s="1" t="str">
        <f>IF('Boletins Nuppa Site'!J1238&lt;&gt;0,'Boletins Nuppa Site'!J1238,"NULL")</f>
        <v>20.4</v>
      </c>
      <c r="H1238" s="19">
        <f>IF('Boletins Nuppa Site'!K1238&lt;&gt;0,'Boletins Nuppa Site'!K1238,"NULL")</f>
        <v>24</v>
      </c>
      <c r="J1238" s="1" t="str">
        <f t="shared" si="19"/>
        <v>INSERT INTO COTACAO (blt_id, pap_id, cot_prc_comum, cot_prc_min, cot_prc_max, cot_prc_med, cot_prc_mediana) VALUES (33, 5, 24, 15, 24, 20.4, 24);</v>
      </c>
    </row>
    <row r="1239" spans="1:10" x14ac:dyDescent="0.3">
      <c r="A1239" s="1">
        <v>1238</v>
      </c>
      <c r="B1239" s="1">
        <v>33</v>
      </c>
      <c r="C1239" s="1">
        <v>6</v>
      </c>
      <c r="D1239" s="19">
        <f>IF('Boletins Nuppa Site'!G1239&lt;&gt;0,'Boletins Nuppa Site'!G1239,"NULL")</f>
        <v>60</v>
      </c>
      <c r="E1239" s="19">
        <f>IF('Boletins Nuppa Site'!H1239&lt;&gt;0,'Boletins Nuppa Site'!H1239,"NULL")</f>
        <v>5</v>
      </c>
      <c r="F1239" s="19">
        <f>IF('Boletins Nuppa Site'!I1239&lt;&gt;0,'Boletins Nuppa Site'!I1239,"NULL")</f>
        <v>60</v>
      </c>
      <c r="G1239" s="1" t="str">
        <f>IF('Boletins Nuppa Site'!J1239&lt;&gt;0,'Boletins Nuppa Site'!J1239,"NULL")</f>
        <v>46.6</v>
      </c>
      <c r="H1239" s="19">
        <f>IF('Boletins Nuppa Site'!K1239&lt;&gt;0,'Boletins Nuppa Site'!K1239,"NULL")</f>
        <v>60</v>
      </c>
      <c r="J1239" s="1" t="str">
        <f t="shared" si="19"/>
        <v>INSERT INTO COTACAO (blt_id, pap_id, cot_prc_comum, cot_prc_min, cot_prc_max, cot_prc_med, cot_prc_mediana) VALUES (33, 6, 60, 5, 60, 46.6, 60);</v>
      </c>
    </row>
    <row r="1240" spans="1:10" x14ac:dyDescent="0.3">
      <c r="A1240" s="1">
        <v>1239</v>
      </c>
      <c r="B1240" s="1">
        <v>33</v>
      </c>
      <c r="C1240" s="1">
        <v>7</v>
      </c>
      <c r="D1240" s="1" t="str">
        <f>IF('Boletins Nuppa Site'!G1240&lt;&gt;0,'Boletins Nuppa Site'!G1240,"NULL")</f>
        <v>NULL</v>
      </c>
      <c r="E1240" s="19">
        <f>IF('Boletins Nuppa Site'!H1240&lt;&gt;0,'Boletins Nuppa Site'!H1240,"NULL")</f>
        <v>6</v>
      </c>
      <c r="F1240" s="19">
        <f>IF('Boletins Nuppa Site'!I1240&lt;&gt;0,'Boletins Nuppa Site'!I1240,"NULL")</f>
        <v>60</v>
      </c>
      <c r="G1240" s="19">
        <f>IF('Boletins Nuppa Site'!J1240&lt;&gt;0,'Boletins Nuppa Site'!J1240,"NULL")</f>
        <v>42</v>
      </c>
      <c r="H1240" s="19">
        <f>IF('Boletins Nuppa Site'!K1240&lt;&gt;0,'Boletins Nuppa Site'!K1240,"NULL")</f>
        <v>48</v>
      </c>
      <c r="J1240" s="1" t="str">
        <f t="shared" si="19"/>
        <v>INSERT INTO COTACAO (blt_id, pap_id, cot_prc_comum, cot_prc_min, cot_prc_max, cot_prc_med, cot_prc_mediana) VALUES (33, 7, NULL, 6, 60, 42, 48);</v>
      </c>
    </row>
    <row r="1241" spans="1:10" x14ac:dyDescent="0.3">
      <c r="A1241" s="1">
        <v>1240</v>
      </c>
      <c r="B1241" s="1">
        <v>33</v>
      </c>
      <c r="C1241" s="1">
        <v>8</v>
      </c>
      <c r="D1241" s="19">
        <f>IF('Boletins Nuppa Site'!G1241&lt;&gt;0,'Boletins Nuppa Site'!G1241,"NULL")</f>
        <v>72</v>
      </c>
      <c r="E1241" s="19">
        <f>IF('Boletins Nuppa Site'!H1241&lt;&gt;0,'Boletins Nuppa Site'!H1241,"NULL")</f>
        <v>7</v>
      </c>
      <c r="F1241" s="19">
        <f>IF('Boletins Nuppa Site'!I1241&lt;&gt;0,'Boletins Nuppa Site'!I1241,"NULL")</f>
        <v>96</v>
      </c>
      <c r="G1241" s="1" t="str">
        <f>IF('Boletins Nuppa Site'!J1241&lt;&gt;0,'Boletins Nuppa Site'!J1241,"NULL")</f>
        <v>61.17</v>
      </c>
      <c r="H1241" s="19">
        <f>IF('Boletins Nuppa Site'!K1241&lt;&gt;0,'Boletins Nuppa Site'!K1241,"NULL")</f>
        <v>66</v>
      </c>
      <c r="J1241" s="1" t="str">
        <f t="shared" si="19"/>
        <v>INSERT INTO COTACAO (blt_id, pap_id, cot_prc_comum, cot_prc_min, cot_prc_max, cot_prc_med, cot_prc_mediana) VALUES (33, 8, 72, 7, 96, 61.17, 66);</v>
      </c>
    </row>
    <row r="1242" spans="1:10" x14ac:dyDescent="0.3">
      <c r="A1242" s="1">
        <v>1241</v>
      </c>
      <c r="B1242" s="1">
        <v>33</v>
      </c>
      <c r="C1242" s="1">
        <v>9</v>
      </c>
      <c r="D1242" s="19">
        <f>IF('Boletins Nuppa Site'!G1242&lt;&gt;0,'Boletins Nuppa Site'!G1242,"NULL")</f>
        <v>24</v>
      </c>
      <c r="E1242" s="19">
        <f>IF('Boletins Nuppa Site'!H1242&lt;&gt;0,'Boletins Nuppa Site'!H1242,"NULL")</f>
        <v>2</v>
      </c>
      <c r="F1242" s="19">
        <f>IF('Boletins Nuppa Site'!I1242&lt;&gt;0,'Boletins Nuppa Site'!I1242,"NULL")</f>
        <v>24</v>
      </c>
      <c r="G1242" s="1" t="str">
        <f>IF('Boletins Nuppa Site'!J1242&lt;&gt;0,'Boletins Nuppa Site'!J1242,"NULL")</f>
        <v>18.33</v>
      </c>
      <c r="H1242" s="19">
        <f>IF('Boletins Nuppa Site'!K1242&lt;&gt;0,'Boletins Nuppa Site'!K1242,"NULL")</f>
        <v>21</v>
      </c>
      <c r="J1242" s="1" t="str">
        <f t="shared" si="19"/>
        <v>INSERT INTO COTACAO (blt_id, pap_id, cot_prc_comum, cot_prc_min, cot_prc_max, cot_prc_med, cot_prc_mediana) VALUES (33, 9, 24, 2, 24, 18.33, 21);</v>
      </c>
    </row>
    <row r="1243" spans="1:10" x14ac:dyDescent="0.3">
      <c r="A1243" s="1">
        <v>1242</v>
      </c>
      <c r="B1243" s="1">
        <v>33</v>
      </c>
      <c r="C1243" s="1">
        <v>10</v>
      </c>
      <c r="D1243" s="19">
        <f>IF('Boletins Nuppa Site'!G1243&lt;&gt;0,'Boletins Nuppa Site'!G1243,"NULL")</f>
        <v>60</v>
      </c>
      <c r="E1243" s="19">
        <f>IF('Boletins Nuppa Site'!H1243&lt;&gt;0,'Boletins Nuppa Site'!H1243,"NULL")</f>
        <v>15</v>
      </c>
      <c r="F1243" s="19">
        <f>IF('Boletins Nuppa Site'!I1243&lt;&gt;0,'Boletins Nuppa Site'!I1243,"NULL")</f>
        <v>60</v>
      </c>
      <c r="G1243" s="1" t="str">
        <f>IF('Boletins Nuppa Site'!J1243&lt;&gt;0,'Boletins Nuppa Site'!J1243,"NULL")</f>
        <v>41.4</v>
      </c>
      <c r="H1243" s="19">
        <f>IF('Boletins Nuppa Site'!K1243&lt;&gt;0,'Boletins Nuppa Site'!K1243,"NULL")</f>
        <v>48</v>
      </c>
      <c r="J1243" s="1" t="str">
        <f t="shared" si="19"/>
        <v>INSERT INTO COTACAO (blt_id, pap_id, cot_prc_comum, cot_prc_min, cot_prc_max, cot_prc_med, cot_prc_mediana) VALUES (33, 10, 60, 15, 60, 41.4, 48);</v>
      </c>
    </row>
    <row r="1244" spans="1:10" x14ac:dyDescent="0.3">
      <c r="A1244" s="1">
        <v>1243</v>
      </c>
      <c r="B1244" s="1">
        <v>33</v>
      </c>
      <c r="C1244" s="1">
        <v>11</v>
      </c>
      <c r="D1244" s="19">
        <f>IF('Boletins Nuppa Site'!G1244&lt;&gt;0,'Boletins Nuppa Site'!G1244,"NULL")</f>
        <v>24</v>
      </c>
      <c r="E1244" s="19">
        <f>IF('Boletins Nuppa Site'!H1244&lt;&gt;0,'Boletins Nuppa Site'!H1244,"NULL")</f>
        <v>6</v>
      </c>
      <c r="F1244" s="19">
        <f>IF('Boletins Nuppa Site'!I1244&lt;&gt;0,'Boletins Nuppa Site'!I1244,"NULL")</f>
        <v>60</v>
      </c>
      <c r="G1244" s="19">
        <f>IF('Boletins Nuppa Site'!J1244&lt;&gt;0,'Boletins Nuppa Site'!J1244,"NULL")</f>
        <v>27</v>
      </c>
      <c r="H1244" s="19">
        <f>IF('Boletins Nuppa Site'!K1244&lt;&gt;0,'Boletins Nuppa Site'!K1244,"NULL")</f>
        <v>24</v>
      </c>
      <c r="J1244" s="1" t="str">
        <f t="shared" si="19"/>
        <v>INSERT INTO COTACAO (blt_id, pap_id, cot_prc_comum, cot_prc_min, cot_prc_max, cot_prc_med, cot_prc_mediana) VALUES (33, 11, 24, 6, 60, 27, 24);</v>
      </c>
    </row>
    <row r="1245" spans="1:10" x14ac:dyDescent="0.3">
      <c r="A1245" s="1">
        <v>1244</v>
      </c>
      <c r="B1245" s="1">
        <v>33</v>
      </c>
      <c r="C1245" s="1">
        <v>12</v>
      </c>
      <c r="D1245" s="19">
        <f>IF('Boletins Nuppa Site'!G1245&lt;&gt;0,'Boletins Nuppa Site'!G1245,"NULL")</f>
        <v>48</v>
      </c>
      <c r="E1245" s="19">
        <f>IF('Boletins Nuppa Site'!H1245&lt;&gt;0,'Boletins Nuppa Site'!H1245,"NULL")</f>
        <v>5</v>
      </c>
      <c r="F1245" s="19">
        <f>IF('Boletins Nuppa Site'!I1245&lt;&gt;0,'Boletins Nuppa Site'!I1245,"NULL")</f>
        <v>60</v>
      </c>
      <c r="G1245" s="1" t="str">
        <f>IF('Boletins Nuppa Site'!J1245&lt;&gt;0,'Boletins Nuppa Site'!J1245,"NULL")</f>
        <v>44.2</v>
      </c>
      <c r="H1245" s="19">
        <f>IF('Boletins Nuppa Site'!K1245&lt;&gt;0,'Boletins Nuppa Site'!K1245,"NULL")</f>
        <v>48</v>
      </c>
      <c r="J1245" s="1" t="str">
        <f t="shared" si="19"/>
        <v>INSERT INTO COTACAO (blt_id, pap_id, cot_prc_comum, cot_prc_min, cot_prc_max, cot_prc_med, cot_prc_mediana) VALUES (33, 12, 48, 5, 60, 44.2, 48);</v>
      </c>
    </row>
    <row r="1246" spans="1:10" x14ac:dyDescent="0.3">
      <c r="A1246" s="1">
        <v>1245</v>
      </c>
      <c r="B1246" s="1">
        <v>33</v>
      </c>
      <c r="C1246" s="1">
        <v>13</v>
      </c>
      <c r="D1246" s="19">
        <f>IF('Boletins Nuppa Site'!G1246&lt;&gt;0,'Boletins Nuppa Site'!G1246,"NULL")</f>
        <v>48</v>
      </c>
      <c r="E1246" s="19">
        <f>IF('Boletins Nuppa Site'!H1246&lt;&gt;0,'Boletins Nuppa Site'!H1246,"NULL")</f>
        <v>7</v>
      </c>
      <c r="F1246" s="19">
        <f>IF('Boletins Nuppa Site'!I1246&lt;&gt;0,'Boletins Nuppa Site'!I1246,"NULL")</f>
        <v>60</v>
      </c>
      <c r="G1246" s="1" t="str">
        <f>IF('Boletins Nuppa Site'!J1246&lt;&gt;0,'Boletins Nuppa Site'!J1246,"NULL")</f>
        <v>42.2</v>
      </c>
      <c r="H1246" s="19">
        <f>IF('Boletins Nuppa Site'!K1246&lt;&gt;0,'Boletins Nuppa Site'!K1246,"NULL")</f>
        <v>48</v>
      </c>
      <c r="J1246" s="1" t="str">
        <f t="shared" si="19"/>
        <v>INSERT INTO COTACAO (blt_id, pap_id, cot_prc_comum, cot_prc_min, cot_prc_max, cot_prc_med, cot_prc_mediana) VALUES (33, 13, 48, 7, 60, 42.2, 48);</v>
      </c>
    </row>
    <row r="1247" spans="1:10" x14ac:dyDescent="0.3">
      <c r="A1247" s="1">
        <v>1246</v>
      </c>
      <c r="B1247" s="1">
        <v>33</v>
      </c>
      <c r="C1247" s="1">
        <v>14</v>
      </c>
      <c r="D1247" s="19">
        <f>IF('Boletins Nuppa Site'!G1247&lt;&gt;0,'Boletins Nuppa Site'!G1247,"NULL")</f>
        <v>48</v>
      </c>
      <c r="E1247" s="19">
        <f>IF('Boletins Nuppa Site'!H1247&lt;&gt;0,'Boletins Nuppa Site'!H1247,"NULL")</f>
        <v>20</v>
      </c>
      <c r="F1247" s="19">
        <f>IF('Boletins Nuppa Site'!I1247&lt;&gt;0,'Boletins Nuppa Site'!I1247,"NULL")</f>
        <v>60</v>
      </c>
      <c r="G1247" s="1" t="str">
        <f>IF('Boletins Nuppa Site'!J1247&lt;&gt;0,'Boletins Nuppa Site'!J1247,"NULL")</f>
        <v>42.4</v>
      </c>
      <c r="H1247" s="19">
        <f>IF('Boletins Nuppa Site'!K1247&lt;&gt;0,'Boletins Nuppa Site'!K1247,"NULL")</f>
        <v>48</v>
      </c>
      <c r="J1247" s="1" t="str">
        <f t="shared" si="19"/>
        <v>INSERT INTO COTACAO (blt_id, pap_id, cot_prc_comum, cot_prc_min, cot_prc_max, cot_prc_med, cot_prc_mediana) VALUES (33, 14, 48, 20, 60, 42.4, 48);</v>
      </c>
    </row>
    <row r="1248" spans="1:10" x14ac:dyDescent="0.3">
      <c r="A1248" s="1">
        <v>1247</v>
      </c>
      <c r="B1248" s="1">
        <v>33</v>
      </c>
      <c r="C1248" s="1">
        <v>15</v>
      </c>
      <c r="D1248" s="19">
        <f>IF('Boletins Nuppa Site'!G1248&lt;&gt;0,'Boletins Nuppa Site'!G1248,"NULL")</f>
        <v>36</v>
      </c>
      <c r="E1248" s="19">
        <f>IF('Boletins Nuppa Site'!H1248&lt;&gt;0,'Boletins Nuppa Site'!H1248,"NULL")</f>
        <v>4</v>
      </c>
      <c r="F1248" s="19">
        <f>IF('Boletins Nuppa Site'!I1248&lt;&gt;0,'Boletins Nuppa Site'!I1248,"NULL")</f>
        <v>50</v>
      </c>
      <c r="G1248" s="19">
        <f>IF('Boletins Nuppa Site'!J1248&lt;&gt;0,'Boletins Nuppa Site'!J1248,"NULL")</f>
        <v>33</v>
      </c>
      <c r="H1248" s="19">
        <f>IF('Boletins Nuppa Site'!K1248&lt;&gt;0,'Boletins Nuppa Site'!K1248,"NULL")</f>
        <v>36</v>
      </c>
      <c r="J1248" s="1" t="str">
        <f t="shared" si="19"/>
        <v>INSERT INTO COTACAO (blt_id, pap_id, cot_prc_comum, cot_prc_min, cot_prc_max, cot_prc_med, cot_prc_mediana) VALUES (33, 15, 36, 4, 50, 33, 36);</v>
      </c>
    </row>
    <row r="1249" spans="1:10" x14ac:dyDescent="0.3">
      <c r="A1249" s="1">
        <v>1248</v>
      </c>
      <c r="B1249" s="1">
        <v>33</v>
      </c>
      <c r="C1249" s="1">
        <v>16</v>
      </c>
      <c r="D1249" s="19">
        <f>IF('Boletins Nuppa Site'!G1249&lt;&gt;0,'Boletins Nuppa Site'!G1249,"NULL")</f>
        <v>48</v>
      </c>
      <c r="E1249" s="1" t="str">
        <f>IF('Boletins Nuppa Site'!H1249&lt;&gt;0,'Boletins Nuppa Site'!H1249,"NULL")</f>
        <v>4.5</v>
      </c>
      <c r="F1249" s="19">
        <f>IF('Boletins Nuppa Site'!I1249&lt;&gt;0,'Boletins Nuppa Site'!I1249,"NULL")</f>
        <v>60</v>
      </c>
      <c r="G1249" s="1" t="str">
        <f>IF('Boletins Nuppa Site'!J1249&lt;&gt;0,'Boletins Nuppa Site'!J1249,"NULL")</f>
        <v>42.75</v>
      </c>
      <c r="H1249" s="19">
        <f>IF('Boletins Nuppa Site'!K1249&lt;&gt;0,'Boletins Nuppa Site'!K1249,"NULL")</f>
        <v>48</v>
      </c>
      <c r="J1249" s="1" t="str">
        <f t="shared" si="19"/>
        <v>INSERT INTO COTACAO (blt_id, pap_id, cot_prc_comum, cot_prc_min, cot_prc_max, cot_prc_med, cot_prc_mediana) VALUES (33, 16, 48, 4.5, 60, 42.75, 48);</v>
      </c>
    </row>
    <row r="1250" spans="1:10" x14ac:dyDescent="0.3">
      <c r="A1250" s="1">
        <v>1249</v>
      </c>
      <c r="B1250" s="1">
        <v>33</v>
      </c>
      <c r="C1250" s="1">
        <v>17</v>
      </c>
      <c r="D1250" s="19">
        <f>IF('Boletins Nuppa Site'!G1250&lt;&gt;0,'Boletins Nuppa Site'!G1250,"NULL")</f>
        <v>5</v>
      </c>
      <c r="E1250" s="19">
        <f>IF('Boletins Nuppa Site'!H1250&lt;&gt;0,'Boletins Nuppa Site'!H1250,"NULL")</f>
        <v>4</v>
      </c>
      <c r="F1250" s="19">
        <f>IF('Boletins Nuppa Site'!I1250&lt;&gt;0,'Boletins Nuppa Site'!I1250,"NULL")</f>
        <v>5</v>
      </c>
      <c r="G1250" s="1" t="str">
        <f>IF('Boletins Nuppa Site'!J1250&lt;&gt;0,'Boletins Nuppa Site'!J1250,"NULL")</f>
        <v>4.8</v>
      </c>
      <c r="H1250" s="19">
        <f>IF('Boletins Nuppa Site'!K1250&lt;&gt;0,'Boletins Nuppa Site'!K1250,"NULL")</f>
        <v>5</v>
      </c>
      <c r="J1250" s="1" t="str">
        <f t="shared" si="19"/>
        <v>INSERT INTO COTACAO (blt_id, pap_id, cot_prc_comum, cot_prc_min, cot_prc_max, cot_prc_med, cot_prc_mediana) VALUES (33, 17, 5, 4, 5, 4.8, 5);</v>
      </c>
    </row>
    <row r="1251" spans="1:10" x14ac:dyDescent="0.3">
      <c r="A1251" s="1">
        <v>1250</v>
      </c>
      <c r="B1251" s="1">
        <v>33</v>
      </c>
      <c r="C1251" s="1">
        <v>18</v>
      </c>
      <c r="D1251" s="19">
        <f>IF('Boletins Nuppa Site'!G1251&lt;&gt;0,'Boletins Nuppa Site'!G1251,"NULL")</f>
        <v>10</v>
      </c>
      <c r="E1251" s="19">
        <f>IF('Boletins Nuppa Site'!H1251&lt;&gt;0,'Boletins Nuppa Site'!H1251,"NULL")</f>
        <v>8</v>
      </c>
      <c r="F1251" s="19">
        <f>IF('Boletins Nuppa Site'!I1251&lt;&gt;0,'Boletins Nuppa Site'!I1251,"NULL")</f>
        <v>12</v>
      </c>
      <c r="G1251" s="19">
        <f>IF('Boletins Nuppa Site'!J1251&lt;&gt;0,'Boletins Nuppa Site'!J1251,"NULL")</f>
        <v>10</v>
      </c>
      <c r="H1251" s="19">
        <f>IF('Boletins Nuppa Site'!K1251&lt;&gt;0,'Boletins Nuppa Site'!K1251,"NULL")</f>
        <v>10</v>
      </c>
      <c r="J1251" s="1" t="str">
        <f t="shared" si="19"/>
        <v>INSERT INTO COTACAO (blt_id, pap_id, cot_prc_comum, cot_prc_min, cot_prc_max, cot_prc_med, cot_prc_mediana) VALUES (33, 18, 10, 8, 12, 10, 10);</v>
      </c>
    </row>
    <row r="1252" spans="1:10" x14ac:dyDescent="0.3">
      <c r="A1252" s="1">
        <v>1251</v>
      </c>
      <c r="B1252" s="1">
        <v>33</v>
      </c>
      <c r="C1252" s="1">
        <v>19</v>
      </c>
      <c r="D1252" s="19">
        <f>IF('Boletins Nuppa Site'!G1252&lt;&gt;0,'Boletins Nuppa Site'!G1252,"NULL")</f>
        <v>30</v>
      </c>
      <c r="E1252" s="19">
        <f>IF('Boletins Nuppa Site'!H1252&lt;&gt;0,'Boletins Nuppa Site'!H1252,"NULL")</f>
        <v>10</v>
      </c>
      <c r="F1252" s="19">
        <f>IF('Boletins Nuppa Site'!I1252&lt;&gt;0,'Boletins Nuppa Site'!I1252,"NULL")</f>
        <v>30</v>
      </c>
      <c r="G1252" s="19">
        <f>IF('Boletins Nuppa Site'!J1252&lt;&gt;0,'Boletins Nuppa Site'!J1252,"NULL")</f>
        <v>21</v>
      </c>
      <c r="H1252" s="19">
        <f>IF('Boletins Nuppa Site'!K1252&lt;&gt;0,'Boletins Nuppa Site'!K1252,"NULL")</f>
        <v>20</v>
      </c>
      <c r="J1252" s="1" t="str">
        <f t="shared" si="19"/>
        <v>INSERT INTO COTACAO (blt_id, pap_id, cot_prc_comum, cot_prc_min, cot_prc_max, cot_prc_med, cot_prc_mediana) VALUES (33, 19, 30, 10, 30, 21, 20);</v>
      </c>
    </row>
    <row r="1253" spans="1:10" x14ac:dyDescent="0.3">
      <c r="A1253" s="1">
        <v>1252</v>
      </c>
      <c r="B1253" s="1">
        <v>33</v>
      </c>
      <c r="C1253" s="1">
        <v>20</v>
      </c>
      <c r="D1253" s="19">
        <f>IF('Boletins Nuppa Site'!G1253&lt;&gt;0,'Boletins Nuppa Site'!G1253,"NULL")</f>
        <v>70</v>
      </c>
      <c r="E1253" s="19">
        <f>IF('Boletins Nuppa Site'!H1253&lt;&gt;0,'Boletins Nuppa Site'!H1253,"NULL")</f>
        <v>65</v>
      </c>
      <c r="F1253" s="19">
        <f>IF('Boletins Nuppa Site'!I1253&lt;&gt;0,'Boletins Nuppa Site'!I1253,"NULL")</f>
        <v>70</v>
      </c>
      <c r="G1253" s="1" t="str">
        <f>IF('Boletins Nuppa Site'!J1253&lt;&gt;0,'Boletins Nuppa Site'!J1253,"NULL")</f>
        <v>68.33</v>
      </c>
      <c r="H1253" s="19">
        <f>IF('Boletins Nuppa Site'!K1253&lt;&gt;0,'Boletins Nuppa Site'!K1253,"NULL")</f>
        <v>70</v>
      </c>
      <c r="J1253" s="1" t="str">
        <f t="shared" si="19"/>
        <v>INSERT INTO COTACAO (blt_id, pap_id, cot_prc_comum, cot_prc_min, cot_prc_max, cot_prc_med, cot_prc_mediana) VALUES (33, 20, 70, 65, 70, 68.33, 70);</v>
      </c>
    </row>
    <row r="1254" spans="1:10" x14ac:dyDescent="0.3">
      <c r="A1254" s="1">
        <v>1253</v>
      </c>
      <c r="B1254" s="1">
        <v>33</v>
      </c>
      <c r="C1254" s="1">
        <v>21</v>
      </c>
      <c r="D1254" s="19">
        <f>IF('Boletins Nuppa Site'!G1254&lt;&gt;0,'Boletins Nuppa Site'!G1254,"NULL")</f>
        <v>50</v>
      </c>
      <c r="E1254" s="19">
        <f>IF('Boletins Nuppa Site'!H1254&lt;&gt;0,'Boletins Nuppa Site'!H1254,"NULL")</f>
        <v>25</v>
      </c>
      <c r="F1254" s="19">
        <f>IF('Boletins Nuppa Site'!I1254&lt;&gt;0,'Boletins Nuppa Site'!I1254,"NULL")</f>
        <v>50</v>
      </c>
      <c r="G1254" s="19">
        <f>IF('Boletins Nuppa Site'!J1254&lt;&gt;0,'Boletins Nuppa Site'!J1254,"NULL")</f>
        <v>40</v>
      </c>
      <c r="H1254" s="19">
        <f>IF('Boletins Nuppa Site'!K1254&lt;&gt;0,'Boletins Nuppa Site'!K1254,"NULL")</f>
        <v>40</v>
      </c>
      <c r="J1254" s="1" t="str">
        <f t="shared" si="19"/>
        <v>INSERT INTO COTACAO (blt_id, pap_id, cot_prc_comum, cot_prc_min, cot_prc_max, cot_prc_med, cot_prc_mediana) VALUES (33, 21, 50, 25, 50, 40, 40);</v>
      </c>
    </row>
    <row r="1255" spans="1:10" x14ac:dyDescent="0.3">
      <c r="A1255" s="1">
        <v>1254</v>
      </c>
      <c r="B1255" s="1">
        <v>33</v>
      </c>
      <c r="C1255" s="1">
        <v>22</v>
      </c>
      <c r="D1255" s="19">
        <f>IF('Boletins Nuppa Site'!G1255&lt;&gt;0,'Boletins Nuppa Site'!G1255,"NULL")</f>
        <v>80</v>
      </c>
      <c r="E1255" s="19">
        <f>IF('Boletins Nuppa Site'!H1255&lt;&gt;0,'Boletins Nuppa Site'!H1255,"NULL")</f>
        <v>45</v>
      </c>
      <c r="F1255" s="19">
        <f>IF('Boletins Nuppa Site'!I1255&lt;&gt;0,'Boletins Nuppa Site'!I1255,"NULL")</f>
        <v>80</v>
      </c>
      <c r="G1255" s="19">
        <f>IF('Boletins Nuppa Site'!J1255&lt;&gt;0,'Boletins Nuppa Site'!J1255,"NULL")</f>
        <v>68</v>
      </c>
      <c r="H1255" s="19">
        <f>IF('Boletins Nuppa Site'!K1255&lt;&gt;0,'Boletins Nuppa Site'!K1255,"NULL")</f>
        <v>70</v>
      </c>
      <c r="J1255" s="1" t="str">
        <f t="shared" si="19"/>
        <v>INSERT INTO COTACAO (blt_id, pap_id, cot_prc_comum, cot_prc_min, cot_prc_max, cot_prc_med, cot_prc_mediana) VALUES (33, 22, 80, 45, 80, 68, 70);</v>
      </c>
    </row>
    <row r="1256" spans="1:10" x14ac:dyDescent="0.3">
      <c r="A1256" s="1">
        <v>1255</v>
      </c>
      <c r="B1256" s="1">
        <v>33</v>
      </c>
      <c r="C1256" s="1">
        <v>23</v>
      </c>
      <c r="D1256" s="19">
        <f>IF('Boletins Nuppa Site'!G1256&lt;&gt;0,'Boletins Nuppa Site'!G1256,"NULL")</f>
        <v>50</v>
      </c>
      <c r="E1256" s="19">
        <f>IF('Boletins Nuppa Site'!H1256&lt;&gt;0,'Boletins Nuppa Site'!H1256,"NULL")</f>
        <v>45</v>
      </c>
      <c r="F1256" s="19">
        <f>IF('Boletins Nuppa Site'!I1256&lt;&gt;0,'Boletins Nuppa Site'!I1256,"NULL")</f>
        <v>60</v>
      </c>
      <c r="G1256" s="19">
        <f>IF('Boletins Nuppa Site'!J1256&lt;&gt;0,'Boletins Nuppa Site'!J1256,"NULL")</f>
        <v>51</v>
      </c>
      <c r="H1256" s="19">
        <f>IF('Boletins Nuppa Site'!K1256&lt;&gt;0,'Boletins Nuppa Site'!K1256,"NULL")</f>
        <v>50</v>
      </c>
      <c r="J1256" s="1" t="str">
        <f t="shared" si="19"/>
        <v>INSERT INTO COTACAO (blt_id, pap_id, cot_prc_comum, cot_prc_min, cot_prc_max, cot_prc_med, cot_prc_mediana) VALUES (33, 23, 50, 45, 60, 51, 50);</v>
      </c>
    </row>
    <row r="1257" spans="1:10" x14ac:dyDescent="0.3">
      <c r="A1257" s="1">
        <v>1256</v>
      </c>
      <c r="B1257" s="1">
        <v>33</v>
      </c>
      <c r="C1257" s="1">
        <v>24</v>
      </c>
      <c r="D1257" s="19">
        <f>IF('Boletins Nuppa Site'!G1257&lt;&gt;0,'Boletins Nuppa Site'!G1257,"NULL")</f>
        <v>90</v>
      </c>
      <c r="E1257" s="19">
        <f>IF('Boletins Nuppa Site'!H1257&lt;&gt;0,'Boletins Nuppa Site'!H1257,"NULL")</f>
        <v>90</v>
      </c>
      <c r="F1257" s="19">
        <f>IF('Boletins Nuppa Site'!I1257&lt;&gt;0,'Boletins Nuppa Site'!I1257,"NULL")</f>
        <v>100</v>
      </c>
      <c r="G1257" s="1" t="str">
        <f>IF('Boletins Nuppa Site'!J1257&lt;&gt;0,'Boletins Nuppa Site'!J1257,"NULL")</f>
        <v>93.33</v>
      </c>
      <c r="H1257" s="19">
        <f>IF('Boletins Nuppa Site'!K1257&lt;&gt;0,'Boletins Nuppa Site'!K1257,"NULL")</f>
        <v>90</v>
      </c>
      <c r="J1257" s="1" t="str">
        <f t="shared" si="19"/>
        <v>INSERT INTO COTACAO (blt_id, pap_id, cot_prc_comum, cot_prc_min, cot_prc_max, cot_prc_med, cot_prc_mediana) VALUES (33, 24, 90, 90, 100, 93.33, 90);</v>
      </c>
    </row>
    <row r="1258" spans="1:10" x14ac:dyDescent="0.3">
      <c r="A1258" s="1">
        <v>1257</v>
      </c>
      <c r="B1258" s="1">
        <v>33</v>
      </c>
      <c r="C1258" s="1">
        <v>25</v>
      </c>
      <c r="D1258" s="19">
        <f>IF('Boletins Nuppa Site'!G1258&lt;&gt;0,'Boletins Nuppa Site'!G1258,"NULL")</f>
        <v>60</v>
      </c>
      <c r="E1258" s="19">
        <f>IF('Boletins Nuppa Site'!H1258&lt;&gt;0,'Boletins Nuppa Site'!H1258,"NULL")</f>
        <v>60</v>
      </c>
      <c r="F1258" s="19">
        <f>IF('Boletins Nuppa Site'!I1258&lt;&gt;0,'Boletins Nuppa Site'!I1258,"NULL")</f>
        <v>80</v>
      </c>
      <c r="G1258" s="19">
        <f>IF('Boletins Nuppa Site'!J1258&lt;&gt;0,'Boletins Nuppa Site'!J1258,"NULL")</f>
        <v>68</v>
      </c>
      <c r="H1258" s="19">
        <f>IF('Boletins Nuppa Site'!K1258&lt;&gt;0,'Boletins Nuppa Site'!K1258,"NULL")</f>
        <v>70</v>
      </c>
      <c r="J1258" s="1" t="str">
        <f t="shared" si="19"/>
        <v>INSERT INTO COTACAO (blt_id, pap_id, cot_prc_comum, cot_prc_min, cot_prc_max, cot_prc_med, cot_prc_mediana) VALUES (33, 25, 60, 60, 80, 68, 70);</v>
      </c>
    </row>
    <row r="1259" spans="1:10" x14ac:dyDescent="0.3">
      <c r="A1259" s="1">
        <v>1258</v>
      </c>
      <c r="B1259" s="1">
        <v>33</v>
      </c>
      <c r="C1259" s="1">
        <v>26</v>
      </c>
      <c r="D1259" s="19">
        <f>IF('Boletins Nuppa Site'!G1259&lt;&gt;0,'Boletins Nuppa Site'!G1259,"NULL")</f>
        <v>55</v>
      </c>
      <c r="E1259" s="19">
        <f>IF('Boletins Nuppa Site'!H1259&lt;&gt;0,'Boletins Nuppa Site'!H1259,"NULL")</f>
        <v>40</v>
      </c>
      <c r="F1259" s="19">
        <f>IF('Boletins Nuppa Site'!I1259&lt;&gt;0,'Boletins Nuppa Site'!I1259,"NULL")</f>
        <v>55</v>
      </c>
      <c r="G1259" s="19">
        <f>IF('Boletins Nuppa Site'!J1259&lt;&gt;0,'Boletins Nuppa Site'!J1259,"NULL")</f>
        <v>48</v>
      </c>
      <c r="H1259" s="19">
        <f>IF('Boletins Nuppa Site'!K1259&lt;&gt;0,'Boletins Nuppa Site'!K1259,"NULL")</f>
        <v>50</v>
      </c>
      <c r="J1259" s="1" t="str">
        <f t="shared" si="19"/>
        <v>INSERT INTO COTACAO (blt_id, pap_id, cot_prc_comum, cot_prc_min, cot_prc_max, cot_prc_med, cot_prc_mediana) VALUES (33, 26, 55, 40, 55, 48, 50);</v>
      </c>
    </row>
    <row r="1260" spans="1:10" x14ac:dyDescent="0.3">
      <c r="A1260" s="1">
        <v>1259</v>
      </c>
      <c r="B1260" s="1">
        <v>33</v>
      </c>
      <c r="C1260" s="1">
        <v>27</v>
      </c>
      <c r="D1260" s="19">
        <f>IF('Boletins Nuppa Site'!G1260&lt;&gt;0,'Boletins Nuppa Site'!G1260,"NULL")</f>
        <v>50</v>
      </c>
      <c r="E1260" s="19">
        <f>IF('Boletins Nuppa Site'!H1260&lt;&gt;0,'Boletins Nuppa Site'!H1260,"NULL")</f>
        <v>50</v>
      </c>
      <c r="F1260" s="19">
        <f>IF('Boletins Nuppa Site'!I1260&lt;&gt;0,'Boletins Nuppa Site'!I1260,"NULL")</f>
        <v>80</v>
      </c>
      <c r="G1260" s="19">
        <f>IF('Boletins Nuppa Site'!J1260&lt;&gt;0,'Boletins Nuppa Site'!J1260,"NULL")</f>
        <v>57</v>
      </c>
      <c r="H1260" s="19">
        <f>IF('Boletins Nuppa Site'!K1260&lt;&gt;0,'Boletins Nuppa Site'!K1260,"NULL")</f>
        <v>50</v>
      </c>
      <c r="J1260" s="1" t="str">
        <f t="shared" si="19"/>
        <v>INSERT INTO COTACAO (blt_id, pap_id, cot_prc_comum, cot_prc_min, cot_prc_max, cot_prc_med, cot_prc_mediana) VALUES (33, 27, 50, 50, 80, 57, 50);</v>
      </c>
    </row>
    <row r="1261" spans="1:10" x14ac:dyDescent="0.3">
      <c r="A1261" s="1">
        <v>1260</v>
      </c>
      <c r="B1261" s="1">
        <v>33</v>
      </c>
      <c r="C1261" s="1">
        <v>28</v>
      </c>
      <c r="D1261" s="19">
        <f>IF('Boletins Nuppa Site'!G1261&lt;&gt;0,'Boletins Nuppa Site'!G1261,"NULL")</f>
        <v>90</v>
      </c>
      <c r="E1261" s="19">
        <f>IF('Boletins Nuppa Site'!H1261&lt;&gt;0,'Boletins Nuppa Site'!H1261,"NULL")</f>
        <v>70</v>
      </c>
      <c r="F1261" s="19">
        <f>IF('Boletins Nuppa Site'!I1261&lt;&gt;0,'Boletins Nuppa Site'!I1261,"NULL")</f>
        <v>100</v>
      </c>
      <c r="G1261" s="1" t="str">
        <f>IF('Boletins Nuppa Site'!J1261&lt;&gt;0,'Boletins Nuppa Site'!J1261,"NULL")</f>
        <v>87.5</v>
      </c>
      <c r="H1261" s="19">
        <f>IF('Boletins Nuppa Site'!K1261&lt;&gt;0,'Boletins Nuppa Site'!K1261,"NULL")</f>
        <v>90</v>
      </c>
      <c r="J1261" s="1" t="str">
        <f t="shared" si="19"/>
        <v>INSERT INTO COTACAO (blt_id, pap_id, cot_prc_comum, cot_prc_min, cot_prc_max, cot_prc_med, cot_prc_mediana) VALUES (33, 28, 90, 70, 100, 87.5, 90);</v>
      </c>
    </row>
    <row r="1262" spans="1:10" x14ac:dyDescent="0.3">
      <c r="A1262" s="1">
        <v>1261</v>
      </c>
      <c r="B1262" s="1">
        <v>33</v>
      </c>
      <c r="C1262" s="1">
        <v>29</v>
      </c>
      <c r="D1262" s="1" t="str">
        <f>IF('Boletins Nuppa Site'!G1262&lt;&gt;0,'Boletins Nuppa Site'!G1262,"NULL")</f>
        <v>NULL</v>
      </c>
      <c r="E1262" s="19">
        <f>IF('Boletins Nuppa Site'!H1262&lt;&gt;0,'Boletins Nuppa Site'!H1262,"NULL")</f>
        <v>35</v>
      </c>
      <c r="F1262" s="19">
        <f>IF('Boletins Nuppa Site'!I1262&lt;&gt;0,'Boletins Nuppa Site'!I1262,"NULL")</f>
        <v>50</v>
      </c>
      <c r="G1262" s="1" t="str">
        <f>IF('Boletins Nuppa Site'!J1262&lt;&gt;0,'Boletins Nuppa Site'!J1262,"NULL")</f>
        <v>41.67</v>
      </c>
      <c r="H1262" s="19">
        <f>IF('Boletins Nuppa Site'!K1262&lt;&gt;0,'Boletins Nuppa Site'!K1262,"NULL")</f>
        <v>40</v>
      </c>
      <c r="J1262" s="1" t="str">
        <f t="shared" si="19"/>
        <v>INSERT INTO COTACAO (blt_id, pap_id, cot_prc_comum, cot_prc_min, cot_prc_max, cot_prc_med, cot_prc_mediana) VALUES (33, 29, NULL, 35, 50, 41.67, 40);</v>
      </c>
    </row>
    <row r="1263" spans="1:10" x14ac:dyDescent="0.3">
      <c r="A1263" s="1">
        <v>1262</v>
      </c>
      <c r="B1263" s="1">
        <v>33</v>
      </c>
      <c r="C1263" s="1">
        <v>30</v>
      </c>
      <c r="D1263" s="1" t="str">
        <f>IF('Boletins Nuppa Site'!G1263&lt;&gt;0,'Boletins Nuppa Site'!G1263,"NULL")</f>
        <v>NULL</v>
      </c>
      <c r="E1263" s="19">
        <f>IF('Boletins Nuppa Site'!H1263&lt;&gt;0,'Boletins Nuppa Site'!H1263,"NULL")</f>
        <v>85</v>
      </c>
      <c r="F1263" s="19">
        <f>IF('Boletins Nuppa Site'!I1263&lt;&gt;0,'Boletins Nuppa Site'!I1263,"NULL")</f>
        <v>100</v>
      </c>
      <c r="G1263" s="1" t="str">
        <f>IF('Boletins Nuppa Site'!J1263&lt;&gt;0,'Boletins Nuppa Site'!J1263,"NULL")</f>
        <v>91.67</v>
      </c>
      <c r="H1263" s="19">
        <f>IF('Boletins Nuppa Site'!K1263&lt;&gt;0,'Boletins Nuppa Site'!K1263,"NULL")</f>
        <v>90</v>
      </c>
      <c r="J1263" s="1" t="str">
        <f t="shared" si="19"/>
        <v>INSERT INTO COTACAO (blt_id, pap_id, cot_prc_comum, cot_prc_min, cot_prc_max, cot_prc_med, cot_prc_mediana) VALUES (33, 30, NULL, 85, 100, 91.67, 90);</v>
      </c>
    </row>
    <row r="1264" spans="1:10" x14ac:dyDescent="0.3">
      <c r="A1264" s="1">
        <v>1263</v>
      </c>
      <c r="B1264" s="1">
        <v>33</v>
      </c>
      <c r="C1264" s="1">
        <v>31</v>
      </c>
      <c r="D1264" s="19">
        <f>IF('Boletins Nuppa Site'!G1264&lt;&gt;0,'Boletins Nuppa Site'!G1264,"NULL")</f>
        <v>100</v>
      </c>
      <c r="E1264" s="19">
        <f>IF('Boletins Nuppa Site'!H1264&lt;&gt;0,'Boletins Nuppa Site'!H1264,"NULL")</f>
        <v>100</v>
      </c>
      <c r="F1264" s="19">
        <f>IF('Boletins Nuppa Site'!I1264&lt;&gt;0,'Boletins Nuppa Site'!I1264,"NULL")</f>
        <v>135</v>
      </c>
      <c r="G1264" s="19">
        <f>IF('Boletins Nuppa Site'!J1264&lt;&gt;0,'Boletins Nuppa Site'!J1264,"NULL")</f>
        <v>117</v>
      </c>
      <c r="H1264" s="19">
        <f>IF('Boletins Nuppa Site'!K1264&lt;&gt;0,'Boletins Nuppa Site'!K1264,"NULL")</f>
        <v>120</v>
      </c>
      <c r="J1264" s="1" t="str">
        <f t="shared" si="19"/>
        <v>INSERT INTO COTACAO (blt_id, pap_id, cot_prc_comum, cot_prc_min, cot_prc_max, cot_prc_med, cot_prc_mediana) VALUES (33, 31, 100, 100, 135, 117, 120);</v>
      </c>
    </row>
    <row r="1265" spans="1:10" x14ac:dyDescent="0.3">
      <c r="A1265" s="1">
        <v>1264</v>
      </c>
      <c r="B1265" s="1">
        <v>33</v>
      </c>
      <c r="C1265" s="1">
        <v>32</v>
      </c>
      <c r="D1265" s="19">
        <f>IF('Boletins Nuppa Site'!G1265&lt;&gt;0,'Boletins Nuppa Site'!G1265,"NULL")</f>
        <v>60</v>
      </c>
      <c r="E1265" s="19">
        <f>IF('Boletins Nuppa Site'!H1265&lt;&gt;0,'Boletins Nuppa Site'!H1265,"NULL")</f>
        <v>40</v>
      </c>
      <c r="F1265" s="19">
        <f>IF('Boletins Nuppa Site'!I1265&lt;&gt;0,'Boletins Nuppa Site'!I1265,"NULL")</f>
        <v>60</v>
      </c>
      <c r="G1265" s="19">
        <f>IF('Boletins Nuppa Site'!J1265&lt;&gt;0,'Boletins Nuppa Site'!J1265,"NULL")</f>
        <v>53</v>
      </c>
      <c r="H1265" s="19">
        <f>IF('Boletins Nuppa Site'!K1265&lt;&gt;0,'Boletins Nuppa Site'!K1265,"NULL")</f>
        <v>55</v>
      </c>
      <c r="J1265" s="1" t="str">
        <f t="shared" si="19"/>
        <v>INSERT INTO COTACAO (blt_id, pap_id, cot_prc_comum, cot_prc_min, cot_prc_max, cot_prc_med, cot_prc_mediana) VALUES (33, 32, 60, 40, 60, 53, 55);</v>
      </c>
    </row>
    <row r="1266" spans="1:10" x14ac:dyDescent="0.3">
      <c r="A1266" s="1">
        <v>1265</v>
      </c>
      <c r="B1266" s="1">
        <v>33</v>
      </c>
      <c r="C1266" s="1">
        <v>33</v>
      </c>
      <c r="D1266" s="19">
        <f>IF('Boletins Nuppa Site'!G1266&lt;&gt;0,'Boletins Nuppa Site'!G1266,"NULL")</f>
        <v>150</v>
      </c>
      <c r="E1266" s="19">
        <f>IF('Boletins Nuppa Site'!H1266&lt;&gt;0,'Boletins Nuppa Site'!H1266,"NULL")</f>
        <v>140</v>
      </c>
      <c r="F1266" s="19">
        <f>IF('Boletins Nuppa Site'!I1266&lt;&gt;0,'Boletins Nuppa Site'!I1266,"NULL")</f>
        <v>150</v>
      </c>
      <c r="G1266" s="19">
        <f>IF('Boletins Nuppa Site'!J1266&lt;&gt;0,'Boletins Nuppa Site'!J1266,"NULL")</f>
        <v>146</v>
      </c>
      <c r="H1266" s="19">
        <f>IF('Boletins Nuppa Site'!K1266&lt;&gt;0,'Boletins Nuppa Site'!K1266,"NULL")</f>
        <v>150</v>
      </c>
      <c r="J1266" s="1" t="str">
        <f t="shared" si="19"/>
        <v>INSERT INTO COTACAO (blt_id, pap_id, cot_prc_comum, cot_prc_min, cot_prc_max, cot_prc_med, cot_prc_mediana) VALUES (33, 33, 150, 140, 150, 146, 150);</v>
      </c>
    </row>
    <row r="1267" spans="1:10" x14ac:dyDescent="0.3">
      <c r="A1267" s="1">
        <v>1266</v>
      </c>
      <c r="B1267" s="1">
        <v>33</v>
      </c>
      <c r="C1267" s="1">
        <v>34</v>
      </c>
      <c r="D1267" s="19">
        <f>IF('Boletins Nuppa Site'!G1267&lt;&gt;0,'Boletins Nuppa Site'!G1267,"NULL")</f>
        <v>70</v>
      </c>
      <c r="E1267" s="19">
        <f>IF('Boletins Nuppa Site'!H1267&lt;&gt;0,'Boletins Nuppa Site'!H1267,"NULL")</f>
        <v>60</v>
      </c>
      <c r="F1267" s="19">
        <f>IF('Boletins Nuppa Site'!I1267&lt;&gt;0,'Boletins Nuppa Site'!I1267,"NULL")</f>
        <v>80</v>
      </c>
      <c r="G1267" s="19">
        <f>IF('Boletins Nuppa Site'!J1267&lt;&gt;0,'Boletins Nuppa Site'!J1267,"NULL")</f>
        <v>69</v>
      </c>
      <c r="H1267" s="19">
        <f>IF('Boletins Nuppa Site'!K1267&lt;&gt;0,'Boletins Nuppa Site'!K1267,"NULL")</f>
        <v>70</v>
      </c>
      <c r="J1267" s="1" t="str">
        <f t="shared" si="19"/>
        <v>INSERT INTO COTACAO (blt_id, pap_id, cot_prc_comum, cot_prc_min, cot_prc_max, cot_prc_med, cot_prc_mediana) VALUES (33, 34, 70, 60, 80, 69, 70);</v>
      </c>
    </row>
    <row r="1268" spans="1:10" x14ac:dyDescent="0.3">
      <c r="A1268" s="1">
        <v>1267</v>
      </c>
      <c r="B1268" s="1">
        <v>33</v>
      </c>
      <c r="C1268" s="1">
        <v>35</v>
      </c>
      <c r="D1268" s="19">
        <f>IF('Boletins Nuppa Site'!G1268&lt;&gt;0,'Boletins Nuppa Site'!G1268,"NULL")</f>
        <v>150</v>
      </c>
      <c r="E1268" s="19">
        <f>IF('Boletins Nuppa Site'!H1268&lt;&gt;0,'Boletins Nuppa Site'!H1268,"NULL")</f>
        <v>120</v>
      </c>
      <c r="F1268" s="19">
        <f>IF('Boletins Nuppa Site'!I1268&lt;&gt;0,'Boletins Nuppa Site'!I1268,"NULL")</f>
        <v>150</v>
      </c>
      <c r="G1268" s="19">
        <f>IF('Boletins Nuppa Site'!J1268&lt;&gt;0,'Boletins Nuppa Site'!J1268,"NULL")</f>
        <v>140</v>
      </c>
      <c r="H1268" s="19">
        <f>IF('Boletins Nuppa Site'!K1268&lt;&gt;0,'Boletins Nuppa Site'!K1268,"NULL")</f>
        <v>150</v>
      </c>
      <c r="J1268" s="1" t="str">
        <f t="shared" si="19"/>
        <v>INSERT INTO COTACAO (blt_id, pap_id, cot_prc_comum, cot_prc_min, cot_prc_max, cot_prc_med, cot_prc_mediana) VALUES (33, 35, 150, 120, 150, 140, 150);</v>
      </c>
    </row>
    <row r="1269" spans="1:10" x14ac:dyDescent="0.3">
      <c r="A1269" s="1">
        <v>1268</v>
      </c>
      <c r="B1269" s="1">
        <v>33</v>
      </c>
      <c r="C1269" s="1">
        <v>36</v>
      </c>
      <c r="D1269" s="1" t="str">
        <f>IF('Boletins Nuppa Site'!G1269&lt;&gt;0,'Boletins Nuppa Site'!G1269,"NULL")</f>
        <v>NULL</v>
      </c>
      <c r="E1269" s="1" t="str">
        <f>IF('Boletins Nuppa Site'!H1269&lt;&gt;0,'Boletins Nuppa Site'!H1269,"NULL")</f>
        <v>NULL</v>
      </c>
      <c r="F1269" s="1" t="str">
        <f>IF('Boletins Nuppa Site'!I1269&lt;&gt;0,'Boletins Nuppa Site'!I1269,"NULL")</f>
        <v>NULL</v>
      </c>
      <c r="G1269" s="1" t="str">
        <f>IF('Boletins Nuppa Site'!J1269&lt;&gt;0,'Boletins Nuppa Site'!J1269,"NULL")</f>
        <v>NULL</v>
      </c>
      <c r="H1269" s="1" t="str">
        <f>IF('Boletins Nuppa Site'!K1269&lt;&gt;0,'Boletins Nuppa Site'!K1269,"NULL")</f>
        <v>NULL</v>
      </c>
      <c r="J1269" s="1" t="str">
        <f t="shared" si="19"/>
        <v>INSERT INTO COTACAO (blt_id, pap_id, cot_prc_comum, cot_prc_min, cot_prc_max, cot_prc_med, cot_prc_mediana) VALUES (33, 36, NULL, NULL, NULL, NULL, NULL);</v>
      </c>
    </row>
    <row r="1270" spans="1:10" x14ac:dyDescent="0.3">
      <c r="A1270" s="1">
        <v>1269</v>
      </c>
      <c r="B1270" s="1">
        <v>33</v>
      </c>
      <c r="C1270" s="1">
        <v>37</v>
      </c>
      <c r="D1270" s="1" t="str">
        <f>IF('Boletins Nuppa Site'!G1270&lt;&gt;0,'Boletins Nuppa Site'!G1270,"NULL")</f>
        <v>NULL</v>
      </c>
      <c r="E1270" s="1" t="str">
        <f>IF('Boletins Nuppa Site'!H1270&lt;&gt;0,'Boletins Nuppa Site'!H1270,"NULL")</f>
        <v>NULL</v>
      </c>
      <c r="F1270" s="1" t="str">
        <f>IF('Boletins Nuppa Site'!I1270&lt;&gt;0,'Boletins Nuppa Site'!I1270,"NULL")</f>
        <v>NULL</v>
      </c>
      <c r="G1270" s="1" t="str">
        <f>IF('Boletins Nuppa Site'!J1270&lt;&gt;0,'Boletins Nuppa Site'!J1270,"NULL")</f>
        <v>NULL</v>
      </c>
      <c r="H1270" s="1" t="str">
        <f>IF('Boletins Nuppa Site'!K1270&lt;&gt;0,'Boletins Nuppa Site'!K1270,"NULL")</f>
        <v>NULL</v>
      </c>
      <c r="J1270" s="1" t="str">
        <f t="shared" si="19"/>
        <v>INSERT INTO COTACAO (blt_id, pap_id, cot_prc_comum, cot_prc_min, cot_prc_max, cot_prc_med, cot_prc_mediana) VALUES (33, 37, NULL, NULL, NULL, NULL, NULL);</v>
      </c>
    </row>
    <row r="1271" spans="1:10" x14ac:dyDescent="0.3">
      <c r="A1271" s="1">
        <v>1270</v>
      </c>
      <c r="B1271" s="1">
        <v>33</v>
      </c>
      <c r="C1271" s="1">
        <v>38</v>
      </c>
      <c r="D1271" s="1" t="str">
        <f>IF('Boletins Nuppa Site'!G1271&lt;&gt;0,'Boletins Nuppa Site'!G1271,"NULL")</f>
        <v>NULL</v>
      </c>
      <c r="E1271" s="1" t="str">
        <f>IF('Boletins Nuppa Site'!H1271&lt;&gt;0,'Boletins Nuppa Site'!H1271,"NULL")</f>
        <v>NULL</v>
      </c>
      <c r="F1271" s="1" t="str">
        <f>IF('Boletins Nuppa Site'!I1271&lt;&gt;0,'Boletins Nuppa Site'!I1271,"NULL")</f>
        <v>NULL</v>
      </c>
      <c r="G1271" s="1" t="str">
        <f>IF('Boletins Nuppa Site'!J1271&lt;&gt;0,'Boletins Nuppa Site'!J1271,"NULL")</f>
        <v>NULL</v>
      </c>
      <c r="H1271" s="1" t="str">
        <f>IF('Boletins Nuppa Site'!K1271&lt;&gt;0,'Boletins Nuppa Site'!K1271,"NULL")</f>
        <v>NULL</v>
      </c>
      <c r="J1271" s="1" t="str">
        <f t="shared" si="19"/>
        <v>INSERT INTO COTACAO (blt_id, pap_id, cot_prc_comum, cot_prc_min, cot_prc_max, cot_prc_med, cot_prc_mediana) VALUES (33, 38, NULL, NULL, NULL, NULL, NULL);</v>
      </c>
    </row>
    <row r="1272" spans="1:10" x14ac:dyDescent="0.3">
      <c r="A1272" s="1">
        <v>1271</v>
      </c>
      <c r="B1272" s="1">
        <v>33</v>
      </c>
      <c r="C1272" s="1">
        <v>39</v>
      </c>
      <c r="D1272" s="1" t="str">
        <f>IF('Boletins Nuppa Site'!G1272&lt;&gt;0,'Boletins Nuppa Site'!G1272,"NULL")</f>
        <v>NULL</v>
      </c>
      <c r="E1272" s="19">
        <f>IF('Boletins Nuppa Site'!H1272&lt;&gt;0,'Boletins Nuppa Site'!H1272,"NULL")</f>
        <v>50</v>
      </c>
      <c r="F1272" s="19">
        <f>IF('Boletins Nuppa Site'!I1272&lt;&gt;0,'Boletins Nuppa Site'!I1272,"NULL")</f>
        <v>50</v>
      </c>
      <c r="G1272" s="19">
        <f>IF('Boletins Nuppa Site'!J1272&lt;&gt;0,'Boletins Nuppa Site'!J1272,"NULL")</f>
        <v>50</v>
      </c>
      <c r="H1272" s="19">
        <f>IF('Boletins Nuppa Site'!K1272&lt;&gt;0,'Boletins Nuppa Site'!K1272,"NULL")</f>
        <v>50</v>
      </c>
      <c r="J1272" s="1" t="str">
        <f t="shared" si="19"/>
        <v>INSERT INTO COTACAO (blt_id, pap_id, cot_prc_comum, cot_prc_min, cot_prc_max, cot_prc_med, cot_prc_mediana) VALUES (33, 39, NULL, 50, 50, 50, 50);</v>
      </c>
    </row>
    <row r="1273" spans="1:10" x14ac:dyDescent="0.3">
      <c r="A1273" s="1">
        <v>1272</v>
      </c>
      <c r="B1273" s="1">
        <v>33</v>
      </c>
      <c r="C1273" s="1">
        <v>40</v>
      </c>
      <c r="D1273" s="1" t="str">
        <f>IF('Boletins Nuppa Site'!G1273&lt;&gt;0,'Boletins Nuppa Site'!G1273,"NULL")</f>
        <v>NULL</v>
      </c>
      <c r="E1273" s="1" t="str">
        <f>IF('Boletins Nuppa Site'!H1273&lt;&gt;0,'Boletins Nuppa Site'!H1273,"NULL")</f>
        <v>NULL</v>
      </c>
      <c r="F1273" s="1" t="str">
        <f>IF('Boletins Nuppa Site'!I1273&lt;&gt;0,'Boletins Nuppa Site'!I1273,"NULL")</f>
        <v>NULL</v>
      </c>
      <c r="G1273" s="1" t="str">
        <f>IF('Boletins Nuppa Site'!J1273&lt;&gt;0,'Boletins Nuppa Site'!J1273,"NULL")</f>
        <v>NULL</v>
      </c>
      <c r="H1273" s="1" t="str">
        <f>IF('Boletins Nuppa Site'!K1273&lt;&gt;0,'Boletins Nuppa Site'!K1273,"NULL")</f>
        <v>NULL</v>
      </c>
      <c r="J1273" s="1" t="str">
        <f t="shared" si="19"/>
        <v>INSERT INTO COTACAO (blt_id, pap_id, cot_prc_comum, cot_prc_min, cot_prc_max, cot_prc_med, cot_prc_mediana) VALUES (33, 40, NULL, NULL, NULL, NULL, NULL);</v>
      </c>
    </row>
    <row r="1274" spans="1:10" x14ac:dyDescent="0.3">
      <c r="A1274" s="1">
        <v>1273</v>
      </c>
      <c r="B1274" s="1">
        <v>34</v>
      </c>
      <c r="C1274" s="1">
        <v>1</v>
      </c>
      <c r="D1274" s="19">
        <f>IF('Boletins Nuppa Site'!G1274&lt;&gt;0,'Boletins Nuppa Site'!G1274,"NULL")</f>
        <v>48</v>
      </c>
      <c r="E1274" s="19">
        <f>IF('Boletins Nuppa Site'!H1274&lt;&gt;0,'Boletins Nuppa Site'!H1274,"NULL")</f>
        <v>48</v>
      </c>
      <c r="F1274" s="19">
        <f>IF('Boletins Nuppa Site'!I1274&lt;&gt;0,'Boletins Nuppa Site'!I1274,"NULL")</f>
        <v>60</v>
      </c>
      <c r="G1274" s="19">
        <f>IF('Boletins Nuppa Site'!J1274&lt;&gt;0,'Boletins Nuppa Site'!J1274,"NULL")</f>
        <v>51</v>
      </c>
      <c r="H1274" s="19">
        <f>IF('Boletins Nuppa Site'!K1274&lt;&gt;0,'Boletins Nuppa Site'!K1274,"NULL")</f>
        <v>48</v>
      </c>
      <c r="J1274" s="1" t="str">
        <f t="shared" si="19"/>
        <v>INSERT INTO COTACAO (blt_id, pap_id, cot_prc_comum, cot_prc_min, cot_prc_max, cot_prc_med, cot_prc_mediana) VALUES (34, 1, 48, 48, 60, 51, 48);</v>
      </c>
    </row>
    <row r="1275" spans="1:10" x14ac:dyDescent="0.3">
      <c r="A1275" s="1">
        <v>1274</v>
      </c>
      <c r="B1275" s="1">
        <v>34</v>
      </c>
      <c r="C1275" s="1">
        <v>2</v>
      </c>
      <c r="D1275" s="19">
        <f>IF('Boletins Nuppa Site'!G1275&lt;&gt;0,'Boletins Nuppa Site'!G1275,"NULL")</f>
        <v>84</v>
      </c>
      <c r="E1275" s="19">
        <f>IF('Boletins Nuppa Site'!H1275&lt;&gt;0,'Boletins Nuppa Site'!H1275,"NULL")</f>
        <v>60</v>
      </c>
      <c r="F1275" s="19">
        <f>IF('Boletins Nuppa Site'!I1275&lt;&gt;0,'Boletins Nuppa Site'!I1275,"NULL")</f>
        <v>84</v>
      </c>
      <c r="G1275" s="19">
        <f>IF('Boletins Nuppa Site'!J1275&lt;&gt;0,'Boletins Nuppa Site'!J1275,"NULL")</f>
        <v>75</v>
      </c>
      <c r="H1275" s="19">
        <f>IF('Boletins Nuppa Site'!K1275&lt;&gt;0,'Boletins Nuppa Site'!K1275,"NULL")</f>
        <v>78</v>
      </c>
      <c r="J1275" s="1" t="str">
        <f t="shared" si="19"/>
        <v>INSERT INTO COTACAO (blt_id, pap_id, cot_prc_comum, cot_prc_min, cot_prc_max, cot_prc_med, cot_prc_mediana) VALUES (34, 2, 84, 60, 84, 75, 78);</v>
      </c>
    </row>
    <row r="1276" spans="1:10" x14ac:dyDescent="0.3">
      <c r="A1276" s="1">
        <v>1275</v>
      </c>
      <c r="B1276" s="1">
        <v>34</v>
      </c>
      <c r="C1276" s="1">
        <v>3</v>
      </c>
      <c r="D1276" s="19">
        <f>IF('Boletins Nuppa Site'!G1276&lt;&gt;0,'Boletins Nuppa Site'!G1276,"NULL")</f>
        <v>36</v>
      </c>
      <c r="E1276" s="19">
        <f>IF('Boletins Nuppa Site'!H1276&lt;&gt;0,'Boletins Nuppa Site'!H1276,"NULL")</f>
        <v>36</v>
      </c>
      <c r="F1276" s="19">
        <f>IF('Boletins Nuppa Site'!I1276&lt;&gt;0,'Boletins Nuppa Site'!I1276,"NULL")</f>
        <v>48</v>
      </c>
      <c r="G1276" s="1" t="str">
        <f>IF('Boletins Nuppa Site'!J1276&lt;&gt;0,'Boletins Nuppa Site'!J1276,"NULL")</f>
        <v>38.4</v>
      </c>
      <c r="H1276" s="19">
        <f>IF('Boletins Nuppa Site'!K1276&lt;&gt;0,'Boletins Nuppa Site'!K1276,"NULL")</f>
        <v>36</v>
      </c>
      <c r="J1276" s="1" t="str">
        <f t="shared" si="19"/>
        <v>INSERT INTO COTACAO (blt_id, pap_id, cot_prc_comum, cot_prc_min, cot_prc_max, cot_prc_med, cot_prc_mediana) VALUES (34, 3, 36, 36, 48, 38.4, 36);</v>
      </c>
    </row>
    <row r="1277" spans="1:10" x14ac:dyDescent="0.3">
      <c r="A1277" s="1">
        <v>1276</v>
      </c>
      <c r="B1277" s="1">
        <v>34</v>
      </c>
      <c r="C1277" s="1">
        <v>4</v>
      </c>
      <c r="D1277" s="19">
        <f>IF('Boletins Nuppa Site'!G1277&lt;&gt;0,'Boletins Nuppa Site'!G1277,"NULL")</f>
        <v>24</v>
      </c>
      <c r="E1277" s="19">
        <f>IF('Boletins Nuppa Site'!H1277&lt;&gt;0,'Boletins Nuppa Site'!H1277,"NULL")</f>
        <v>15</v>
      </c>
      <c r="F1277" s="19">
        <f>IF('Boletins Nuppa Site'!I1277&lt;&gt;0,'Boletins Nuppa Site'!I1277,"NULL")</f>
        <v>36</v>
      </c>
      <c r="G1277" s="1" t="str">
        <f>IF('Boletins Nuppa Site'!J1277&lt;&gt;0,'Boletins Nuppa Site'!J1277,"NULL")</f>
        <v>23.4</v>
      </c>
      <c r="H1277" s="19">
        <f>IF('Boletins Nuppa Site'!K1277&lt;&gt;0,'Boletins Nuppa Site'!K1277,"NULL")</f>
        <v>24</v>
      </c>
      <c r="J1277" s="1" t="str">
        <f t="shared" si="19"/>
        <v>INSERT INTO COTACAO (blt_id, pap_id, cot_prc_comum, cot_prc_min, cot_prc_max, cot_prc_med, cot_prc_mediana) VALUES (34, 4, 24, 15, 36, 23.4, 24);</v>
      </c>
    </row>
    <row r="1278" spans="1:10" x14ac:dyDescent="0.3">
      <c r="A1278" s="1">
        <v>1277</v>
      </c>
      <c r="B1278" s="1">
        <v>34</v>
      </c>
      <c r="C1278" s="1">
        <v>5</v>
      </c>
      <c r="D1278" s="19">
        <f>IF('Boletins Nuppa Site'!G1278&lt;&gt;0,'Boletins Nuppa Site'!G1278,"NULL")</f>
        <v>24</v>
      </c>
      <c r="E1278" s="19">
        <f>IF('Boletins Nuppa Site'!H1278&lt;&gt;0,'Boletins Nuppa Site'!H1278,"NULL")</f>
        <v>15</v>
      </c>
      <c r="F1278" s="19">
        <f>IF('Boletins Nuppa Site'!I1278&lt;&gt;0,'Boletins Nuppa Site'!I1278,"NULL")</f>
        <v>36</v>
      </c>
      <c r="G1278" s="1" t="str">
        <f>IF('Boletins Nuppa Site'!J1278&lt;&gt;0,'Boletins Nuppa Site'!J1278,"NULL")</f>
        <v>24.75</v>
      </c>
      <c r="H1278" s="19">
        <f>IF('Boletins Nuppa Site'!K1278&lt;&gt;0,'Boletins Nuppa Site'!K1278,"NULL")</f>
        <v>24</v>
      </c>
      <c r="J1278" s="1" t="str">
        <f t="shared" si="19"/>
        <v>INSERT INTO COTACAO (blt_id, pap_id, cot_prc_comum, cot_prc_min, cot_prc_max, cot_prc_med, cot_prc_mediana) VALUES (34, 5, 24, 15, 36, 24.75, 24);</v>
      </c>
    </row>
    <row r="1279" spans="1:10" x14ac:dyDescent="0.3">
      <c r="A1279" s="1">
        <v>1278</v>
      </c>
      <c r="B1279" s="1">
        <v>34</v>
      </c>
      <c r="C1279" s="1">
        <v>6</v>
      </c>
      <c r="D1279" s="19">
        <f>IF('Boletins Nuppa Site'!G1279&lt;&gt;0,'Boletins Nuppa Site'!G1279,"NULL")</f>
        <v>60</v>
      </c>
      <c r="E1279" s="19">
        <f>IF('Boletins Nuppa Site'!H1279&lt;&gt;0,'Boletins Nuppa Site'!H1279,"NULL")</f>
        <v>60</v>
      </c>
      <c r="F1279" s="19">
        <f>IF('Boletins Nuppa Site'!I1279&lt;&gt;0,'Boletins Nuppa Site'!I1279,"NULL")</f>
        <v>60</v>
      </c>
      <c r="G1279" s="19">
        <f>IF('Boletins Nuppa Site'!J1279&lt;&gt;0,'Boletins Nuppa Site'!J1279,"NULL")</f>
        <v>60</v>
      </c>
      <c r="H1279" s="19">
        <f>IF('Boletins Nuppa Site'!K1279&lt;&gt;0,'Boletins Nuppa Site'!K1279,"NULL")</f>
        <v>60</v>
      </c>
      <c r="J1279" s="1" t="str">
        <f t="shared" si="19"/>
        <v>INSERT INTO COTACAO (blt_id, pap_id, cot_prc_comum, cot_prc_min, cot_prc_max, cot_prc_med, cot_prc_mediana) VALUES (34, 6, 60, 60, 60, 60, 60);</v>
      </c>
    </row>
    <row r="1280" spans="1:10" x14ac:dyDescent="0.3">
      <c r="A1280" s="1">
        <v>1279</v>
      </c>
      <c r="B1280" s="1">
        <v>34</v>
      </c>
      <c r="C1280" s="1">
        <v>7</v>
      </c>
      <c r="D1280" s="19">
        <f>IF('Boletins Nuppa Site'!G1280&lt;&gt;0,'Boletins Nuppa Site'!G1280,"NULL")</f>
        <v>48</v>
      </c>
      <c r="E1280" s="19">
        <f>IF('Boletins Nuppa Site'!H1280&lt;&gt;0,'Boletins Nuppa Site'!H1280,"NULL")</f>
        <v>48</v>
      </c>
      <c r="F1280" s="19">
        <f>IF('Boletins Nuppa Site'!I1280&lt;&gt;0,'Boletins Nuppa Site'!I1280,"NULL")</f>
        <v>72</v>
      </c>
      <c r="G1280" s="19">
        <f>IF('Boletins Nuppa Site'!J1280&lt;&gt;0,'Boletins Nuppa Site'!J1280,"NULL")</f>
        <v>57</v>
      </c>
      <c r="H1280" s="19">
        <f>IF('Boletins Nuppa Site'!K1280&lt;&gt;0,'Boletins Nuppa Site'!K1280,"NULL")</f>
        <v>54</v>
      </c>
      <c r="J1280" s="1" t="str">
        <f t="shared" si="19"/>
        <v>INSERT INTO COTACAO (blt_id, pap_id, cot_prc_comum, cot_prc_min, cot_prc_max, cot_prc_med, cot_prc_mediana) VALUES (34, 7, 48, 48, 72, 57, 54);</v>
      </c>
    </row>
    <row r="1281" spans="1:10" x14ac:dyDescent="0.3">
      <c r="A1281" s="1">
        <v>1280</v>
      </c>
      <c r="B1281" s="1">
        <v>34</v>
      </c>
      <c r="C1281" s="1">
        <v>8</v>
      </c>
      <c r="D1281" s="19">
        <f>IF('Boletins Nuppa Site'!G1281&lt;&gt;0,'Boletins Nuppa Site'!G1281,"NULL")</f>
        <v>72</v>
      </c>
      <c r="E1281" s="19">
        <f>IF('Boletins Nuppa Site'!H1281&lt;&gt;0,'Boletins Nuppa Site'!H1281,"NULL")</f>
        <v>60</v>
      </c>
      <c r="F1281" s="19">
        <f>IF('Boletins Nuppa Site'!I1281&lt;&gt;0,'Boletins Nuppa Site'!I1281,"NULL")</f>
        <v>72</v>
      </c>
      <c r="G1281" s="1" t="str">
        <f>IF('Boletins Nuppa Site'!J1281&lt;&gt;0,'Boletins Nuppa Site'!J1281,"NULL")</f>
        <v>67.2</v>
      </c>
      <c r="H1281" s="19">
        <f>IF('Boletins Nuppa Site'!K1281&lt;&gt;0,'Boletins Nuppa Site'!K1281,"NULL")</f>
        <v>72</v>
      </c>
      <c r="J1281" s="1" t="str">
        <f t="shared" si="19"/>
        <v>INSERT INTO COTACAO (blt_id, pap_id, cot_prc_comum, cot_prc_min, cot_prc_max, cot_prc_med, cot_prc_mediana) VALUES (34, 8, 72, 60, 72, 67.2, 72);</v>
      </c>
    </row>
    <row r="1282" spans="1:10" x14ac:dyDescent="0.3">
      <c r="A1282" s="1">
        <v>1281</v>
      </c>
      <c r="B1282" s="1">
        <v>34</v>
      </c>
      <c r="C1282" s="1">
        <v>9</v>
      </c>
      <c r="D1282" s="19">
        <f>IF('Boletins Nuppa Site'!G1282&lt;&gt;0,'Boletins Nuppa Site'!G1282,"NULL")</f>
        <v>24</v>
      </c>
      <c r="E1282" s="19">
        <f>IF('Boletins Nuppa Site'!H1282&lt;&gt;0,'Boletins Nuppa Site'!H1282,"NULL")</f>
        <v>18</v>
      </c>
      <c r="F1282" s="19">
        <f>IF('Boletins Nuppa Site'!I1282&lt;&gt;0,'Boletins Nuppa Site'!I1282,"NULL")</f>
        <v>24</v>
      </c>
      <c r="G1282" s="1" t="str">
        <f>IF('Boletins Nuppa Site'!J1282&lt;&gt;0,'Boletins Nuppa Site'!J1282,"NULL")</f>
        <v>21.6</v>
      </c>
      <c r="H1282" s="19">
        <f>IF('Boletins Nuppa Site'!K1282&lt;&gt;0,'Boletins Nuppa Site'!K1282,"NULL")</f>
        <v>24</v>
      </c>
      <c r="J1282" s="1" t="str">
        <f t="shared" ref="J1282:J1345" si="20">"INSERT INTO COTACAO (blt_id, pap_id, cot_prc_comum, cot_prc_min, cot_prc_max, cot_prc_med, cot_prc_mediana) VALUES ("&amp;B1282&amp;", "&amp;C1282&amp;", "&amp;D1282&amp;", "&amp;E1282&amp;", "&amp;F1282&amp;", "&amp;G1282&amp;", "&amp;H1282&amp;");"</f>
        <v>INSERT INTO COTACAO (blt_id, pap_id, cot_prc_comum, cot_prc_min, cot_prc_max, cot_prc_med, cot_prc_mediana) VALUES (34, 9, 24, 18, 24, 21.6, 24);</v>
      </c>
    </row>
    <row r="1283" spans="1:10" x14ac:dyDescent="0.3">
      <c r="A1283" s="1">
        <v>1282</v>
      </c>
      <c r="B1283" s="1">
        <v>34</v>
      </c>
      <c r="C1283" s="1">
        <v>10</v>
      </c>
      <c r="D1283" s="19">
        <f>IF('Boletins Nuppa Site'!G1283&lt;&gt;0,'Boletins Nuppa Site'!G1283,"NULL")</f>
        <v>60</v>
      </c>
      <c r="E1283" s="19">
        <f>IF('Boletins Nuppa Site'!H1283&lt;&gt;0,'Boletins Nuppa Site'!H1283,"NULL")</f>
        <v>60</v>
      </c>
      <c r="F1283" s="19">
        <f>IF('Boletins Nuppa Site'!I1283&lt;&gt;0,'Boletins Nuppa Site'!I1283,"NULL")</f>
        <v>72</v>
      </c>
      <c r="G1283" s="1" t="str">
        <f>IF('Boletins Nuppa Site'!J1283&lt;&gt;0,'Boletins Nuppa Site'!J1283,"NULL")</f>
        <v>65.5</v>
      </c>
      <c r="H1283" s="19">
        <f>IF('Boletins Nuppa Site'!K1283&lt;&gt;0,'Boletins Nuppa Site'!K1283,"NULL")</f>
        <v>65</v>
      </c>
      <c r="J1283" s="1" t="str">
        <f t="shared" si="20"/>
        <v>INSERT INTO COTACAO (blt_id, pap_id, cot_prc_comum, cot_prc_min, cot_prc_max, cot_prc_med, cot_prc_mediana) VALUES (34, 10, 60, 60, 72, 65.5, 65);</v>
      </c>
    </row>
    <row r="1284" spans="1:10" x14ac:dyDescent="0.3">
      <c r="A1284" s="1">
        <v>1283</v>
      </c>
      <c r="B1284" s="1">
        <v>34</v>
      </c>
      <c r="C1284" s="1">
        <v>11</v>
      </c>
      <c r="D1284" s="19">
        <f>IF('Boletins Nuppa Site'!G1284&lt;&gt;0,'Boletins Nuppa Site'!G1284,"NULL")</f>
        <v>24</v>
      </c>
      <c r="E1284" s="19">
        <f>IF('Boletins Nuppa Site'!H1284&lt;&gt;0,'Boletins Nuppa Site'!H1284,"NULL")</f>
        <v>15</v>
      </c>
      <c r="F1284" s="19">
        <f>IF('Boletins Nuppa Site'!I1284&lt;&gt;0,'Boletins Nuppa Site'!I1284,"NULL")</f>
        <v>24</v>
      </c>
      <c r="G1284" s="19">
        <f>IF('Boletins Nuppa Site'!J1284&lt;&gt;0,'Boletins Nuppa Site'!J1284,"NULL")</f>
        <v>21</v>
      </c>
      <c r="H1284" s="19">
        <f>IF('Boletins Nuppa Site'!K1284&lt;&gt;0,'Boletins Nuppa Site'!K1284,"NULL")</f>
        <v>24</v>
      </c>
      <c r="J1284" s="1" t="str">
        <f t="shared" si="20"/>
        <v>INSERT INTO COTACAO (blt_id, pap_id, cot_prc_comum, cot_prc_min, cot_prc_max, cot_prc_med, cot_prc_mediana) VALUES (34, 11, 24, 15, 24, 21, 24);</v>
      </c>
    </row>
    <row r="1285" spans="1:10" x14ac:dyDescent="0.3">
      <c r="A1285" s="1">
        <v>1284</v>
      </c>
      <c r="B1285" s="1">
        <v>34</v>
      </c>
      <c r="C1285" s="1">
        <v>12</v>
      </c>
      <c r="D1285" s="19">
        <f>IF('Boletins Nuppa Site'!G1285&lt;&gt;0,'Boletins Nuppa Site'!G1285,"NULL")</f>
        <v>48</v>
      </c>
      <c r="E1285" s="19">
        <f>IF('Boletins Nuppa Site'!H1285&lt;&gt;0,'Boletins Nuppa Site'!H1285,"NULL")</f>
        <v>48</v>
      </c>
      <c r="F1285" s="19">
        <f>IF('Boletins Nuppa Site'!I1285&lt;&gt;0,'Boletins Nuppa Site'!I1285,"NULL")</f>
        <v>72</v>
      </c>
      <c r="G1285" s="19">
        <f>IF('Boletins Nuppa Site'!J1285&lt;&gt;0,'Boletins Nuppa Site'!J1285,"NULL")</f>
        <v>57</v>
      </c>
      <c r="H1285" s="19">
        <f>IF('Boletins Nuppa Site'!K1285&lt;&gt;0,'Boletins Nuppa Site'!K1285,"NULL")</f>
        <v>54</v>
      </c>
      <c r="J1285" s="1" t="str">
        <f t="shared" si="20"/>
        <v>INSERT INTO COTACAO (blt_id, pap_id, cot_prc_comum, cot_prc_min, cot_prc_max, cot_prc_med, cot_prc_mediana) VALUES (34, 12, 48, 48, 72, 57, 54);</v>
      </c>
    </row>
    <row r="1286" spans="1:10" x14ac:dyDescent="0.3">
      <c r="A1286" s="1">
        <v>1285</v>
      </c>
      <c r="B1286" s="1">
        <v>34</v>
      </c>
      <c r="C1286" s="1">
        <v>13</v>
      </c>
      <c r="D1286" s="19">
        <f>IF('Boletins Nuppa Site'!G1286&lt;&gt;0,'Boletins Nuppa Site'!G1286,"NULL")</f>
        <v>48</v>
      </c>
      <c r="E1286" s="19">
        <f>IF('Boletins Nuppa Site'!H1286&lt;&gt;0,'Boletins Nuppa Site'!H1286,"NULL")</f>
        <v>36</v>
      </c>
      <c r="F1286" s="19">
        <f>IF('Boletins Nuppa Site'!I1286&lt;&gt;0,'Boletins Nuppa Site'!I1286,"NULL")</f>
        <v>60</v>
      </c>
      <c r="G1286" s="1" t="str">
        <f>IF('Boletins Nuppa Site'!J1286&lt;&gt;0,'Boletins Nuppa Site'!J1286,"NULL")</f>
        <v>50.4</v>
      </c>
      <c r="H1286" s="19">
        <f>IF('Boletins Nuppa Site'!K1286&lt;&gt;0,'Boletins Nuppa Site'!K1286,"NULL")</f>
        <v>48</v>
      </c>
      <c r="J1286" s="1" t="str">
        <f t="shared" si="20"/>
        <v>INSERT INTO COTACAO (blt_id, pap_id, cot_prc_comum, cot_prc_min, cot_prc_max, cot_prc_med, cot_prc_mediana) VALUES (34, 13, 48, 36, 60, 50.4, 48);</v>
      </c>
    </row>
    <row r="1287" spans="1:10" x14ac:dyDescent="0.3">
      <c r="A1287" s="1">
        <v>1286</v>
      </c>
      <c r="B1287" s="1">
        <v>34</v>
      </c>
      <c r="C1287" s="1">
        <v>14</v>
      </c>
      <c r="D1287" s="19">
        <f>IF('Boletins Nuppa Site'!G1287&lt;&gt;0,'Boletins Nuppa Site'!G1287,"NULL")</f>
        <v>60</v>
      </c>
      <c r="E1287" s="19">
        <f>IF('Boletins Nuppa Site'!H1287&lt;&gt;0,'Boletins Nuppa Site'!H1287,"NULL")</f>
        <v>48</v>
      </c>
      <c r="F1287" s="19">
        <f>IF('Boletins Nuppa Site'!I1287&lt;&gt;0,'Boletins Nuppa Site'!I1287,"NULL")</f>
        <v>60</v>
      </c>
      <c r="G1287" s="19">
        <f>IF('Boletins Nuppa Site'!J1287&lt;&gt;0,'Boletins Nuppa Site'!J1287,"NULL")</f>
        <v>54</v>
      </c>
      <c r="H1287" s="19">
        <f>IF('Boletins Nuppa Site'!K1287&lt;&gt;0,'Boletins Nuppa Site'!K1287,"NULL")</f>
        <v>54</v>
      </c>
      <c r="J1287" s="1" t="str">
        <f t="shared" si="20"/>
        <v>INSERT INTO COTACAO (blt_id, pap_id, cot_prc_comum, cot_prc_min, cot_prc_max, cot_prc_med, cot_prc_mediana) VALUES (34, 14, 60, 48, 60, 54, 54);</v>
      </c>
    </row>
    <row r="1288" spans="1:10" x14ac:dyDescent="0.3">
      <c r="A1288" s="1">
        <v>1287</v>
      </c>
      <c r="B1288" s="1">
        <v>34</v>
      </c>
      <c r="C1288" s="1">
        <v>15</v>
      </c>
      <c r="D1288" s="19">
        <f>IF('Boletins Nuppa Site'!G1288&lt;&gt;0,'Boletins Nuppa Site'!G1288,"NULL")</f>
        <v>36</v>
      </c>
      <c r="E1288" s="19">
        <f>IF('Boletins Nuppa Site'!H1288&lt;&gt;0,'Boletins Nuppa Site'!H1288,"NULL")</f>
        <v>20</v>
      </c>
      <c r="F1288" s="19">
        <f>IF('Boletins Nuppa Site'!I1288&lt;&gt;0,'Boletins Nuppa Site'!I1288,"NULL")</f>
        <v>36</v>
      </c>
      <c r="G1288" s="1" t="str">
        <f>IF('Boletins Nuppa Site'!J1288&lt;&gt;0,'Boletins Nuppa Site'!J1288,"NULL")</f>
        <v>31.6</v>
      </c>
      <c r="H1288" s="19">
        <f>IF('Boletins Nuppa Site'!K1288&lt;&gt;0,'Boletins Nuppa Site'!K1288,"NULL")</f>
        <v>36</v>
      </c>
      <c r="J1288" s="1" t="str">
        <f t="shared" si="20"/>
        <v>INSERT INTO COTACAO (blt_id, pap_id, cot_prc_comum, cot_prc_min, cot_prc_max, cot_prc_med, cot_prc_mediana) VALUES (34, 15, 36, 20, 36, 31.6, 36);</v>
      </c>
    </row>
    <row r="1289" spans="1:10" x14ac:dyDescent="0.3">
      <c r="A1289" s="1">
        <v>1288</v>
      </c>
      <c r="B1289" s="1">
        <v>34</v>
      </c>
      <c r="C1289" s="1">
        <v>16</v>
      </c>
      <c r="D1289" s="19">
        <f>IF('Boletins Nuppa Site'!G1289&lt;&gt;0,'Boletins Nuppa Site'!G1289,"NULL")</f>
        <v>48</v>
      </c>
      <c r="E1289" s="19">
        <f>IF('Boletins Nuppa Site'!H1289&lt;&gt;0,'Boletins Nuppa Site'!H1289,"NULL")</f>
        <v>48</v>
      </c>
      <c r="F1289" s="19">
        <f>IF('Boletins Nuppa Site'!I1289&lt;&gt;0,'Boletins Nuppa Site'!I1289,"NULL")</f>
        <v>54</v>
      </c>
      <c r="G1289" s="1" t="str">
        <f>IF('Boletins Nuppa Site'!J1289&lt;&gt;0,'Boletins Nuppa Site'!J1289,"NULL")</f>
        <v>49.2</v>
      </c>
      <c r="H1289" s="19">
        <f>IF('Boletins Nuppa Site'!K1289&lt;&gt;0,'Boletins Nuppa Site'!K1289,"NULL")</f>
        <v>48</v>
      </c>
      <c r="J1289" s="1" t="str">
        <f t="shared" si="20"/>
        <v>INSERT INTO COTACAO (blt_id, pap_id, cot_prc_comum, cot_prc_min, cot_prc_max, cot_prc_med, cot_prc_mediana) VALUES (34, 16, 48, 48, 54, 49.2, 48);</v>
      </c>
    </row>
    <row r="1290" spans="1:10" x14ac:dyDescent="0.3">
      <c r="A1290" s="1">
        <v>1289</v>
      </c>
      <c r="B1290" s="1">
        <v>34</v>
      </c>
      <c r="C1290" s="1">
        <v>17</v>
      </c>
      <c r="D1290" s="19">
        <f>IF('Boletins Nuppa Site'!G1290&lt;&gt;0,'Boletins Nuppa Site'!G1290,"NULL")</f>
        <v>5</v>
      </c>
      <c r="E1290" s="19">
        <f>IF('Boletins Nuppa Site'!H1290&lt;&gt;0,'Boletins Nuppa Site'!H1290,"NULL")</f>
        <v>5</v>
      </c>
      <c r="F1290" s="19">
        <f>IF('Boletins Nuppa Site'!I1290&lt;&gt;0,'Boletins Nuppa Site'!I1290,"NULL")</f>
        <v>5</v>
      </c>
      <c r="G1290" s="19">
        <f>IF('Boletins Nuppa Site'!J1290&lt;&gt;0,'Boletins Nuppa Site'!J1290,"NULL")</f>
        <v>5</v>
      </c>
      <c r="H1290" s="19">
        <f>IF('Boletins Nuppa Site'!K1290&lt;&gt;0,'Boletins Nuppa Site'!K1290,"NULL")</f>
        <v>5</v>
      </c>
      <c r="J1290" s="1" t="str">
        <f t="shared" si="20"/>
        <v>INSERT INTO COTACAO (blt_id, pap_id, cot_prc_comum, cot_prc_min, cot_prc_max, cot_prc_med, cot_prc_mediana) VALUES (34, 17, 5, 5, 5, 5, 5);</v>
      </c>
    </row>
    <row r="1291" spans="1:10" x14ac:dyDescent="0.3">
      <c r="A1291" s="1">
        <v>1290</v>
      </c>
      <c r="B1291" s="1">
        <v>34</v>
      </c>
      <c r="C1291" s="1">
        <v>18</v>
      </c>
      <c r="D1291" s="19">
        <f>IF('Boletins Nuppa Site'!G1291&lt;&gt;0,'Boletins Nuppa Site'!G1291,"NULL")</f>
        <v>10</v>
      </c>
      <c r="E1291" s="19">
        <f>IF('Boletins Nuppa Site'!H1291&lt;&gt;0,'Boletins Nuppa Site'!H1291,"NULL")</f>
        <v>10</v>
      </c>
      <c r="F1291" s="19">
        <f>IF('Boletins Nuppa Site'!I1291&lt;&gt;0,'Boletins Nuppa Site'!I1291,"NULL")</f>
        <v>12</v>
      </c>
      <c r="G1291" s="1" t="str">
        <f>IF('Boletins Nuppa Site'!J1291&lt;&gt;0,'Boletins Nuppa Site'!J1291,"NULL")</f>
        <v>10.4</v>
      </c>
      <c r="H1291" s="19">
        <f>IF('Boletins Nuppa Site'!K1291&lt;&gt;0,'Boletins Nuppa Site'!K1291,"NULL")</f>
        <v>10</v>
      </c>
      <c r="J1291" s="1" t="str">
        <f t="shared" si="20"/>
        <v>INSERT INTO COTACAO (blt_id, pap_id, cot_prc_comum, cot_prc_min, cot_prc_max, cot_prc_med, cot_prc_mediana) VALUES (34, 18, 10, 10, 12, 10.4, 10);</v>
      </c>
    </row>
    <row r="1292" spans="1:10" x14ac:dyDescent="0.3">
      <c r="A1292" s="1">
        <v>1291</v>
      </c>
      <c r="B1292" s="1">
        <v>34</v>
      </c>
      <c r="C1292" s="1">
        <v>19</v>
      </c>
      <c r="D1292" s="19">
        <f>IF('Boletins Nuppa Site'!G1292&lt;&gt;0,'Boletins Nuppa Site'!G1292,"NULL")</f>
        <v>30</v>
      </c>
      <c r="E1292" s="19">
        <f>IF('Boletins Nuppa Site'!H1292&lt;&gt;0,'Boletins Nuppa Site'!H1292,"NULL")</f>
        <v>15</v>
      </c>
      <c r="F1292" s="19">
        <f>IF('Boletins Nuppa Site'!I1292&lt;&gt;0,'Boletins Nuppa Site'!I1292,"NULL")</f>
        <v>30</v>
      </c>
      <c r="G1292" s="19">
        <f>IF('Boletins Nuppa Site'!J1292&lt;&gt;0,'Boletins Nuppa Site'!J1292,"NULL")</f>
        <v>25</v>
      </c>
      <c r="H1292" s="19">
        <f>IF('Boletins Nuppa Site'!K1292&lt;&gt;0,'Boletins Nuppa Site'!K1292,"NULL")</f>
        <v>30</v>
      </c>
      <c r="J1292" s="1" t="str">
        <f t="shared" si="20"/>
        <v>INSERT INTO COTACAO (blt_id, pap_id, cot_prc_comum, cot_prc_min, cot_prc_max, cot_prc_med, cot_prc_mediana) VALUES (34, 19, 30, 15, 30, 25, 30);</v>
      </c>
    </row>
    <row r="1293" spans="1:10" x14ac:dyDescent="0.3">
      <c r="A1293" s="1">
        <v>1292</v>
      </c>
      <c r="B1293" s="1">
        <v>34</v>
      </c>
      <c r="C1293" s="1">
        <v>20</v>
      </c>
      <c r="D1293" s="1" t="str">
        <f>IF('Boletins Nuppa Site'!G1293&lt;&gt;0,'Boletins Nuppa Site'!G1293,"NULL")</f>
        <v>NULL</v>
      </c>
      <c r="E1293" s="19">
        <f>IF('Boletins Nuppa Site'!H1293&lt;&gt;0,'Boletins Nuppa Site'!H1293,"NULL")</f>
        <v>70</v>
      </c>
      <c r="F1293" s="19">
        <f>IF('Boletins Nuppa Site'!I1293&lt;&gt;0,'Boletins Nuppa Site'!I1293,"NULL")</f>
        <v>80</v>
      </c>
      <c r="G1293" s="19">
        <f>IF('Boletins Nuppa Site'!J1293&lt;&gt;0,'Boletins Nuppa Site'!J1293,"NULL")</f>
        <v>75</v>
      </c>
      <c r="H1293" s="19">
        <f>IF('Boletins Nuppa Site'!K1293&lt;&gt;0,'Boletins Nuppa Site'!K1293,"NULL")</f>
        <v>75</v>
      </c>
      <c r="J1293" s="1" t="str">
        <f t="shared" si="20"/>
        <v>INSERT INTO COTACAO (blt_id, pap_id, cot_prc_comum, cot_prc_min, cot_prc_max, cot_prc_med, cot_prc_mediana) VALUES (34, 20, NULL, 70, 80, 75, 75);</v>
      </c>
    </row>
    <row r="1294" spans="1:10" x14ac:dyDescent="0.3">
      <c r="A1294" s="1">
        <v>1293</v>
      </c>
      <c r="B1294" s="1">
        <v>34</v>
      </c>
      <c r="C1294" s="1">
        <v>21</v>
      </c>
      <c r="D1294" s="19">
        <f>IF('Boletins Nuppa Site'!G1294&lt;&gt;0,'Boletins Nuppa Site'!G1294,"NULL")</f>
        <v>40</v>
      </c>
      <c r="E1294" s="19">
        <f>IF('Boletins Nuppa Site'!H1294&lt;&gt;0,'Boletins Nuppa Site'!H1294,"NULL")</f>
        <v>40</v>
      </c>
      <c r="F1294" s="19">
        <f>IF('Boletins Nuppa Site'!I1294&lt;&gt;0,'Boletins Nuppa Site'!I1294,"NULL")</f>
        <v>50</v>
      </c>
      <c r="G1294" s="19">
        <f>IF('Boletins Nuppa Site'!J1294&lt;&gt;0,'Boletins Nuppa Site'!J1294,"NULL")</f>
        <v>45</v>
      </c>
      <c r="H1294" s="19">
        <f>IF('Boletins Nuppa Site'!K1294&lt;&gt;0,'Boletins Nuppa Site'!K1294,"NULL")</f>
        <v>45</v>
      </c>
      <c r="J1294" s="1" t="str">
        <f t="shared" si="20"/>
        <v>INSERT INTO COTACAO (blt_id, pap_id, cot_prc_comum, cot_prc_min, cot_prc_max, cot_prc_med, cot_prc_mediana) VALUES (34, 21, 40, 40, 50, 45, 45);</v>
      </c>
    </row>
    <row r="1295" spans="1:10" x14ac:dyDescent="0.3">
      <c r="A1295" s="1">
        <v>1294</v>
      </c>
      <c r="B1295" s="1">
        <v>34</v>
      </c>
      <c r="C1295" s="1">
        <v>22</v>
      </c>
      <c r="D1295" s="19">
        <f>IF('Boletins Nuppa Site'!G1295&lt;&gt;0,'Boletins Nuppa Site'!G1295,"NULL")</f>
        <v>70</v>
      </c>
      <c r="E1295" s="19">
        <f>IF('Boletins Nuppa Site'!H1295&lt;&gt;0,'Boletins Nuppa Site'!H1295,"NULL")</f>
        <v>45</v>
      </c>
      <c r="F1295" s="19">
        <f>IF('Boletins Nuppa Site'!I1295&lt;&gt;0,'Boletins Nuppa Site'!I1295,"NULL")</f>
        <v>70</v>
      </c>
      <c r="G1295" s="1" t="str">
        <f>IF('Boletins Nuppa Site'!J1295&lt;&gt;0,'Boletins Nuppa Site'!J1295,"NULL")</f>
        <v>58.33</v>
      </c>
      <c r="H1295" s="1" t="str">
        <f>IF('Boletins Nuppa Site'!K1295&lt;&gt;0,'Boletins Nuppa Site'!K1295,"NULL")</f>
        <v>57.5</v>
      </c>
      <c r="J1295" s="1" t="str">
        <f t="shared" si="20"/>
        <v>INSERT INTO COTACAO (blt_id, pap_id, cot_prc_comum, cot_prc_min, cot_prc_max, cot_prc_med, cot_prc_mediana) VALUES (34, 22, 70, 45, 70, 58.33, 57.5);</v>
      </c>
    </row>
    <row r="1296" spans="1:10" x14ac:dyDescent="0.3">
      <c r="A1296" s="1">
        <v>1295</v>
      </c>
      <c r="B1296" s="1">
        <v>34</v>
      </c>
      <c r="C1296" s="1">
        <v>23</v>
      </c>
      <c r="D1296" s="19">
        <f>IF('Boletins Nuppa Site'!G1296&lt;&gt;0,'Boletins Nuppa Site'!G1296,"NULL")</f>
        <v>50</v>
      </c>
      <c r="E1296" s="19">
        <f>IF('Boletins Nuppa Site'!H1296&lt;&gt;0,'Boletins Nuppa Site'!H1296,"NULL")</f>
        <v>50</v>
      </c>
      <c r="F1296" s="19">
        <f>IF('Boletins Nuppa Site'!I1296&lt;&gt;0,'Boletins Nuppa Site'!I1296,"NULL")</f>
        <v>90</v>
      </c>
      <c r="G1296" s="19">
        <f>IF('Boletins Nuppa Site'!J1296&lt;&gt;0,'Boletins Nuppa Site'!J1296,"NULL")</f>
        <v>59</v>
      </c>
      <c r="H1296" s="19">
        <f>IF('Boletins Nuppa Site'!K1296&lt;&gt;0,'Boletins Nuppa Site'!K1296,"NULL")</f>
        <v>50</v>
      </c>
      <c r="J1296" s="1" t="str">
        <f t="shared" si="20"/>
        <v>INSERT INTO COTACAO (blt_id, pap_id, cot_prc_comum, cot_prc_min, cot_prc_max, cot_prc_med, cot_prc_mediana) VALUES (34, 23, 50, 50, 90, 59, 50);</v>
      </c>
    </row>
    <row r="1297" spans="1:10" x14ac:dyDescent="0.3">
      <c r="A1297" s="1">
        <v>1296</v>
      </c>
      <c r="B1297" s="1">
        <v>34</v>
      </c>
      <c r="C1297" s="1">
        <v>24</v>
      </c>
      <c r="D1297" s="1" t="str">
        <f>IF('Boletins Nuppa Site'!G1297&lt;&gt;0,'Boletins Nuppa Site'!G1297,"NULL")</f>
        <v>NULL</v>
      </c>
      <c r="E1297" s="19">
        <f>IF('Boletins Nuppa Site'!H1297&lt;&gt;0,'Boletins Nuppa Site'!H1297,"NULL")</f>
        <v>45</v>
      </c>
      <c r="F1297" s="19">
        <f>IF('Boletins Nuppa Site'!I1297&lt;&gt;0,'Boletins Nuppa Site'!I1297,"NULL")</f>
        <v>100</v>
      </c>
      <c r="G1297" s="1" t="str">
        <f>IF('Boletins Nuppa Site'!J1297&lt;&gt;0,'Boletins Nuppa Site'!J1297,"NULL")</f>
        <v>78.33</v>
      </c>
      <c r="H1297" s="19">
        <f>IF('Boletins Nuppa Site'!K1297&lt;&gt;0,'Boletins Nuppa Site'!K1297,"NULL")</f>
        <v>90</v>
      </c>
      <c r="J1297" s="1" t="str">
        <f t="shared" si="20"/>
        <v>INSERT INTO COTACAO (blt_id, pap_id, cot_prc_comum, cot_prc_min, cot_prc_max, cot_prc_med, cot_prc_mediana) VALUES (34, 24, NULL, 45, 100, 78.33, 90);</v>
      </c>
    </row>
    <row r="1298" spans="1:10" x14ac:dyDescent="0.3">
      <c r="A1298" s="1">
        <v>1297</v>
      </c>
      <c r="B1298" s="1">
        <v>34</v>
      </c>
      <c r="C1298" s="1">
        <v>25</v>
      </c>
      <c r="D1298" s="19">
        <f>IF('Boletins Nuppa Site'!G1298&lt;&gt;0,'Boletins Nuppa Site'!G1298,"NULL")</f>
        <v>60</v>
      </c>
      <c r="E1298" s="19">
        <f>IF('Boletins Nuppa Site'!H1298&lt;&gt;0,'Boletins Nuppa Site'!H1298,"NULL")</f>
        <v>60</v>
      </c>
      <c r="F1298" s="19">
        <f>IF('Boletins Nuppa Site'!I1298&lt;&gt;0,'Boletins Nuppa Site'!I1298,"NULL")</f>
        <v>70</v>
      </c>
      <c r="G1298" s="1" t="str">
        <f>IF('Boletins Nuppa Site'!J1298&lt;&gt;0,'Boletins Nuppa Site'!J1298,"NULL")</f>
        <v>64.17</v>
      </c>
      <c r="H1298" s="1" t="str">
        <f>IF('Boletins Nuppa Site'!K1298&lt;&gt;0,'Boletins Nuppa Site'!K1298,"NULL")</f>
        <v>62.5</v>
      </c>
      <c r="J1298" s="1" t="str">
        <f t="shared" si="20"/>
        <v>INSERT INTO COTACAO (blt_id, pap_id, cot_prc_comum, cot_prc_min, cot_prc_max, cot_prc_med, cot_prc_mediana) VALUES (34, 25, 60, 60, 70, 64.17, 62.5);</v>
      </c>
    </row>
    <row r="1299" spans="1:10" x14ac:dyDescent="0.3">
      <c r="A1299" s="1">
        <v>1298</v>
      </c>
      <c r="B1299" s="1">
        <v>34</v>
      </c>
      <c r="C1299" s="1">
        <v>26</v>
      </c>
      <c r="D1299" s="19">
        <f>IF('Boletins Nuppa Site'!G1299&lt;&gt;0,'Boletins Nuppa Site'!G1299,"NULL")</f>
        <v>55</v>
      </c>
      <c r="E1299" s="19">
        <f>IF('Boletins Nuppa Site'!H1299&lt;&gt;0,'Boletins Nuppa Site'!H1299,"NULL")</f>
        <v>40</v>
      </c>
      <c r="F1299" s="19">
        <f>IF('Boletins Nuppa Site'!I1299&lt;&gt;0,'Boletins Nuppa Site'!I1299,"NULL")</f>
        <v>60</v>
      </c>
      <c r="G1299" s="1" t="str">
        <f>IF('Boletins Nuppa Site'!J1299&lt;&gt;0,'Boletins Nuppa Site'!J1299,"NULL")</f>
        <v>50.83</v>
      </c>
      <c r="H1299" s="1" t="str">
        <f>IF('Boletins Nuppa Site'!K1299&lt;&gt;0,'Boletins Nuppa Site'!K1299,"NULL")</f>
        <v>52.5</v>
      </c>
      <c r="J1299" s="1" t="str">
        <f t="shared" si="20"/>
        <v>INSERT INTO COTACAO (blt_id, pap_id, cot_prc_comum, cot_prc_min, cot_prc_max, cot_prc_med, cot_prc_mediana) VALUES (34, 26, 55, 40, 60, 50.83, 52.5);</v>
      </c>
    </row>
    <row r="1300" spans="1:10" x14ac:dyDescent="0.3">
      <c r="A1300" s="1">
        <v>1299</v>
      </c>
      <c r="B1300" s="1">
        <v>34</v>
      </c>
      <c r="C1300" s="1">
        <v>27</v>
      </c>
      <c r="D1300" s="19">
        <f>IF('Boletins Nuppa Site'!G1300&lt;&gt;0,'Boletins Nuppa Site'!G1300,"NULL")</f>
        <v>60</v>
      </c>
      <c r="E1300" s="19">
        <f>IF('Boletins Nuppa Site'!H1300&lt;&gt;0,'Boletins Nuppa Site'!H1300,"NULL")</f>
        <v>50</v>
      </c>
      <c r="F1300" s="19">
        <f>IF('Boletins Nuppa Site'!I1300&lt;&gt;0,'Boletins Nuppa Site'!I1300,"NULL")</f>
        <v>70</v>
      </c>
      <c r="G1300" s="1" t="str">
        <f>IF('Boletins Nuppa Site'!J1300&lt;&gt;0,'Boletins Nuppa Site'!J1300,"NULL")</f>
        <v>62.5</v>
      </c>
      <c r="H1300" s="1" t="str">
        <f>IF('Boletins Nuppa Site'!K1300&lt;&gt;0,'Boletins Nuppa Site'!K1300,"NULL")</f>
        <v>62.5</v>
      </c>
      <c r="J1300" s="1" t="str">
        <f t="shared" si="20"/>
        <v>INSERT INTO COTACAO (blt_id, pap_id, cot_prc_comum, cot_prc_min, cot_prc_max, cot_prc_med, cot_prc_mediana) VALUES (34, 27, 60, 50, 70, 62.5, 62.5);</v>
      </c>
    </row>
    <row r="1301" spans="1:10" x14ac:dyDescent="0.3">
      <c r="A1301" s="1">
        <v>1300</v>
      </c>
      <c r="B1301" s="1">
        <v>34</v>
      </c>
      <c r="C1301" s="1">
        <v>28</v>
      </c>
      <c r="D1301" s="19">
        <f>IF('Boletins Nuppa Site'!G1301&lt;&gt;0,'Boletins Nuppa Site'!G1301,"NULL")</f>
        <v>100</v>
      </c>
      <c r="E1301" s="19">
        <f>IF('Boletins Nuppa Site'!H1301&lt;&gt;0,'Boletins Nuppa Site'!H1301,"NULL")</f>
        <v>80</v>
      </c>
      <c r="F1301" s="19">
        <f>IF('Boletins Nuppa Site'!I1301&lt;&gt;0,'Boletins Nuppa Site'!I1301,"NULL")</f>
        <v>120</v>
      </c>
      <c r="G1301" s="19">
        <f>IF('Boletins Nuppa Site'!J1301&lt;&gt;0,'Boletins Nuppa Site'!J1301,"NULL")</f>
        <v>98</v>
      </c>
      <c r="H1301" s="19">
        <f>IF('Boletins Nuppa Site'!K1301&lt;&gt;0,'Boletins Nuppa Site'!K1301,"NULL")</f>
        <v>100</v>
      </c>
      <c r="J1301" s="1" t="str">
        <f t="shared" si="20"/>
        <v>INSERT INTO COTACAO (blt_id, pap_id, cot_prc_comum, cot_prc_min, cot_prc_max, cot_prc_med, cot_prc_mediana) VALUES (34, 28, 100, 80, 120, 98, 100);</v>
      </c>
    </row>
    <row r="1302" spans="1:10" x14ac:dyDescent="0.3">
      <c r="A1302" s="1">
        <v>1301</v>
      </c>
      <c r="B1302" s="1">
        <v>34</v>
      </c>
      <c r="C1302" s="1">
        <v>29</v>
      </c>
      <c r="D1302" s="1" t="str">
        <f>IF('Boletins Nuppa Site'!G1302&lt;&gt;0,'Boletins Nuppa Site'!G1302,"NULL")</f>
        <v>NULL</v>
      </c>
      <c r="E1302" s="19">
        <f>IF('Boletins Nuppa Site'!H1302&lt;&gt;0,'Boletins Nuppa Site'!H1302,"NULL")</f>
        <v>40</v>
      </c>
      <c r="F1302" s="19">
        <f>IF('Boletins Nuppa Site'!I1302&lt;&gt;0,'Boletins Nuppa Site'!I1302,"NULL")</f>
        <v>50</v>
      </c>
      <c r="G1302" s="19">
        <f>IF('Boletins Nuppa Site'!J1302&lt;&gt;0,'Boletins Nuppa Site'!J1302,"NULL")</f>
        <v>45</v>
      </c>
      <c r="H1302" s="19">
        <f>IF('Boletins Nuppa Site'!K1302&lt;&gt;0,'Boletins Nuppa Site'!K1302,"NULL")</f>
        <v>45</v>
      </c>
      <c r="J1302" s="1" t="str">
        <f t="shared" si="20"/>
        <v>INSERT INTO COTACAO (blt_id, pap_id, cot_prc_comum, cot_prc_min, cot_prc_max, cot_prc_med, cot_prc_mediana) VALUES (34, 29, NULL, 40, 50, 45, 45);</v>
      </c>
    </row>
    <row r="1303" spans="1:10" x14ac:dyDescent="0.3">
      <c r="A1303" s="1">
        <v>1302</v>
      </c>
      <c r="B1303" s="1">
        <v>34</v>
      </c>
      <c r="C1303" s="1">
        <v>30</v>
      </c>
      <c r="D1303" s="19">
        <f>IF('Boletins Nuppa Site'!G1303&lt;&gt;0,'Boletins Nuppa Site'!G1303,"NULL")</f>
        <v>100</v>
      </c>
      <c r="E1303" s="19">
        <f>IF('Boletins Nuppa Site'!H1303&lt;&gt;0,'Boletins Nuppa Site'!H1303,"NULL")</f>
        <v>90</v>
      </c>
      <c r="F1303" s="19">
        <f>IF('Boletins Nuppa Site'!I1303&lt;&gt;0,'Boletins Nuppa Site'!I1303,"NULL")</f>
        <v>100</v>
      </c>
      <c r="G1303" s="1" t="str">
        <f>IF('Boletins Nuppa Site'!J1303&lt;&gt;0,'Boletins Nuppa Site'!J1303,"NULL")</f>
        <v>96.67</v>
      </c>
      <c r="H1303" s="19">
        <f>IF('Boletins Nuppa Site'!K1303&lt;&gt;0,'Boletins Nuppa Site'!K1303,"NULL")</f>
        <v>100</v>
      </c>
      <c r="J1303" s="1" t="str">
        <f t="shared" si="20"/>
        <v>INSERT INTO COTACAO (blt_id, pap_id, cot_prc_comum, cot_prc_min, cot_prc_max, cot_prc_med, cot_prc_mediana) VALUES (34, 30, 100, 90, 100, 96.67, 100);</v>
      </c>
    </row>
    <row r="1304" spans="1:10" x14ac:dyDescent="0.3">
      <c r="A1304" s="1">
        <v>1303</v>
      </c>
      <c r="B1304" s="1">
        <v>34</v>
      </c>
      <c r="C1304" s="1">
        <v>31</v>
      </c>
      <c r="D1304" s="19">
        <f>IF('Boletins Nuppa Site'!G1304&lt;&gt;0,'Boletins Nuppa Site'!G1304,"NULL")</f>
        <v>140</v>
      </c>
      <c r="E1304" s="19">
        <f>IF('Boletins Nuppa Site'!H1304&lt;&gt;0,'Boletins Nuppa Site'!H1304,"NULL")</f>
        <v>80</v>
      </c>
      <c r="F1304" s="19">
        <f>IF('Boletins Nuppa Site'!I1304&lt;&gt;0,'Boletins Nuppa Site'!I1304,"NULL")</f>
        <v>140</v>
      </c>
      <c r="G1304" s="1" t="str">
        <f>IF('Boletins Nuppa Site'!J1304&lt;&gt;0,'Boletins Nuppa Site'!J1304,"NULL")</f>
        <v>121.67</v>
      </c>
      <c r="H1304" s="19">
        <f>IF('Boletins Nuppa Site'!K1304&lt;&gt;0,'Boletins Nuppa Site'!K1304,"NULL")</f>
        <v>135</v>
      </c>
      <c r="J1304" s="1" t="str">
        <f t="shared" si="20"/>
        <v>INSERT INTO COTACAO (blt_id, pap_id, cot_prc_comum, cot_prc_min, cot_prc_max, cot_prc_med, cot_prc_mediana) VALUES (34, 31, 140, 80, 140, 121.67, 135);</v>
      </c>
    </row>
    <row r="1305" spans="1:10" x14ac:dyDescent="0.3">
      <c r="A1305" s="1">
        <v>1304</v>
      </c>
      <c r="B1305" s="1">
        <v>34</v>
      </c>
      <c r="C1305" s="1">
        <v>32</v>
      </c>
      <c r="D1305" s="19">
        <f>IF('Boletins Nuppa Site'!G1305&lt;&gt;0,'Boletins Nuppa Site'!G1305,"NULL")</f>
        <v>50</v>
      </c>
      <c r="E1305" s="19">
        <f>IF('Boletins Nuppa Site'!H1305&lt;&gt;0,'Boletins Nuppa Site'!H1305,"NULL")</f>
        <v>50</v>
      </c>
      <c r="F1305" s="19">
        <f>IF('Boletins Nuppa Site'!I1305&lt;&gt;0,'Boletins Nuppa Site'!I1305,"NULL")</f>
        <v>80</v>
      </c>
      <c r="G1305" s="1" t="str">
        <f>IF('Boletins Nuppa Site'!J1305&lt;&gt;0,'Boletins Nuppa Site'!J1305,"NULL")</f>
        <v>55.83</v>
      </c>
      <c r="H1305" s="19">
        <f>IF('Boletins Nuppa Site'!K1305&lt;&gt;0,'Boletins Nuppa Site'!K1305,"NULL")</f>
        <v>50</v>
      </c>
      <c r="J1305" s="1" t="str">
        <f t="shared" si="20"/>
        <v>INSERT INTO COTACAO (blt_id, pap_id, cot_prc_comum, cot_prc_min, cot_prc_max, cot_prc_med, cot_prc_mediana) VALUES (34, 32, 50, 50, 80, 55.83, 50);</v>
      </c>
    </row>
    <row r="1306" spans="1:10" x14ac:dyDescent="0.3">
      <c r="A1306" s="1">
        <v>1305</v>
      </c>
      <c r="B1306" s="1">
        <v>34</v>
      </c>
      <c r="C1306" s="1">
        <v>33</v>
      </c>
      <c r="D1306" s="19">
        <f>IF('Boletins Nuppa Site'!G1306&lt;&gt;0,'Boletins Nuppa Site'!G1306,"NULL")</f>
        <v>140</v>
      </c>
      <c r="E1306" s="19">
        <f>IF('Boletins Nuppa Site'!H1306&lt;&gt;0,'Boletins Nuppa Site'!H1306,"NULL")</f>
        <v>50</v>
      </c>
      <c r="F1306" s="19">
        <f>IF('Boletins Nuppa Site'!I1306&lt;&gt;0,'Boletins Nuppa Site'!I1306,"NULL")</f>
        <v>150</v>
      </c>
      <c r="G1306" s="1" t="str">
        <f>IF('Boletins Nuppa Site'!J1306&lt;&gt;0,'Boletins Nuppa Site'!J1306,"NULL")</f>
        <v>123.33</v>
      </c>
      <c r="H1306" s="19">
        <f>IF('Boletins Nuppa Site'!K1306&lt;&gt;0,'Boletins Nuppa Site'!K1306,"NULL")</f>
        <v>135</v>
      </c>
      <c r="J1306" s="1" t="str">
        <f t="shared" si="20"/>
        <v>INSERT INTO COTACAO (blt_id, pap_id, cot_prc_comum, cot_prc_min, cot_prc_max, cot_prc_med, cot_prc_mediana) VALUES (34, 33, 140, 50, 150, 123.33, 135);</v>
      </c>
    </row>
    <row r="1307" spans="1:10" x14ac:dyDescent="0.3">
      <c r="A1307" s="1">
        <v>1306</v>
      </c>
      <c r="B1307" s="1">
        <v>34</v>
      </c>
      <c r="C1307" s="1">
        <v>34</v>
      </c>
      <c r="D1307" s="19">
        <f>IF('Boletins Nuppa Site'!G1307&lt;&gt;0,'Boletins Nuppa Site'!G1307,"NULL")</f>
        <v>70</v>
      </c>
      <c r="E1307" s="19">
        <f>IF('Boletins Nuppa Site'!H1307&lt;&gt;0,'Boletins Nuppa Site'!H1307,"NULL")</f>
        <v>50</v>
      </c>
      <c r="F1307" s="19">
        <f>IF('Boletins Nuppa Site'!I1307&lt;&gt;0,'Boletins Nuppa Site'!I1307,"NULL")</f>
        <v>80</v>
      </c>
      <c r="G1307" s="19">
        <f>IF('Boletins Nuppa Site'!J1307&lt;&gt;0,'Boletins Nuppa Site'!J1307,"NULL")</f>
        <v>65</v>
      </c>
      <c r="H1307" s="1" t="str">
        <f>IF('Boletins Nuppa Site'!K1307&lt;&gt;0,'Boletins Nuppa Site'!K1307,"NULL")</f>
        <v>67.5</v>
      </c>
      <c r="J1307" s="1" t="str">
        <f t="shared" si="20"/>
        <v>INSERT INTO COTACAO (blt_id, pap_id, cot_prc_comum, cot_prc_min, cot_prc_max, cot_prc_med, cot_prc_mediana) VALUES (34, 34, 70, 50, 80, 65, 67.5);</v>
      </c>
    </row>
    <row r="1308" spans="1:10" x14ac:dyDescent="0.3">
      <c r="A1308" s="1">
        <v>1307</v>
      </c>
      <c r="B1308" s="1">
        <v>34</v>
      </c>
      <c r="C1308" s="1">
        <v>35</v>
      </c>
      <c r="D1308" s="19">
        <f>IF('Boletins Nuppa Site'!G1308&lt;&gt;0,'Boletins Nuppa Site'!G1308,"NULL")</f>
        <v>130</v>
      </c>
      <c r="E1308" s="19">
        <f>IF('Boletins Nuppa Site'!H1308&lt;&gt;0,'Boletins Nuppa Site'!H1308,"NULL")</f>
        <v>120</v>
      </c>
      <c r="F1308" s="19">
        <f>IF('Boletins Nuppa Site'!I1308&lt;&gt;0,'Boletins Nuppa Site'!I1308,"NULL")</f>
        <v>150</v>
      </c>
      <c r="G1308" s="19">
        <f>IF('Boletins Nuppa Site'!J1308&lt;&gt;0,'Boletins Nuppa Site'!J1308,"NULL")</f>
        <v>130</v>
      </c>
      <c r="H1308" s="19">
        <f>IF('Boletins Nuppa Site'!K1308&lt;&gt;0,'Boletins Nuppa Site'!K1308,"NULL")</f>
        <v>130</v>
      </c>
      <c r="J1308" s="1" t="str">
        <f t="shared" si="20"/>
        <v>INSERT INTO COTACAO (blt_id, pap_id, cot_prc_comum, cot_prc_min, cot_prc_max, cot_prc_med, cot_prc_mediana) VALUES (34, 35, 130, 120, 150, 130, 130);</v>
      </c>
    </row>
    <row r="1309" spans="1:10" x14ac:dyDescent="0.3">
      <c r="A1309" s="1">
        <v>1308</v>
      </c>
      <c r="B1309" s="1">
        <v>34</v>
      </c>
      <c r="C1309" s="1">
        <v>36</v>
      </c>
      <c r="D1309" s="1" t="str">
        <f>IF('Boletins Nuppa Site'!G1309&lt;&gt;0,'Boletins Nuppa Site'!G1309,"NULL")</f>
        <v>NULL</v>
      </c>
      <c r="E1309" s="1" t="str">
        <f>IF('Boletins Nuppa Site'!H1309&lt;&gt;0,'Boletins Nuppa Site'!H1309,"NULL")</f>
        <v>NULL</v>
      </c>
      <c r="F1309" s="1" t="str">
        <f>IF('Boletins Nuppa Site'!I1309&lt;&gt;0,'Boletins Nuppa Site'!I1309,"NULL")</f>
        <v>NULL</v>
      </c>
      <c r="G1309" s="1" t="str">
        <f>IF('Boletins Nuppa Site'!J1309&lt;&gt;0,'Boletins Nuppa Site'!J1309,"NULL")</f>
        <v>NULL</v>
      </c>
      <c r="H1309" s="1" t="str">
        <f>IF('Boletins Nuppa Site'!K1309&lt;&gt;0,'Boletins Nuppa Site'!K1309,"NULL")</f>
        <v>NULL</v>
      </c>
      <c r="J1309" s="1" t="str">
        <f t="shared" si="20"/>
        <v>INSERT INTO COTACAO (blt_id, pap_id, cot_prc_comum, cot_prc_min, cot_prc_max, cot_prc_med, cot_prc_mediana) VALUES (34, 36, NULL, NULL, NULL, NULL, NULL);</v>
      </c>
    </row>
    <row r="1310" spans="1:10" x14ac:dyDescent="0.3">
      <c r="A1310" s="1">
        <v>1309</v>
      </c>
      <c r="B1310" s="1">
        <v>34</v>
      </c>
      <c r="C1310" s="1">
        <v>37</v>
      </c>
      <c r="D1310" s="1" t="str">
        <f>IF('Boletins Nuppa Site'!G1310&lt;&gt;0,'Boletins Nuppa Site'!G1310,"NULL")</f>
        <v>NULL</v>
      </c>
      <c r="E1310" s="1" t="str">
        <f>IF('Boletins Nuppa Site'!H1310&lt;&gt;0,'Boletins Nuppa Site'!H1310,"NULL")</f>
        <v>NULL</v>
      </c>
      <c r="F1310" s="1" t="str">
        <f>IF('Boletins Nuppa Site'!I1310&lt;&gt;0,'Boletins Nuppa Site'!I1310,"NULL")</f>
        <v>NULL</v>
      </c>
      <c r="G1310" s="1" t="str">
        <f>IF('Boletins Nuppa Site'!J1310&lt;&gt;0,'Boletins Nuppa Site'!J1310,"NULL")</f>
        <v>NULL</v>
      </c>
      <c r="H1310" s="1" t="str">
        <f>IF('Boletins Nuppa Site'!K1310&lt;&gt;0,'Boletins Nuppa Site'!K1310,"NULL")</f>
        <v>NULL</v>
      </c>
      <c r="J1310" s="1" t="str">
        <f t="shared" si="20"/>
        <v>INSERT INTO COTACAO (blt_id, pap_id, cot_prc_comum, cot_prc_min, cot_prc_max, cot_prc_med, cot_prc_mediana) VALUES (34, 37, NULL, NULL, NULL, NULL, NULL);</v>
      </c>
    </row>
    <row r="1311" spans="1:10" x14ac:dyDescent="0.3">
      <c r="A1311" s="1">
        <v>1310</v>
      </c>
      <c r="B1311" s="1">
        <v>34</v>
      </c>
      <c r="C1311" s="1">
        <v>38</v>
      </c>
      <c r="D1311" s="1" t="str">
        <f>IF('Boletins Nuppa Site'!G1311&lt;&gt;0,'Boletins Nuppa Site'!G1311,"NULL")</f>
        <v>NULL</v>
      </c>
      <c r="E1311" s="1" t="str">
        <f>IF('Boletins Nuppa Site'!H1311&lt;&gt;0,'Boletins Nuppa Site'!H1311,"NULL")</f>
        <v>NULL</v>
      </c>
      <c r="F1311" s="1" t="str">
        <f>IF('Boletins Nuppa Site'!I1311&lt;&gt;0,'Boletins Nuppa Site'!I1311,"NULL")</f>
        <v>NULL</v>
      </c>
      <c r="G1311" s="1" t="str">
        <f>IF('Boletins Nuppa Site'!J1311&lt;&gt;0,'Boletins Nuppa Site'!J1311,"NULL")</f>
        <v>NULL</v>
      </c>
      <c r="H1311" s="1" t="str">
        <f>IF('Boletins Nuppa Site'!K1311&lt;&gt;0,'Boletins Nuppa Site'!K1311,"NULL")</f>
        <v>NULL</v>
      </c>
      <c r="J1311" s="1" t="str">
        <f t="shared" si="20"/>
        <v>INSERT INTO COTACAO (blt_id, pap_id, cot_prc_comum, cot_prc_min, cot_prc_max, cot_prc_med, cot_prc_mediana) VALUES (34, 38, NULL, NULL, NULL, NULL, NULL);</v>
      </c>
    </row>
    <row r="1312" spans="1:10" x14ac:dyDescent="0.3">
      <c r="A1312" s="1">
        <v>1311</v>
      </c>
      <c r="B1312" s="1">
        <v>34</v>
      </c>
      <c r="C1312" s="1">
        <v>39</v>
      </c>
      <c r="D1312" s="1" t="str">
        <f>IF('Boletins Nuppa Site'!G1312&lt;&gt;0,'Boletins Nuppa Site'!G1312,"NULL")</f>
        <v>NULL</v>
      </c>
      <c r="E1312" s="19">
        <f>IF('Boletins Nuppa Site'!H1312&lt;&gt;0,'Boletins Nuppa Site'!H1312,"NULL")</f>
        <v>50</v>
      </c>
      <c r="F1312" s="19">
        <f>IF('Boletins Nuppa Site'!I1312&lt;&gt;0,'Boletins Nuppa Site'!I1312,"NULL")</f>
        <v>50</v>
      </c>
      <c r="G1312" s="19">
        <f>IF('Boletins Nuppa Site'!J1312&lt;&gt;0,'Boletins Nuppa Site'!J1312,"NULL")</f>
        <v>50</v>
      </c>
      <c r="H1312" s="19">
        <f>IF('Boletins Nuppa Site'!K1312&lt;&gt;0,'Boletins Nuppa Site'!K1312,"NULL")</f>
        <v>50</v>
      </c>
      <c r="J1312" s="1" t="str">
        <f t="shared" si="20"/>
        <v>INSERT INTO COTACAO (blt_id, pap_id, cot_prc_comum, cot_prc_min, cot_prc_max, cot_prc_med, cot_prc_mediana) VALUES (34, 39, NULL, 50, 50, 50, 50);</v>
      </c>
    </row>
    <row r="1313" spans="1:10" x14ac:dyDescent="0.3">
      <c r="A1313" s="1">
        <v>1312</v>
      </c>
      <c r="B1313" s="1">
        <v>34</v>
      </c>
      <c r="C1313" s="1">
        <v>40</v>
      </c>
      <c r="D1313" s="1" t="str">
        <f>IF('Boletins Nuppa Site'!G1313&lt;&gt;0,'Boletins Nuppa Site'!G1313,"NULL")</f>
        <v>NULL</v>
      </c>
      <c r="E1313" s="1" t="str">
        <f>IF('Boletins Nuppa Site'!H1313&lt;&gt;0,'Boletins Nuppa Site'!H1313,"NULL")</f>
        <v>NULL</v>
      </c>
      <c r="F1313" s="1" t="str">
        <f>IF('Boletins Nuppa Site'!I1313&lt;&gt;0,'Boletins Nuppa Site'!I1313,"NULL")</f>
        <v>NULL</v>
      </c>
      <c r="G1313" s="1" t="str">
        <f>IF('Boletins Nuppa Site'!J1313&lt;&gt;0,'Boletins Nuppa Site'!J1313,"NULL")</f>
        <v>NULL</v>
      </c>
      <c r="H1313" s="1" t="str">
        <f>IF('Boletins Nuppa Site'!K1313&lt;&gt;0,'Boletins Nuppa Site'!K1313,"NULL")</f>
        <v>NULL</v>
      </c>
      <c r="J1313" s="1" t="str">
        <f t="shared" si="20"/>
        <v>INSERT INTO COTACAO (blt_id, pap_id, cot_prc_comum, cot_prc_min, cot_prc_max, cot_prc_med, cot_prc_mediana) VALUES (34, 40, NULL, NULL, NULL, NULL, NULL);</v>
      </c>
    </row>
    <row r="1314" spans="1:10" x14ac:dyDescent="0.3">
      <c r="A1314" s="1">
        <v>1313</v>
      </c>
      <c r="B1314" s="1">
        <v>35</v>
      </c>
      <c r="C1314" s="1">
        <v>1</v>
      </c>
      <c r="D1314" s="19">
        <f>IF('Boletins Nuppa Site'!G1314&lt;&gt;0,'Boletins Nuppa Site'!G1314,"NULL")</f>
        <v>36</v>
      </c>
      <c r="E1314" s="19">
        <f>IF('Boletins Nuppa Site'!H1314&lt;&gt;0,'Boletins Nuppa Site'!H1314,"NULL")</f>
        <v>30</v>
      </c>
      <c r="F1314" s="19">
        <f>IF('Boletins Nuppa Site'!I1314&lt;&gt;0,'Boletins Nuppa Site'!I1314,"NULL")</f>
        <v>48</v>
      </c>
      <c r="G1314" s="1" t="str">
        <f>IF('Boletins Nuppa Site'!J1314&lt;&gt;0,'Boletins Nuppa Site'!J1314,"NULL")</f>
        <v>39.6</v>
      </c>
      <c r="H1314" s="19">
        <f>IF('Boletins Nuppa Site'!K1314&lt;&gt;0,'Boletins Nuppa Site'!K1314,"NULL")</f>
        <v>36</v>
      </c>
      <c r="J1314" s="1" t="str">
        <f t="shared" si="20"/>
        <v>INSERT INTO COTACAO (blt_id, pap_id, cot_prc_comum, cot_prc_min, cot_prc_max, cot_prc_med, cot_prc_mediana) VALUES (35, 1, 36, 30, 48, 39.6, 36);</v>
      </c>
    </row>
    <row r="1315" spans="1:10" x14ac:dyDescent="0.3">
      <c r="A1315" s="1">
        <v>1314</v>
      </c>
      <c r="B1315" s="1">
        <v>35</v>
      </c>
      <c r="C1315" s="1">
        <v>2</v>
      </c>
      <c r="D1315" s="19">
        <f>IF('Boletins Nuppa Site'!G1315&lt;&gt;0,'Boletins Nuppa Site'!G1315,"NULL")</f>
        <v>60</v>
      </c>
      <c r="E1315" s="19">
        <f>IF('Boletins Nuppa Site'!H1315&lt;&gt;0,'Boletins Nuppa Site'!H1315,"NULL")</f>
        <v>60</v>
      </c>
      <c r="F1315" s="19">
        <f>IF('Boletins Nuppa Site'!I1315&lt;&gt;0,'Boletins Nuppa Site'!I1315,"NULL")</f>
        <v>72</v>
      </c>
      <c r="G1315" s="19">
        <f>IF('Boletins Nuppa Site'!J1315&lt;&gt;0,'Boletins Nuppa Site'!J1315,"NULL")</f>
        <v>64</v>
      </c>
      <c r="H1315" s="19">
        <f>IF('Boletins Nuppa Site'!K1315&lt;&gt;0,'Boletins Nuppa Site'!K1315,"NULL")</f>
        <v>60</v>
      </c>
      <c r="J1315" s="1" t="str">
        <f t="shared" si="20"/>
        <v>INSERT INTO COTACAO (blt_id, pap_id, cot_prc_comum, cot_prc_min, cot_prc_max, cot_prc_med, cot_prc_mediana) VALUES (35, 2, 60, 60, 72, 64, 60);</v>
      </c>
    </row>
    <row r="1316" spans="1:10" x14ac:dyDescent="0.3">
      <c r="A1316" s="1">
        <v>1315</v>
      </c>
      <c r="B1316" s="1">
        <v>35</v>
      </c>
      <c r="C1316" s="1">
        <v>3</v>
      </c>
      <c r="D1316" s="19">
        <f>IF('Boletins Nuppa Site'!G1316&lt;&gt;0,'Boletins Nuppa Site'!G1316,"NULL")</f>
        <v>30</v>
      </c>
      <c r="E1316" s="19">
        <f>IF('Boletins Nuppa Site'!H1316&lt;&gt;0,'Boletins Nuppa Site'!H1316,"NULL")</f>
        <v>25</v>
      </c>
      <c r="F1316" s="19">
        <f>IF('Boletins Nuppa Site'!I1316&lt;&gt;0,'Boletins Nuppa Site'!I1316,"NULL")</f>
        <v>36</v>
      </c>
      <c r="G1316" s="1" t="str">
        <f>IF('Boletins Nuppa Site'!J1316&lt;&gt;0,'Boletins Nuppa Site'!J1316,"NULL")</f>
        <v>30.25</v>
      </c>
      <c r="H1316" s="19">
        <f>IF('Boletins Nuppa Site'!K1316&lt;&gt;0,'Boletins Nuppa Site'!K1316,"NULL")</f>
        <v>30</v>
      </c>
      <c r="J1316" s="1" t="str">
        <f t="shared" si="20"/>
        <v>INSERT INTO COTACAO (blt_id, pap_id, cot_prc_comum, cot_prc_min, cot_prc_max, cot_prc_med, cot_prc_mediana) VALUES (35, 3, 30, 25, 36, 30.25, 30);</v>
      </c>
    </row>
    <row r="1317" spans="1:10" x14ac:dyDescent="0.3">
      <c r="A1317" s="1">
        <v>1316</v>
      </c>
      <c r="B1317" s="1">
        <v>35</v>
      </c>
      <c r="C1317" s="1">
        <v>4</v>
      </c>
      <c r="D1317" s="19">
        <f>IF('Boletins Nuppa Site'!G1317&lt;&gt;0,'Boletins Nuppa Site'!G1317,"NULL")</f>
        <v>18</v>
      </c>
      <c r="E1317" s="19">
        <f>IF('Boletins Nuppa Site'!H1317&lt;&gt;0,'Boletins Nuppa Site'!H1317,"NULL")</f>
        <v>18</v>
      </c>
      <c r="F1317" s="19">
        <f>IF('Boletins Nuppa Site'!I1317&lt;&gt;0,'Boletins Nuppa Site'!I1317,"NULL")</f>
        <v>30</v>
      </c>
      <c r="G1317" s="1" t="str">
        <f>IF('Boletins Nuppa Site'!J1317&lt;&gt;0,'Boletins Nuppa Site'!J1317,"NULL")</f>
        <v>22.5</v>
      </c>
      <c r="H1317" s="19">
        <f>IF('Boletins Nuppa Site'!K1317&lt;&gt;0,'Boletins Nuppa Site'!K1317,"NULL")</f>
        <v>21</v>
      </c>
      <c r="J1317" s="1" t="str">
        <f t="shared" si="20"/>
        <v>INSERT INTO COTACAO (blt_id, pap_id, cot_prc_comum, cot_prc_min, cot_prc_max, cot_prc_med, cot_prc_mediana) VALUES (35, 4, 18, 18, 30, 22.5, 21);</v>
      </c>
    </row>
    <row r="1318" spans="1:10" x14ac:dyDescent="0.3">
      <c r="A1318" s="1">
        <v>1317</v>
      </c>
      <c r="B1318" s="1">
        <v>35</v>
      </c>
      <c r="C1318" s="1">
        <v>5</v>
      </c>
      <c r="D1318" s="19">
        <f>IF('Boletins Nuppa Site'!G1318&lt;&gt;0,'Boletins Nuppa Site'!G1318,"NULL")</f>
        <v>18</v>
      </c>
      <c r="E1318" s="19">
        <f>IF('Boletins Nuppa Site'!H1318&lt;&gt;0,'Boletins Nuppa Site'!H1318,"NULL")</f>
        <v>18</v>
      </c>
      <c r="F1318" s="19">
        <f>IF('Boletins Nuppa Site'!I1318&lt;&gt;0,'Boletins Nuppa Site'!I1318,"NULL")</f>
        <v>30</v>
      </c>
      <c r="G1318" s="1" t="str">
        <f>IF('Boletins Nuppa Site'!J1318&lt;&gt;0,'Boletins Nuppa Site'!J1318,"NULL")</f>
        <v>22.5</v>
      </c>
      <c r="H1318" s="19">
        <f>IF('Boletins Nuppa Site'!K1318&lt;&gt;0,'Boletins Nuppa Site'!K1318,"NULL")</f>
        <v>21</v>
      </c>
      <c r="J1318" s="1" t="str">
        <f t="shared" si="20"/>
        <v>INSERT INTO COTACAO (blt_id, pap_id, cot_prc_comum, cot_prc_min, cot_prc_max, cot_prc_med, cot_prc_mediana) VALUES (35, 5, 18, 18, 30, 22.5, 21);</v>
      </c>
    </row>
    <row r="1319" spans="1:10" x14ac:dyDescent="0.3">
      <c r="A1319" s="1">
        <v>1318</v>
      </c>
      <c r="B1319" s="1">
        <v>35</v>
      </c>
      <c r="C1319" s="1">
        <v>6</v>
      </c>
      <c r="D1319" s="19">
        <f>IF('Boletins Nuppa Site'!G1319&lt;&gt;0,'Boletins Nuppa Site'!G1319,"NULL")</f>
        <v>60</v>
      </c>
      <c r="E1319" s="19">
        <f>IF('Boletins Nuppa Site'!H1319&lt;&gt;0,'Boletins Nuppa Site'!H1319,"NULL")</f>
        <v>48</v>
      </c>
      <c r="F1319" s="19">
        <f>IF('Boletins Nuppa Site'!I1319&lt;&gt;0,'Boletins Nuppa Site'!I1319,"NULL")</f>
        <v>60</v>
      </c>
      <c r="G1319" s="19">
        <f>IF('Boletins Nuppa Site'!J1319&lt;&gt;0,'Boletins Nuppa Site'!J1319,"NULL")</f>
        <v>54</v>
      </c>
      <c r="H1319" s="19">
        <f>IF('Boletins Nuppa Site'!K1319&lt;&gt;0,'Boletins Nuppa Site'!K1319,"NULL")</f>
        <v>54</v>
      </c>
      <c r="J1319" s="1" t="str">
        <f t="shared" si="20"/>
        <v>INSERT INTO COTACAO (blt_id, pap_id, cot_prc_comum, cot_prc_min, cot_prc_max, cot_prc_med, cot_prc_mediana) VALUES (35, 6, 60, 48, 60, 54, 54);</v>
      </c>
    </row>
    <row r="1320" spans="1:10" x14ac:dyDescent="0.3">
      <c r="A1320" s="1">
        <v>1319</v>
      </c>
      <c r="B1320" s="1">
        <v>35</v>
      </c>
      <c r="C1320" s="1">
        <v>7</v>
      </c>
      <c r="D1320" s="1" t="str">
        <f>IF('Boletins Nuppa Site'!G1320&lt;&gt;0,'Boletins Nuppa Site'!G1320,"NULL")</f>
        <v>NULL</v>
      </c>
      <c r="E1320" s="19">
        <f>IF('Boletins Nuppa Site'!H1320&lt;&gt;0,'Boletins Nuppa Site'!H1320,"NULL")</f>
        <v>48</v>
      </c>
      <c r="F1320" s="19">
        <f>IF('Boletins Nuppa Site'!I1320&lt;&gt;0,'Boletins Nuppa Site'!I1320,"NULL")</f>
        <v>72</v>
      </c>
      <c r="G1320" s="19">
        <f>IF('Boletins Nuppa Site'!J1320&lt;&gt;0,'Boletins Nuppa Site'!J1320,"NULL")</f>
        <v>58</v>
      </c>
      <c r="H1320" s="19">
        <f>IF('Boletins Nuppa Site'!K1320&lt;&gt;0,'Boletins Nuppa Site'!K1320,"NULL")</f>
        <v>54</v>
      </c>
      <c r="J1320" s="1" t="str">
        <f t="shared" si="20"/>
        <v>INSERT INTO COTACAO (blt_id, pap_id, cot_prc_comum, cot_prc_min, cot_prc_max, cot_prc_med, cot_prc_mediana) VALUES (35, 7, NULL, 48, 72, 58, 54);</v>
      </c>
    </row>
    <row r="1321" spans="1:10" x14ac:dyDescent="0.3">
      <c r="A1321" s="1">
        <v>1320</v>
      </c>
      <c r="B1321" s="1">
        <v>35</v>
      </c>
      <c r="C1321" s="1">
        <v>8</v>
      </c>
      <c r="D1321" s="19">
        <f>IF('Boletins Nuppa Site'!G1321&lt;&gt;0,'Boletins Nuppa Site'!G1321,"NULL")</f>
        <v>60</v>
      </c>
      <c r="E1321" s="19">
        <f>IF('Boletins Nuppa Site'!H1321&lt;&gt;0,'Boletins Nuppa Site'!H1321,"NULL")</f>
        <v>60</v>
      </c>
      <c r="F1321" s="19">
        <f>IF('Boletins Nuppa Site'!I1321&lt;&gt;0,'Boletins Nuppa Site'!I1321,"NULL")</f>
        <v>60</v>
      </c>
      <c r="G1321" s="19">
        <f>IF('Boletins Nuppa Site'!J1321&lt;&gt;0,'Boletins Nuppa Site'!J1321,"NULL")</f>
        <v>60</v>
      </c>
      <c r="H1321" s="19">
        <f>IF('Boletins Nuppa Site'!K1321&lt;&gt;0,'Boletins Nuppa Site'!K1321,"NULL")</f>
        <v>60</v>
      </c>
      <c r="J1321" s="1" t="str">
        <f t="shared" si="20"/>
        <v>INSERT INTO COTACAO (blt_id, pap_id, cot_prc_comum, cot_prc_min, cot_prc_max, cot_prc_med, cot_prc_mediana) VALUES (35, 8, 60, 60, 60, 60, 60);</v>
      </c>
    </row>
    <row r="1322" spans="1:10" x14ac:dyDescent="0.3">
      <c r="A1322" s="1">
        <v>1321</v>
      </c>
      <c r="B1322" s="1">
        <v>35</v>
      </c>
      <c r="C1322" s="1">
        <v>9</v>
      </c>
      <c r="D1322" s="19">
        <f>IF('Boletins Nuppa Site'!G1322&lt;&gt;0,'Boletins Nuppa Site'!G1322,"NULL")</f>
        <v>18</v>
      </c>
      <c r="E1322" s="19">
        <f>IF('Boletins Nuppa Site'!H1322&lt;&gt;0,'Boletins Nuppa Site'!H1322,"NULL")</f>
        <v>18</v>
      </c>
      <c r="F1322" s="19">
        <f>IF('Boletins Nuppa Site'!I1322&lt;&gt;0,'Boletins Nuppa Site'!I1322,"NULL")</f>
        <v>48</v>
      </c>
      <c r="G1322" s="1" t="str">
        <f>IF('Boletins Nuppa Site'!J1322&lt;&gt;0,'Boletins Nuppa Site'!J1322,"NULL")</f>
        <v>25.6</v>
      </c>
      <c r="H1322" s="19">
        <f>IF('Boletins Nuppa Site'!K1322&lt;&gt;0,'Boletins Nuppa Site'!K1322,"NULL")</f>
        <v>20</v>
      </c>
      <c r="J1322" s="1" t="str">
        <f t="shared" si="20"/>
        <v>INSERT INTO COTACAO (blt_id, pap_id, cot_prc_comum, cot_prc_min, cot_prc_max, cot_prc_med, cot_prc_mediana) VALUES (35, 9, 18, 18, 48, 25.6, 20);</v>
      </c>
    </row>
    <row r="1323" spans="1:10" x14ac:dyDescent="0.3">
      <c r="A1323" s="1">
        <v>1322</v>
      </c>
      <c r="B1323" s="1">
        <v>35</v>
      </c>
      <c r="C1323" s="1">
        <v>10</v>
      </c>
      <c r="D1323" s="19">
        <f>IF('Boletins Nuppa Site'!G1323&lt;&gt;0,'Boletins Nuppa Site'!G1323,"NULL")</f>
        <v>60</v>
      </c>
      <c r="E1323" s="19">
        <f>IF('Boletins Nuppa Site'!H1323&lt;&gt;0,'Boletins Nuppa Site'!H1323,"NULL")</f>
        <v>60</v>
      </c>
      <c r="F1323" s="19">
        <f>IF('Boletins Nuppa Site'!I1323&lt;&gt;0,'Boletins Nuppa Site'!I1323,"NULL")</f>
        <v>60</v>
      </c>
      <c r="G1323" s="19">
        <f>IF('Boletins Nuppa Site'!J1323&lt;&gt;0,'Boletins Nuppa Site'!J1323,"NULL")</f>
        <v>60</v>
      </c>
      <c r="H1323" s="19">
        <f>IF('Boletins Nuppa Site'!K1323&lt;&gt;0,'Boletins Nuppa Site'!K1323,"NULL")</f>
        <v>60</v>
      </c>
      <c r="J1323" s="1" t="str">
        <f t="shared" si="20"/>
        <v>INSERT INTO COTACAO (blt_id, pap_id, cot_prc_comum, cot_prc_min, cot_prc_max, cot_prc_med, cot_prc_mediana) VALUES (35, 10, 60, 60, 60, 60, 60);</v>
      </c>
    </row>
    <row r="1324" spans="1:10" x14ac:dyDescent="0.3">
      <c r="A1324" s="1">
        <v>1323</v>
      </c>
      <c r="B1324" s="1">
        <v>35</v>
      </c>
      <c r="C1324" s="1">
        <v>11</v>
      </c>
      <c r="D1324" s="19">
        <f>IF('Boletins Nuppa Site'!G1324&lt;&gt;0,'Boletins Nuppa Site'!G1324,"NULL")</f>
        <v>18</v>
      </c>
      <c r="E1324" s="19">
        <f>IF('Boletins Nuppa Site'!H1324&lt;&gt;0,'Boletins Nuppa Site'!H1324,"NULL")</f>
        <v>18</v>
      </c>
      <c r="F1324" s="19">
        <f>IF('Boletins Nuppa Site'!I1324&lt;&gt;0,'Boletins Nuppa Site'!I1324,"NULL")</f>
        <v>24</v>
      </c>
      <c r="G1324" s="1" t="str">
        <f>IF('Boletins Nuppa Site'!J1324&lt;&gt;0,'Boletins Nuppa Site'!J1324,"NULL")</f>
        <v>19.5</v>
      </c>
      <c r="H1324" s="19">
        <f>IF('Boletins Nuppa Site'!K1324&lt;&gt;0,'Boletins Nuppa Site'!K1324,"NULL")</f>
        <v>18</v>
      </c>
      <c r="J1324" s="1" t="str">
        <f t="shared" si="20"/>
        <v>INSERT INTO COTACAO (blt_id, pap_id, cot_prc_comum, cot_prc_min, cot_prc_max, cot_prc_med, cot_prc_mediana) VALUES (35, 11, 18, 18, 24, 19.5, 18);</v>
      </c>
    </row>
    <row r="1325" spans="1:10" x14ac:dyDescent="0.3">
      <c r="A1325" s="1">
        <v>1324</v>
      </c>
      <c r="B1325" s="1">
        <v>35</v>
      </c>
      <c r="C1325" s="1">
        <v>12</v>
      </c>
      <c r="D1325" s="19">
        <f>IF('Boletins Nuppa Site'!G1325&lt;&gt;0,'Boletins Nuppa Site'!G1325,"NULL")</f>
        <v>48</v>
      </c>
      <c r="E1325" s="19">
        <f>IF('Boletins Nuppa Site'!H1325&lt;&gt;0,'Boletins Nuppa Site'!H1325,"NULL")</f>
        <v>48</v>
      </c>
      <c r="F1325" s="19">
        <f>IF('Boletins Nuppa Site'!I1325&lt;&gt;0,'Boletins Nuppa Site'!I1325,"NULL")</f>
        <v>72</v>
      </c>
      <c r="G1325" s="19">
        <f>IF('Boletins Nuppa Site'!J1325&lt;&gt;0,'Boletins Nuppa Site'!J1325,"NULL")</f>
        <v>56</v>
      </c>
      <c r="H1325" s="19">
        <f>IF('Boletins Nuppa Site'!K1325&lt;&gt;0,'Boletins Nuppa Site'!K1325,"NULL")</f>
        <v>48</v>
      </c>
      <c r="J1325" s="1" t="str">
        <f t="shared" si="20"/>
        <v>INSERT INTO COTACAO (blt_id, pap_id, cot_prc_comum, cot_prc_min, cot_prc_max, cot_prc_med, cot_prc_mediana) VALUES (35, 12, 48, 48, 72, 56, 48);</v>
      </c>
    </row>
    <row r="1326" spans="1:10" x14ac:dyDescent="0.3">
      <c r="A1326" s="1">
        <v>1325</v>
      </c>
      <c r="B1326" s="1">
        <v>35</v>
      </c>
      <c r="C1326" s="1">
        <v>13</v>
      </c>
      <c r="D1326" s="19">
        <f>IF('Boletins Nuppa Site'!G1326&lt;&gt;0,'Boletins Nuppa Site'!G1326,"NULL")</f>
        <v>48</v>
      </c>
      <c r="E1326" s="19">
        <f>IF('Boletins Nuppa Site'!H1326&lt;&gt;0,'Boletins Nuppa Site'!H1326,"NULL")</f>
        <v>48</v>
      </c>
      <c r="F1326" s="19">
        <f>IF('Boletins Nuppa Site'!I1326&lt;&gt;0,'Boletins Nuppa Site'!I1326,"NULL")</f>
        <v>60</v>
      </c>
      <c r="G1326" s="19">
        <f>IF('Boletins Nuppa Site'!J1326&lt;&gt;0,'Boletins Nuppa Site'!J1326,"NULL")</f>
        <v>51</v>
      </c>
      <c r="H1326" s="19">
        <f>IF('Boletins Nuppa Site'!K1326&lt;&gt;0,'Boletins Nuppa Site'!K1326,"NULL")</f>
        <v>48</v>
      </c>
      <c r="J1326" s="1" t="str">
        <f t="shared" si="20"/>
        <v>INSERT INTO COTACAO (blt_id, pap_id, cot_prc_comum, cot_prc_min, cot_prc_max, cot_prc_med, cot_prc_mediana) VALUES (35, 13, 48, 48, 60, 51, 48);</v>
      </c>
    </row>
    <row r="1327" spans="1:10" x14ac:dyDescent="0.3">
      <c r="A1327" s="1">
        <v>1326</v>
      </c>
      <c r="B1327" s="1">
        <v>35</v>
      </c>
      <c r="C1327" s="1">
        <v>14</v>
      </c>
      <c r="D1327" s="19">
        <f>IF('Boletins Nuppa Site'!G1327&lt;&gt;0,'Boletins Nuppa Site'!G1327,"NULL")</f>
        <v>48</v>
      </c>
      <c r="E1327" s="19">
        <f>IF('Boletins Nuppa Site'!H1327&lt;&gt;0,'Boletins Nuppa Site'!H1327,"NULL")</f>
        <v>48</v>
      </c>
      <c r="F1327" s="19">
        <f>IF('Boletins Nuppa Site'!I1327&lt;&gt;0,'Boletins Nuppa Site'!I1327,"NULL")</f>
        <v>72</v>
      </c>
      <c r="G1327" s="19">
        <f>IF('Boletins Nuppa Site'!J1327&lt;&gt;0,'Boletins Nuppa Site'!J1327,"NULL")</f>
        <v>57</v>
      </c>
      <c r="H1327" s="19">
        <f>IF('Boletins Nuppa Site'!K1327&lt;&gt;0,'Boletins Nuppa Site'!K1327,"NULL")</f>
        <v>54</v>
      </c>
      <c r="J1327" s="1" t="str">
        <f t="shared" si="20"/>
        <v>INSERT INTO COTACAO (blt_id, pap_id, cot_prc_comum, cot_prc_min, cot_prc_max, cot_prc_med, cot_prc_mediana) VALUES (35, 14, 48, 48, 72, 57, 54);</v>
      </c>
    </row>
    <row r="1328" spans="1:10" x14ac:dyDescent="0.3">
      <c r="A1328" s="1">
        <v>1327</v>
      </c>
      <c r="B1328" s="1">
        <v>35</v>
      </c>
      <c r="C1328" s="1">
        <v>15</v>
      </c>
      <c r="D1328" s="19">
        <f>IF('Boletins Nuppa Site'!G1328&lt;&gt;0,'Boletins Nuppa Site'!G1328,"NULL")</f>
        <v>36</v>
      </c>
      <c r="E1328" s="19">
        <f>IF('Boletins Nuppa Site'!H1328&lt;&gt;0,'Boletins Nuppa Site'!H1328,"NULL")</f>
        <v>24</v>
      </c>
      <c r="F1328" s="19">
        <f>IF('Boletins Nuppa Site'!I1328&lt;&gt;0,'Boletins Nuppa Site'!I1328,"NULL")</f>
        <v>40</v>
      </c>
      <c r="G1328" s="19">
        <f>IF('Boletins Nuppa Site'!J1328&lt;&gt;0,'Boletins Nuppa Site'!J1328,"NULL")</f>
        <v>32</v>
      </c>
      <c r="H1328" s="19">
        <f>IF('Boletins Nuppa Site'!K1328&lt;&gt;0,'Boletins Nuppa Site'!K1328,"NULL")</f>
        <v>36</v>
      </c>
      <c r="J1328" s="1" t="str">
        <f t="shared" si="20"/>
        <v>INSERT INTO COTACAO (blt_id, pap_id, cot_prc_comum, cot_prc_min, cot_prc_max, cot_prc_med, cot_prc_mediana) VALUES (35, 15, 36, 24, 40, 32, 36);</v>
      </c>
    </row>
    <row r="1329" spans="1:10" x14ac:dyDescent="0.3">
      <c r="A1329" s="1">
        <v>1328</v>
      </c>
      <c r="B1329" s="1">
        <v>35</v>
      </c>
      <c r="C1329" s="1">
        <v>16</v>
      </c>
      <c r="D1329" s="19">
        <f>IF('Boletins Nuppa Site'!G1329&lt;&gt;0,'Boletins Nuppa Site'!G1329,"NULL")</f>
        <v>48</v>
      </c>
      <c r="E1329" s="19">
        <f>IF('Boletins Nuppa Site'!H1329&lt;&gt;0,'Boletins Nuppa Site'!H1329,"NULL")</f>
        <v>42</v>
      </c>
      <c r="F1329" s="19">
        <f>IF('Boletins Nuppa Site'!I1329&lt;&gt;0,'Boletins Nuppa Site'!I1329,"NULL")</f>
        <v>48</v>
      </c>
      <c r="G1329" s="1" t="str">
        <f>IF('Boletins Nuppa Site'!J1329&lt;&gt;0,'Boletins Nuppa Site'!J1329,"NULL")</f>
        <v>46.5</v>
      </c>
      <c r="H1329" s="19">
        <f>IF('Boletins Nuppa Site'!K1329&lt;&gt;0,'Boletins Nuppa Site'!K1329,"NULL")</f>
        <v>48</v>
      </c>
      <c r="J1329" s="1" t="str">
        <f t="shared" si="20"/>
        <v>INSERT INTO COTACAO (blt_id, pap_id, cot_prc_comum, cot_prc_min, cot_prc_max, cot_prc_med, cot_prc_mediana) VALUES (35, 16, 48, 42, 48, 46.5, 48);</v>
      </c>
    </row>
    <row r="1330" spans="1:10" x14ac:dyDescent="0.3">
      <c r="A1330" s="1">
        <v>1329</v>
      </c>
      <c r="B1330" s="1">
        <v>35</v>
      </c>
      <c r="C1330" s="1">
        <v>17</v>
      </c>
      <c r="D1330" s="19">
        <f>IF('Boletins Nuppa Site'!G1330&lt;&gt;0,'Boletins Nuppa Site'!G1330,"NULL")</f>
        <v>5</v>
      </c>
      <c r="E1330" s="19">
        <f>IF('Boletins Nuppa Site'!H1330&lt;&gt;0,'Boletins Nuppa Site'!H1330,"NULL")</f>
        <v>4</v>
      </c>
      <c r="F1330" s="19">
        <f>IF('Boletins Nuppa Site'!I1330&lt;&gt;0,'Boletins Nuppa Site'!I1330,"NULL")</f>
        <v>5</v>
      </c>
      <c r="G1330" s="1" t="str">
        <f>IF('Boletins Nuppa Site'!J1330&lt;&gt;0,'Boletins Nuppa Site'!J1330,"NULL")</f>
        <v>4.67</v>
      </c>
      <c r="H1330" s="19">
        <f>IF('Boletins Nuppa Site'!K1330&lt;&gt;0,'Boletins Nuppa Site'!K1330,"NULL")</f>
        <v>5</v>
      </c>
      <c r="J1330" s="1" t="str">
        <f t="shared" si="20"/>
        <v>INSERT INTO COTACAO (blt_id, pap_id, cot_prc_comum, cot_prc_min, cot_prc_max, cot_prc_med, cot_prc_mediana) VALUES (35, 17, 5, 4, 5, 4.67, 5);</v>
      </c>
    </row>
    <row r="1331" spans="1:10" x14ac:dyDescent="0.3">
      <c r="A1331" s="1">
        <v>1330</v>
      </c>
      <c r="B1331" s="1">
        <v>35</v>
      </c>
      <c r="C1331" s="1">
        <v>18</v>
      </c>
      <c r="D1331" s="19">
        <f>IF('Boletins Nuppa Site'!G1331&lt;&gt;0,'Boletins Nuppa Site'!G1331,"NULL")</f>
        <v>10</v>
      </c>
      <c r="E1331" s="19">
        <f>IF('Boletins Nuppa Site'!H1331&lt;&gt;0,'Boletins Nuppa Site'!H1331,"NULL")</f>
        <v>10</v>
      </c>
      <c r="F1331" s="19">
        <f>IF('Boletins Nuppa Site'!I1331&lt;&gt;0,'Boletins Nuppa Site'!I1331,"NULL")</f>
        <v>15</v>
      </c>
      <c r="G1331" s="1" t="str">
        <f>IF('Boletins Nuppa Site'!J1331&lt;&gt;0,'Boletins Nuppa Site'!J1331,"NULL")</f>
        <v>11.75</v>
      </c>
      <c r="H1331" s="19">
        <f>IF('Boletins Nuppa Site'!K1331&lt;&gt;0,'Boletins Nuppa Site'!K1331,"NULL")</f>
        <v>11</v>
      </c>
      <c r="J1331" s="1" t="str">
        <f t="shared" si="20"/>
        <v>INSERT INTO COTACAO (blt_id, pap_id, cot_prc_comum, cot_prc_min, cot_prc_max, cot_prc_med, cot_prc_mediana) VALUES (35, 18, 10, 10, 15, 11.75, 11);</v>
      </c>
    </row>
    <row r="1332" spans="1:10" x14ac:dyDescent="0.3">
      <c r="A1332" s="1">
        <v>1331</v>
      </c>
      <c r="B1332" s="1">
        <v>35</v>
      </c>
      <c r="C1332" s="1">
        <v>19</v>
      </c>
      <c r="D1332" s="19">
        <f>IF('Boletins Nuppa Site'!G1332&lt;&gt;0,'Boletins Nuppa Site'!G1332,"NULL")</f>
        <v>20</v>
      </c>
      <c r="E1332" s="19">
        <f>IF('Boletins Nuppa Site'!H1332&lt;&gt;0,'Boletins Nuppa Site'!H1332,"NULL")</f>
        <v>20</v>
      </c>
      <c r="F1332" s="19">
        <f>IF('Boletins Nuppa Site'!I1332&lt;&gt;0,'Boletins Nuppa Site'!I1332,"NULL")</f>
        <v>25</v>
      </c>
      <c r="G1332" s="1" t="str">
        <f>IF('Boletins Nuppa Site'!J1332&lt;&gt;0,'Boletins Nuppa Site'!J1332,"NULL")</f>
        <v>21.25</v>
      </c>
      <c r="H1332" s="19">
        <f>IF('Boletins Nuppa Site'!K1332&lt;&gt;0,'Boletins Nuppa Site'!K1332,"NULL")</f>
        <v>20</v>
      </c>
      <c r="J1332" s="1" t="str">
        <f t="shared" si="20"/>
        <v>INSERT INTO COTACAO (blt_id, pap_id, cot_prc_comum, cot_prc_min, cot_prc_max, cot_prc_med, cot_prc_mediana) VALUES (35, 19, 20, 20, 25, 21.25, 20);</v>
      </c>
    </row>
    <row r="1333" spans="1:10" x14ac:dyDescent="0.3">
      <c r="A1333" s="1">
        <v>1332</v>
      </c>
      <c r="B1333" s="1">
        <v>35</v>
      </c>
      <c r="C1333" s="1">
        <v>20</v>
      </c>
      <c r="D1333" s="1" t="str">
        <f>IF('Boletins Nuppa Site'!G1333&lt;&gt;0,'Boletins Nuppa Site'!G1333,"NULL")</f>
        <v>NULL</v>
      </c>
      <c r="E1333" s="19">
        <f>IF('Boletins Nuppa Site'!H1333&lt;&gt;0,'Boletins Nuppa Site'!H1333,"NULL")</f>
        <v>80</v>
      </c>
      <c r="F1333" s="19">
        <f>IF('Boletins Nuppa Site'!I1333&lt;&gt;0,'Boletins Nuppa Site'!I1333,"NULL")</f>
        <v>85</v>
      </c>
      <c r="G1333" s="1" t="str">
        <f>IF('Boletins Nuppa Site'!J1333&lt;&gt;0,'Boletins Nuppa Site'!J1333,"NULL")</f>
        <v>82.5</v>
      </c>
      <c r="H1333" s="1" t="str">
        <f>IF('Boletins Nuppa Site'!K1333&lt;&gt;0,'Boletins Nuppa Site'!K1333,"NULL")</f>
        <v>82.5</v>
      </c>
      <c r="J1333" s="1" t="str">
        <f t="shared" si="20"/>
        <v>INSERT INTO COTACAO (blt_id, pap_id, cot_prc_comum, cot_prc_min, cot_prc_max, cot_prc_med, cot_prc_mediana) VALUES (35, 20, NULL, 80, 85, 82.5, 82.5);</v>
      </c>
    </row>
    <row r="1334" spans="1:10" x14ac:dyDescent="0.3">
      <c r="A1334" s="1">
        <v>1333</v>
      </c>
      <c r="B1334" s="1">
        <v>35</v>
      </c>
      <c r="C1334" s="1">
        <v>21</v>
      </c>
      <c r="D1334" s="19">
        <f>IF('Boletins Nuppa Site'!G1334&lt;&gt;0,'Boletins Nuppa Site'!G1334,"NULL")</f>
        <v>35</v>
      </c>
      <c r="E1334" s="19">
        <f>IF('Boletins Nuppa Site'!H1334&lt;&gt;0,'Boletins Nuppa Site'!H1334,"NULL")</f>
        <v>35</v>
      </c>
      <c r="F1334" s="19">
        <f>IF('Boletins Nuppa Site'!I1334&lt;&gt;0,'Boletins Nuppa Site'!I1334,"NULL")</f>
        <v>50</v>
      </c>
      <c r="G1334" s="19">
        <f>IF('Boletins Nuppa Site'!J1334&lt;&gt;0,'Boletins Nuppa Site'!J1334,"NULL")</f>
        <v>42</v>
      </c>
      <c r="H1334" s="19">
        <f>IF('Boletins Nuppa Site'!K1334&lt;&gt;0,'Boletins Nuppa Site'!K1334,"NULL")</f>
        <v>45</v>
      </c>
      <c r="J1334" s="1" t="str">
        <f t="shared" si="20"/>
        <v>INSERT INTO COTACAO (blt_id, pap_id, cot_prc_comum, cot_prc_min, cot_prc_max, cot_prc_med, cot_prc_mediana) VALUES (35, 21, 35, 35, 50, 42, 45);</v>
      </c>
    </row>
    <row r="1335" spans="1:10" x14ac:dyDescent="0.3">
      <c r="A1335" s="1">
        <v>1334</v>
      </c>
      <c r="B1335" s="1">
        <v>35</v>
      </c>
      <c r="C1335" s="1">
        <v>22</v>
      </c>
      <c r="D1335" s="19">
        <f>IF('Boletins Nuppa Site'!G1335&lt;&gt;0,'Boletins Nuppa Site'!G1335,"NULL")</f>
        <v>70</v>
      </c>
      <c r="E1335" s="19">
        <f>IF('Boletins Nuppa Site'!H1335&lt;&gt;0,'Boletins Nuppa Site'!H1335,"NULL")</f>
        <v>45</v>
      </c>
      <c r="F1335" s="19">
        <f>IF('Boletins Nuppa Site'!I1335&lt;&gt;0,'Boletins Nuppa Site'!I1335,"NULL")</f>
        <v>70</v>
      </c>
      <c r="G1335" s="19">
        <f>IF('Boletins Nuppa Site'!J1335&lt;&gt;0,'Boletins Nuppa Site'!J1335,"NULL")</f>
        <v>64</v>
      </c>
      <c r="H1335" s="19">
        <f>IF('Boletins Nuppa Site'!K1335&lt;&gt;0,'Boletins Nuppa Site'!K1335,"NULL")</f>
        <v>70</v>
      </c>
      <c r="J1335" s="1" t="str">
        <f t="shared" si="20"/>
        <v>INSERT INTO COTACAO (blt_id, pap_id, cot_prc_comum, cot_prc_min, cot_prc_max, cot_prc_med, cot_prc_mediana) VALUES (35, 22, 70, 45, 70, 64, 70);</v>
      </c>
    </row>
    <row r="1336" spans="1:10" x14ac:dyDescent="0.3">
      <c r="A1336" s="1">
        <v>1335</v>
      </c>
      <c r="B1336" s="1">
        <v>35</v>
      </c>
      <c r="C1336" s="1">
        <v>23</v>
      </c>
      <c r="D1336" s="1" t="str">
        <f>IF('Boletins Nuppa Site'!G1336&lt;&gt;0,'Boletins Nuppa Site'!G1336,"NULL")</f>
        <v>NULL</v>
      </c>
      <c r="E1336" s="19">
        <f>IF('Boletins Nuppa Site'!H1336&lt;&gt;0,'Boletins Nuppa Site'!H1336,"NULL")</f>
        <v>45</v>
      </c>
      <c r="F1336" s="19">
        <f>IF('Boletins Nuppa Site'!I1336&lt;&gt;0,'Boletins Nuppa Site'!I1336,"NULL")</f>
        <v>60</v>
      </c>
      <c r="G1336" s="1" t="str">
        <f>IF('Boletins Nuppa Site'!J1336&lt;&gt;0,'Boletins Nuppa Site'!J1336,"NULL")</f>
        <v>51.67</v>
      </c>
      <c r="H1336" s="19">
        <f>IF('Boletins Nuppa Site'!K1336&lt;&gt;0,'Boletins Nuppa Site'!K1336,"NULL")</f>
        <v>50</v>
      </c>
      <c r="J1336" s="1" t="str">
        <f t="shared" si="20"/>
        <v>INSERT INTO COTACAO (blt_id, pap_id, cot_prc_comum, cot_prc_min, cot_prc_max, cot_prc_med, cot_prc_mediana) VALUES (35, 23, NULL, 45, 60, 51.67, 50);</v>
      </c>
    </row>
    <row r="1337" spans="1:10" x14ac:dyDescent="0.3">
      <c r="A1337" s="1">
        <v>1336</v>
      </c>
      <c r="B1337" s="1">
        <v>35</v>
      </c>
      <c r="C1337" s="1">
        <v>24</v>
      </c>
      <c r="D1337" s="1" t="str">
        <f>IF('Boletins Nuppa Site'!G1337&lt;&gt;0,'Boletins Nuppa Site'!G1337,"NULL")</f>
        <v>NULL</v>
      </c>
      <c r="E1337" s="19">
        <f>IF('Boletins Nuppa Site'!H1337&lt;&gt;0,'Boletins Nuppa Site'!H1337,"NULL")</f>
        <v>50</v>
      </c>
      <c r="F1337" s="19">
        <f>IF('Boletins Nuppa Site'!I1337&lt;&gt;0,'Boletins Nuppa Site'!I1337,"NULL")</f>
        <v>110</v>
      </c>
      <c r="G1337" s="1" t="str">
        <f>IF('Boletins Nuppa Site'!J1337&lt;&gt;0,'Boletins Nuppa Site'!J1337,"NULL")</f>
        <v>83.33</v>
      </c>
      <c r="H1337" s="19">
        <f>IF('Boletins Nuppa Site'!K1337&lt;&gt;0,'Boletins Nuppa Site'!K1337,"NULL")</f>
        <v>90</v>
      </c>
      <c r="J1337" s="1" t="str">
        <f t="shared" si="20"/>
        <v>INSERT INTO COTACAO (blt_id, pap_id, cot_prc_comum, cot_prc_min, cot_prc_max, cot_prc_med, cot_prc_mediana) VALUES (35, 24, NULL, 50, 110, 83.33, 90);</v>
      </c>
    </row>
    <row r="1338" spans="1:10" x14ac:dyDescent="0.3">
      <c r="A1338" s="1">
        <v>1337</v>
      </c>
      <c r="B1338" s="1">
        <v>35</v>
      </c>
      <c r="C1338" s="1">
        <v>25</v>
      </c>
      <c r="D1338" s="19">
        <f>IF('Boletins Nuppa Site'!G1338&lt;&gt;0,'Boletins Nuppa Site'!G1338,"NULL")</f>
        <v>70</v>
      </c>
      <c r="E1338" s="19">
        <f>IF('Boletins Nuppa Site'!H1338&lt;&gt;0,'Boletins Nuppa Site'!H1338,"NULL")</f>
        <v>60</v>
      </c>
      <c r="F1338" s="19">
        <f>IF('Boletins Nuppa Site'!I1338&lt;&gt;0,'Boletins Nuppa Site'!I1338,"NULL")</f>
        <v>70</v>
      </c>
      <c r="G1338" s="19">
        <f>IF('Boletins Nuppa Site'!J1338&lt;&gt;0,'Boletins Nuppa Site'!J1338,"NULL")</f>
        <v>65</v>
      </c>
      <c r="H1338" s="19">
        <f>IF('Boletins Nuppa Site'!K1338&lt;&gt;0,'Boletins Nuppa Site'!K1338,"NULL")</f>
        <v>65</v>
      </c>
      <c r="J1338" s="1" t="str">
        <f t="shared" si="20"/>
        <v>INSERT INTO COTACAO (blt_id, pap_id, cot_prc_comum, cot_prc_min, cot_prc_max, cot_prc_med, cot_prc_mediana) VALUES (35, 25, 70, 60, 70, 65, 65);</v>
      </c>
    </row>
    <row r="1339" spans="1:10" x14ac:dyDescent="0.3">
      <c r="A1339" s="1">
        <v>1338</v>
      </c>
      <c r="B1339" s="1">
        <v>35</v>
      </c>
      <c r="C1339" s="1">
        <v>26</v>
      </c>
      <c r="D1339" s="19">
        <f>IF('Boletins Nuppa Site'!G1339&lt;&gt;0,'Boletins Nuppa Site'!G1339,"NULL")</f>
        <v>60</v>
      </c>
      <c r="E1339" s="19">
        <f>IF('Boletins Nuppa Site'!H1339&lt;&gt;0,'Boletins Nuppa Site'!H1339,"NULL")</f>
        <v>35</v>
      </c>
      <c r="F1339" s="19">
        <f>IF('Boletins Nuppa Site'!I1339&lt;&gt;0,'Boletins Nuppa Site'!I1339,"NULL")</f>
        <v>60</v>
      </c>
      <c r="G1339" s="19">
        <f>IF('Boletins Nuppa Site'!J1339&lt;&gt;0,'Boletins Nuppa Site'!J1339,"NULL")</f>
        <v>50</v>
      </c>
      <c r="H1339" s="19">
        <f>IF('Boletins Nuppa Site'!K1339&lt;&gt;0,'Boletins Nuppa Site'!K1339,"NULL")</f>
        <v>55</v>
      </c>
      <c r="J1339" s="1" t="str">
        <f t="shared" si="20"/>
        <v>INSERT INTO COTACAO (blt_id, pap_id, cot_prc_comum, cot_prc_min, cot_prc_max, cot_prc_med, cot_prc_mediana) VALUES (35, 26, 60, 35, 60, 50, 55);</v>
      </c>
    </row>
    <row r="1340" spans="1:10" x14ac:dyDescent="0.3">
      <c r="A1340" s="1">
        <v>1339</v>
      </c>
      <c r="B1340" s="1">
        <v>35</v>
      </c>
      <c r="C1340" s="1">
        <v>27</v>
      </c>
      <c r="D1340" s="19">
        <f>IF('Boletins Nuppa Site'!G1340&lt;&gt;0,'Boletins Nuppa Site'!G1340,"NULL")</f>
        <v>60</v>
      </c>
      <c r="E1340" s="19">
        <f>IF('Boletins Nuppa Site'!H1340&lt;&gt;0,'Boletins Nuppa Site'!H1340,"NULL")</f>
        <v>60</v>
      </c>
      <c r="F1340" s="19">
        <f>IF('Boletins Nuppa Site'!I1340&lt;&gt;0,'Boletins Nuppa Site'!I1340,"NULL")</f>
        <v>80</v>
      </c>
      <c r="G1340" s="19">
        <f>IF('Boletins Nuppa Site'!J1340&lt;&gt;0,'Boletins Nuppa Site'!J1340,"NULL")</f>
        <v>68</v>
      </c>
      <c r="H1340" s="19">
        <f>IF('Boletins Nuppa Site'!K1340&lt;&gt;0,'Boletins Nuppa Site'!K1340,"NULL")</f>
        <v>70</v>
      </c>
      <c r="J1340" s="1" t="str">
        <f t="shared" si="20"/>
        <v>INSERT INTO COTACAO (blt_id, pap_id, cot_prc_comum, cot_prc_min, cot_prc_max, cot_prc_med, cot_prc_mediana) VALUES (35, 27, 60, 60, 80, 68, 70);</v>
      </c>
    </row>
    <row r="1341" spans="1:10" x14ac:dyDescent="0.3">
      <c r="A1341" s="1">
        <v>1340</v>
      </c>
      <c r="B1341" s="1">
        <v>35</v>
      </c>
      <c r="C1341" s="1">
        <v>28</v>
      </c>
      <c r="D1341" s="1" t="str">
        <f>IF('Boletins Nuppa Site'!G1341&lt;&gt;0,'Boletins Nuppa Site'!G1341,"NULL")</f>
        <v>NULL</v>
      </c>
      <c r="E1341" s="19">
        <f>IF('Boletins Nuppa Site'!H1341&lt;&gt;0,'Boletins Nuppa Site'!H1341,"NULL")</f>
        <v>90</v>
      </c>
      <c r="F1341" s="19">
        <f>IF('Boletins Nuppa Site'!I1341&lt;&gt;0,'Boletins Nuppa Site'!I1341,"NULL")</f>
        <v>120</v>
      </c>
      <c r="G1341" s="19">
        <f>IF('Boletins Nuppa Site'!J1341&lt;&gt;0,'Boletins Nuppa Site'!J1341,"NULL")</f>
        <v>105</v>
      </c>
      <c r="H1341" s="19">
        <f>IF('Boletins Nuppa Site'!K1341&lt;&gt;0,'Boletins Nuppa Site'!K1341,"NULL")</f>
        <v>105</v>
      </c>
      <c r="J1341" s="1" t="str">
        <f t="shared" si="20"/>
        <v>INSERT INTO COTACAO (blt_id, pap_id, cot_prc_comum, cot_prc_min, cot_prc_max, cot_prc_med, cot_prc_mediana) VALUES (35, 28, NULL, 90, 120, 105, 105);</v>
      </c>
    </row>
    <row r="1342" spans="1:10" x14ac:dyDescent="0.3">
      <c r="A1342" s="1">
        <v>1341</v>
      </c>
      <c r="B1342" s="1">
        <v>35</v>
      </c>
      <c r="C1342" s="1">
        <v>29</v>
      </c>
      <c r="D1342" s="1" t="str">
        <f>IF('Boletins Nuppa Site'!G1342&lt;&gt;0,'Boletins Nuppa Site'!G1342,"NULL")</f>
        <v>NULL</v>
      </c>
      <c r="E1342" s="19">
        <f>IF('Boletins Nuppa Site'!H1342&lt;&gt;0,'Boletins Nuppa Site'!H1342,"NULL")</f>
        <v>65</v>
      </c>
      <c r="F1342" s="19">
        <f>IF('Boletins Nuppa Site'!I1342&lt;&gt;0,'Boletins Nuppa Site'!I1342,"NULL")</f>
        <v>65</v>
      </c>
      <c r="G1342" s="19">
        <f>IF('Boletins Nuppa Site'!J1342&lt;&gt;0,'Boletins Nuppa Site'!J1342,"NULL")</f>
        <v>65</v>
      </c>
      <c r="H1342" s="19">
        <f>IF('Boletins Nuppa Site'!K1342&lt;&gt;0,'Boletins Nuppa Site'!K1342,"NULL")</f>
        <v>65</v>
      </c>
      <c r="J1342" s="1" t="str">
        <f t="shared" si="20"/>
        <v>INSERT INTO COTACAO (blt_id, pap_id, cot_prc_comum, cot_prc_min, cot_prc_max, cot_prc_med, cot_prc_mediana) VALUES (35, 29, NULL, 65, 65, 65, 65);</v>
      </c>
    </row>
    <row r="1343" spans="1:10" x14ac:dyDescent="0.3">
      <c r="A1343" s="1">
        <v>1342</v>
      </c>
      <c r="B1343" s="1">
        <v>35</v>
      </c>
      <c r="C1343" s="1">
        <v>30</v>
      </c>
      <c r="D1343" s="19">
        <f>IF('Boletins Nuppa Site'!G1343&lt;&gt;0,'Boletins Nuppa Site'!G1343,"NULL")</f>
        <v>100</v>
      </c>
      <c r="E1343" s="19">
        <f>IF('Boletins Nuppa Site'!H1343&lt;&gt;0,'Boletins Nuppa Site'!H1343,"NULL")</f>
        <v>80</v>
      </c>
      <c r="F1343" s="19">
        <f>IF('Boletins Nuppa Site'!I1343&lt;&gt;0,'Boletins Nuppa Site'!I1343,"NULL")</f>
        <v>100</v>
      </c>
      <c r="G1343" s="1" t="str">
        <f>IF('Boletins Nuppa Site'!J1343&lt;&gt;0,'Boletins Nuppa Site'!J1343,"NULL")</f>
        <v>93.33</v>
      </c>
      <c r="H1343" s="19">
        <f>IF('Boletins Nuppa Site'!K1343&lt;&gt;0,'Boletins Nuppa Site'!K1343,"NULL")</f>
        <v>100</v>
      </c>
      <c r="J1343" s="1" t="str">
        <f t="shared" si="20"/>
        <v>INSERT INTO COTACAO (blt_id, pap_id, cot_prc_comum, cot_prc_min, cot_prc_max, cot_prc_med, cot_prc_mediana) VALUES (35, 30, 100, 80, 100, 93.33, 100);</v>
      </c>
    </row>
    <row r="1344" spans="1:10" x14ac:dyDescent="0.3">
      <c r="A1344" s="1">
        <v>1343</v>
      </c>
      <c r="B1344" s="1">
        <v>35</v>
      </c>
      <c r="C1344" s="1">
        <v>31</v>
      </c>
      <c r="D1344" s="1" t="str">
        <f>IF('Boletins Nuppa Site'!G1344&lt;&gt;0,'Boletins Nuppa Site'!G1344,"NULL")</f>
        <v>NULL</v>
      </c>
      <c r="E1344" s="19">
        <f>IF('Boletins Nuppa Site'!H1344&lt;&gt;0,'Boletins Nuppa Site'!H1344,"NULL")</f>
        <v>100</v>
      </c>
      <c r="F1344" s="19">
        <f>IF('Boletins Nuppa Site'!I1344&lt;&gt;0,'Boletins Nuppa Site'!I1344,"NULL")</f>
        <v>145</v>
      </c>
      <c r="G1344" s="1" t="str">
        <f>IF('Boletins Nuppa Site'!J1344&lt;&gt;0,'Boletins Nuppa Site'!J1344,"NULL")</f>
        <v>126.25</v>
      </c>
      <c r="H1344" s="19">
        <f>IF('Boletins Nuppa Site'!K1344&lt;&gt;0,'Boletins Nuppa Site'!K1344,"NULL")</f>
        <v>130</v>
      </c>
      <c r="J1344" s="1" t="str">
        <f t="shared" si="20"/>
        <v>INSERT INTO COTACAO (blt_id, pap_id, cot_prc_comum, cot_prc_min, cot_prc_max, cot_prc_med, cot_prc_mediana) VALUES (35, 31, NULL, 100, 145, 126.25, 130);</v>
      </c>
    </row>
    <row r="1345" spans="1:10" x14ac:dyDescent="0.3">
      <c r="A1345" s="1">
        <v>1344</v>
      </c>
      <c r="B1345" s="1">
        <v>35</v>
      </c>
      <c r="C1345" s="1">
        <v>32</v>
      </c>
      <c r="D1345" s="19">
        <f>IF('Boletins Nuppa Site'!G1345&lt;&gt;0,'Boletins Nuppa Site'!G1345,"NULL")</f>
        <v>55</v>
      </c>
      <c r="E1345" s="19">
        <f>IF('Boletins Nuppa Site'!H1345&lt;&gt;0,'Boletins Nuppa Site'!H1345,"NULL")</f>
        <v>40</v>
      </c>
      <c r="F1345" s="19">
        <f>IF('Boletins Nuppa Site'!I1345&lt;&gt;0,'Boletins Nuppa Site'!I1345,"NULL")</f>
        <v>55</v>
      </c>
      <c r="G1345" s="19">
        <f>IF('Boletins Nuppa Site'!J1345&lt;&gt;0,'Boletins Nuppa Site'!J1345,"NULL")</f>
        <v>49</v>
      </c>
      <c r="H1345" s="19">
        <f>IF('Boletins Nuppa Site'!K1345&lt;&gt;0,'Boletins Nuppa Site'!K1345,"NULL")</f>
        <v>50</v>
      </c>
      <c r="J1345" s="1" t="str">
        <f t="shared" si="20"/>
        <v>INSERT INTO COTACAO (blt_id, pap_id, cot_prc_comum, cot_prc_min, cot_prc_max, cot_prc_med, cot_prc_mediana) VALUES (35, 32, 55, 40, 55, 49, 50);</v>
      </c>
    </row>
    <row r="1346" spans="1:10" x14ac:dyDescent="0.3">
      <c r="A1346" s="1">
        <v>1345</v>
      </c>
      <c r="B1346" s="1">
        <v>35</v>
      </c>
      <c r="C1346" s="1">
        <v>33</v>
      </c>
      <c r="D1346" s="19">
        <f>IF('Boletins Nuppa Site'!G1346&lt;&gt;0,'Boletins Nuppa Site'!G1346,"NULL")</f>
        <v>140</v>
      </c>
      <c r="E1346" s="19">
        <f>IF('Boletins Nuppa Site'!H1346&lt;&gt;0,'Boletins Nuppa Site'!H1346,"NULL")</f>
        <v>140</v>
      </c>
      <c r="F1346" s="19">
        <f>IF('Boletins Nuppa Site'!I1346&lt;&gt;0,'Boletins Nuppa Site'!I1346,"NULL")</f>
        <v>150</v>
      </c>
      <c r="G1346" s="19">
        <f>IF('Boletins Nuppa Site'!J1346&lt;&gt;0,'Boletins Nuppa Site'!J1346,"NULL")</f>
        <v>144</v>
      </c>
      <c r="H1346" s="19">
        <f>IF('Boletins Nuppa Site'!K1346&lt;&gt;0,'Boletins Nuppa Site'!K1346,"NULL")</f>
        <v>140</v>
      </c>
      <c r="J1346" s="1" t="str">
        <f t="shared" ref="J1346:J1409" si="21">"INSERT INTO COTACAO (blt_id, pap_id, cot_prc_comum, cot_prc_min, cot_prc_max, cot_prc_med, cot_prc_mediana) VALUES ("&amp;B1346&amp;", "&amp;C1346&amp;", "&amp;D1346&amp;", "&amp;E1346&amp;", "&amp;F1346&amp;", "&amp;G1346&amp;", "&amp;H1346&amp;");"</f>
        <v>INSERT INTO COTACAO (blt_id, pap_id, cot_prc_comum, cot_prc_min, cot_prc_max, cot_prc_med, cot_prc_mediana) VALUES (35, 33, 140, 140, 150, 144, 140);</v>
      </c>
    </row>
    <row r="1347" spans="1:10" x14ac:dyDescent="0.3">
      <c r="A1347" s="1">
        <v>1346</v>
      </c>
      <c r="B1347" s="1">
        <v>35</v>
      </c>
      <c r="C1347" s="1">
        <v>34</v>
      </c>
      <c r="D1347" s="19">
        <f>IF('Boletins Nuppa Site'!G1347&lt;&gt;0,'Boletins Nuppa Site'!G1347,"NULL")</f>
        <v>60</v>
      </c>
      <c r="E1347" s="19">
        <f>IF('Boletins Nuppa Site'!H1347&lt;&gt;0,'Boletins Nuppa Site'!H1347,"NULL")</f>
        <v>50</v>
      </c>
      <c r="F1347" s="19">
        <f>IF('Boletins Nuppa Site'!I1347&lt;&gt;0,'Boletins Nuppa Site'!I1347,"NULL")</f>
        <v>90</v>
      </c>
      <c r="G1347" s="19">
        <f>IF('Boletins Nuppa Site'!J1347&lt;&gt;0,'Boletins Nuppa Site'!J1347,"NULL")</f>
        <v>66</v>
      </c>
      <c r="H1347" s="19">
        <f>IF('Boletins Nuppa Site'!K1347&lt;&gt;0,'Boletins Nuppa Site'!K1347,"NULL")</f>
        <v>60</v>
      </c>
      <c r="J1347" s="1" t="str">
        <f t="shared" si="21"/>
        <v>INSERT INTO COTACAO (blt_id, pap_id, cot_prc_comum, cot_prc_min, cot_prc_max, cot_prc_med, cot_prc_mediana) VALUES (35, 34, 60, 50, 90, 66, 60);</v>
      </c>
    </row>
    <row r="1348" spans="1:10" x14ac:dyDescent="0.3">
      <c r="A1348" s="1">
        <v>1347</v>
      </c>
      <c r="B1348" s="1">
        <v>35</v>
      </c>
      <c r="C1348" s="1">
        <v>35</v>
      </c>
      <c r="D1348" s="1" t="str">
        <f>IF('Boletins Nuppa Site'!G1348&lt;&gt;0,'Boletins Nuppa Site'!G1348,"NULL")</f>
        <v>NULL</v>
      </c>
      <c r="E1348" s="19">
        <f>IF('Boletins Nuppa Site'!H1348&lt;&gt;0,'Boletins Nuppa Site'!H1348,"NULL")</f>
        <v>100</v>
      </c>
      <c r="F1348" s="19">
        <f>IF('Boletins Nuppa Site'!I1348&lt;&gt;0,'Boletins Nuppa Site'!I1348,"NULL")</f>
        <v>130</v>
      </c>
      <c r="G1348" s="1" t="str">
        <f>IF('Boletins Nuppa Site'!J1348&lt;&gt;0,'Boletins Nuppa Site'!J1348,"NULL")</f>
        <v>116.67</v>
      </c>
      <c r="H1348" s="19">
        <f>IF('Boletins Nuppa Site'!K1348&lt;&gt;0,'Boletins Nuppa Site'!K1348,"NULL")</f>
        <v>120</v>
      </c>
      <c r="J1348" s="1" t="str">
        <f t="shared" si="21"/>
        <v>INSERT INTO COTACAO (blt_id, pap_id, cot_prc_comum, cot_prc_min, cot_prc_max, cot_prc_med, cot_prc_mediana) VALUES (35, 35, NULL, 100, 130, 116.67, 120);</v>
      </c>
    </row>
    <row r="1349" spans="1:10" x14ac:dyDescent="0.3">
      <c r="A1349" s="1">
        <v>1348</v>
      </c>
      <c r="B1349" s="1">
        <v>35</v>
      </c>
      <c r="C1349" s="1">
        <v>36</v>
      </c>
      <c r="D1349" s="1" t="str">
        <f>IF('Boletins Nuppa Site'!G1349&lt;&gt;0,'Boletins Nuppa Site'!G1349,"NULL")</f>
        <v>NULL</v>
      </c>
      <c r="E1349" s="1" t="str">
        <f>IF('Boletins Nuppa Site'!H1349&lt;&gt;0,'Boletins Nuppa Site'!H1349,"NULL")</f>
        <v>NULL</v>
      </c>
      <c r="F1349" s="1" t="str">
        <f>IF('Boletins Nuppa Site'!I1349&lt;&gt;0,'Boletins Nuppa Site'!I1349,"NULL")</f>
        <v>NULL</v>
      </c>
      <c r="G1349" s="1" t="str">
        <f>IF('Boletins Nuppa Site'!J1349&lt;&gt;0,'Boletins Nuppa Site'!J1349,"NULL")</f>
        <v>NULL</v>
      </c>
      <c r="H1349" s="1" t="str">
        <f>IF('Boletins Nuppa Site'!K1349&lt;&gt;0,'Boletins Nuppa Site'!K1349,"NULL")</f>
        <v>NULL</v>
      </c>
      <c r="J1349" s="1" t="str">
        <f t="shared" si="21"/>
        <v>INSERT INTO COTACAO (blt_id, pap_id, cot_prc_comum, cot_prc_min, cot_prc_max, cot_prc_med, cot_prc_mediana) VALUES (35, 36, NULL, NULL, NULL, NULL, NULL);</v>
      </c>
    </row>
    <row r="1350" spans="1:10" x14ac:dyDescent="0.3">
      <c r="A1350" s="1">
        <v>1349</v>
      </c>
      <c r="B1350" s="1">
        <v>35</v>
      </c>
      <c r="C1350" s="1">
        <v>37</v>
      </c>
      <c r="D1350" s="1" t="str">
        <f>IF('Boletins Nuppa Site'!G1350&lt;&gt;0,'Boletins Nuppa Site'!G1350,"NULL")</f>
        <v>NULL</v>
      </c>
      <c r="E1350" s="1" t="str">
        <f>IF('Boletins Nuppa Site'!H1350&lt;&gt;0,'Boletins Nuppa Site'!H1350,"NULL")</f>
        <v>NULL</v>
      </c>
      <c r="F1350" s="1" t="str">
        <f>IF('Boletins Nuppa Site'!I1350&lt;&gt;0,'Boletins Nuppa Site'!I1350,"NULL")</f>
        <v>NULL</v>
      </c>
      <c r="G1350" s="1" t="str">
        <f>IF('Boletins Nuppa Site'!J1350&lt;&gt;0,'Boletins Nuppa Site'!J1350,"NULL")</f>
        <v>NULL</v>
      </c>
      <c r="H1350" s="1" t="str">
        <f>IF('Boletins Nuppa Site'!K1350&lt;&gt;0,'Boletins Nuppa Site'!K1350,"NULL")</f>
        <v>NULL</v>
      </c>
      <c r="J1350" s="1" t="str">
        <f t="shared" si="21"/>
        <v>INSERT INTO COTACAO (blt_id, pap_id, cot_prc_comum, cot_prc_min, cot_prc_max, cot_prc_med, cot_prc_mediana) VALUES (35, 37, NULL, NULL, NULL, NULL, NULL);</v>
      </c>
    </row>
    <row r="1351" spans="1:10" x14ac:dyDescent="0.3">
      <c r="A1351" s="1">
        <v>1350</v>
      </c>
      <c r="B1351" s="1">
        <v>35</v>
      </c>
      <c r="C1351" s="1">
        <v>38</v>
      </c>
      <c r="D1351" s="1" t="str">
        <f>IF('Boletins Nuppa Site'!G1351&lt;&gt;0,'Boletins Nuppa Site'!G1351,"NULL")</f>
        <v>NULL</v>
      </c>
      <c r="E1351" s="1" t="str">
        <f>IF('Boletins Nuppa Site'!H1351&lt;&gt;0,'Boletins Nuppa Site'!H1351,"NULL")</f>
        <v>NULL</v>
      </c>
      <c r="F1351" s="1" t="str">
        <f>IF('Boletins Nuppa Site'!I1351&lt;&gt;0,'Boletins Nuppa Site'!I1351,"NULL")</f>
        <v>NULL</v>
      </c>
      <c r="G1351" s="1" t="str">
        <f>IF('Boletins Nuppa Site'!J1351&lt;&gt;0,'Boletins Nuppa Site'!J1351,"NULL")</f>
        <v>NULL</v>
      </c>
      <c r="H1351" s="1" t="str">
        <f>IF('Boletins Nuppa Site'!K1351&lt;&gt;0,'Boletins Nuppa Site'!K1351,"NULL")</f>
        <v>NULL</v>
      </c>
      <c r="J1351" s="1" t="str">
        <f t="shared" si="21"/>
        <v>INSERT INTO COTACAO (blt_id, pap_id, cot_prc_comum, cot_prc_min, cot_prc_max, cot_prc_med, cot_prc_mediana) VALUES (35, 38, NULL, NULL, NULL, NULL, NULL);</v>
      </c>
    </row>
    <row r="1352" spans="1:10" x14ac:dyDescent="0.3">
      <c r="A1352" s="1">
        <v>1351</v>
      </c>
      <c r="B1352" s="1">
        <v>35</v>
      </c>
      <c r="C1352" s="1">
        <v>39</v>
      </c>
      <c r="D1352" s="1" t="str">
        <f>IF('Boletins Nuppa Site'!G1352&lt;&gt;0,'Boletins Nuppa Site'!G1352,"NULL")</f>
        <v>NULL</v>
      </c>
      <c r="E1352" s="19">
        <f>IF('Boletins Nuppa Site'!H1352&lt;&gt;0,'Boletins Nuppa Site'!H1352,"NULL")</f>
        <v>50</v>
      </c>
      <c r="F1352" s="19">
        <f>IF('Boletins Nuppa Site'!I1352&lt;&gt;0,'Boletins Nuppa Site'!I1352,"NULL")</f>
        <v>50</v>
      </c>
      <c r="G1352" s="19">
        <f>IF('Boletins Nuppa Site'!J1352&lt;&gt;0,'Boletins Nuppa Site'!J1352,"NULL")</f>
        <v>50</v>
      </c>
      <c r="H1352" s="19">
        <f>IF('Boletins Nuppa Site'!K1352&lt;&gt;0,'Boletins Nuppa Site'!K1352,"NULL")</f>
        <v>50</v>
      </c>
      <c r="J1352" s="1" t="str">
        <f t="shared" si="21"/>
        <v>INSERT INTO COTACAO (blt_id, pap_id, cot_prc_comum, cot_prc_min, cot_prc_max, cot_prc_med, cot_prc_mediana) VALUES (35, 39, NULL, 50, 50, 50, 50);</v>
      </c>
    </row>
    <row r="1353" spans="1:10" x14ac:dyDescent="0.3">
      <c r="A1353" s="1">
        <v>1352</v>
      </c>
      <c r="B1353" s="1">
        <v>35</v>
      </c>
      <c r="C1353" s="1">
        <v>40</v>
      </c>
      <c r="D1353" s="1" t="str">
        <f>IF('Boletins Nuppa Site'!G1353&lt;&gt;0,'Boletins Nuppa Site'!G1353,"NULL")</f>
        <v>NULL</v>
      </c>
      <c r="E1353" s="1" t="str">
        <f>IF('Boletins Nuppa Site'!H1353&lt;&gt;0,'Boletins Nuppa Site'!H1353,"NULL")</f>
        <v>NULL</v>
      </c>
      <c r="F1353" s="1" t="str">
        <f>IF('Boletins Nuppa Site'!I1353&lt;&gt;0,'Boletins Nuppa Site'!I1353,"NULL")</f>
        <v>NULL</v>
      </c>
      <c r="G1353" s="1" t="str">
        <f>IF('Boletins Nuppa Site'!J1353&lt;&gt;0,'Boletins Nuppa Site'!J1353,"NULL")</f>
        <v>NULL</v>
      </c>
      <c r="H1353" s="1" t="str">
        <f>IF('Boletins Nuppa Site'!K1353&lt;&gt;0,'Boletins Nuppa Site'!K1353,"NULL")</f>
        <v>NULL</v>
      </c>
      <c r="J1353" s="1" t="str">
        <f t="shared" si="21"/>
        <v>INSERT INTO COTACAO (blt_id, pap_id, cot_prc_comum, cot_prc_min, cot_prc_max, cot_prc_med, cot_prc_mediana) VALUES (35, 40, NULL, NULL, NULL, NULL, NULL);</v>
      </c>
    </row>
    <row r="1354" spans="1:10" x14ac:dyDescent="0.3">
      <c r="A1354" s="1">
        <v>1353</v>
      </c>
      <c r="B1354" s="1">
        <v>36</v>
      </c>
      <c r="C1354" s="1">
        <v>1</v>
      </c>
      <c r="D1354" s="19">
        <f>IF('Boletins Nuppa Site'!G1354&lt;&gt;0,'Boletins Nuppa Site'!G1354,"NULL")</f>
        <v>48</v>
      </c>
      <c r="E1354" s="19">
        <f>IF('Boletins Nuppa Site'!H1354&lt;&gt;0,'Boletins Nuppa Site'!H1354,"NULL")</f>
        <v>48</v>
      </c>
      <c r="F1354" s="19">
        <f>IF('Boletins Nuppa Site'!I1354&lt;&gt;0,'Boletins Nuppa Site'!I1354,"NULL")</f>
        <v>60</v>
      </c>
      <c r="G1354" s="19">
        <f>IF('Boletins Nuppa Site'!J1354&lt;&gt;0,'Boletins Nuppa Site'!J1354,"NULL")</f>
        <v>51</v>
      </c>
      <c r="H1354" s="19">
        <f>IF('Boletins Nuppa Site'!K1354&lt;&gt;0,'Boletins Nuppa Site'!K1354,"NULL")</f>
        <v>48</v>
      </c>
      <c r="J1354" s="1" t="str">
        <f t="shared" si="21"/>
        <v>INSERT INTO COTACAO (blt_id, pap_id, cot_prc_comum, cot_prc_min, cot_prc_max, cot_prc_med, cot_prc_mediana) VALUES (36, 1, 48, 48, 60, 51, 48);</v>
      </c>
    </row>
    <row r="1355" spans="1:10" x14ac:dyDescent="0.3">
      <c r="A1355" s="1">
        <v>1354</v>
      </c>
      <c r="B1355" s="1">
        <v>36</v>
      </c>
      <c r="C1355" s="1">
        <v>2</v>
      </c>
      <c r="D1355" s="19">
        <f>IF('Boletins Nuppa Site'!G1355&lt;&gt;0,'Boletins Nuppa Site'!G1355,"NULL")</f>
        <v>72</v>
      </c>
      <c r="E1355" s="19">
        <f>IF('Boletins Nuppa Site'!H1355&lt;&gt;0,'Boletins Nuppa Site'!H1355,"NULL")</f>
        <v>72</v>
      </c>
      <c r="F1355" s="19">
        <f>IF('Boletins Nuppa Site'!I1355&lt;&gt;0,'Boletins Nuppa Site'!I1355,"NULL")</f>
        <v>84</v>
      </c>
      <c r="G1355" s="19">
        <f>IF('Boletins Nuppa Site'!J1355&lt;&gt;0,'Boletins Nuppa Site'!J1355,"NULL")</f>
        <v>76</v>
      </c>
      <c r="H1355" s="19">
        <f>IF('Boletins Nuppa Site'!K1355&lt;&gt;0,'Boletins Nuppa Site'!K1355,"NULL")</f>
        <v>72</v>
      </c>
      <c r="J1355" s="1" t="str">
        <f t="shared" si="21"/>
        <v>INSERT INTO COTACAO (blt_id, pap_id, cot_prc_comum, cot_prc_min, cot_prc_max, cot_prc_med, cot_prc_mediana) VALUES (36, 2, 72, 72, 84, 76, 72);</v>
      </c>
    </row>
    <row r="1356" spans="1:10" x14ac:dyDescent="0.3">
      <c r="A1356" s="1">
        <v>1355</v>
      </c>
      <c r="B1356" s="1">
        <v>36</v>
      </c>
      <c r="C1356" s="1">
        <v>3</v>
      </c>
      <c r="D1356" s="19">
        <f>IF('Boletins Nuppa Site'!G1356&lt;&gt;0,'Boletins Nuppa Site'!G1356,"NULL")</f>
        <v>30</v>
      </c>
      <c r="E1356" s="19">
        <f>IF('Boletins Nuppa Site'!H1356&lt;&gt;0,'Boletins Nuppa Site'!H1356,"NULL")</f>
        <v>30</v>
      </c>
      <c r="F1356" s="19">
        <f>IF('Boletins Nuppa Site'!I1356&lt;&gt;0,'Boletins Nuppa Site'!I1356,"NULL")</f>
        <v>36</v>
      </c>
      <c r="G1356" s="19">
        <f>IF('Boletins Nuppa Site'!J1356&lt;&gt;0,'Boletins Nuppa Site'!J1356,"NULL")</f>
        <v>33</v>
      </c>
      <c r="H1356" s="19">
        <f>IF('Boletins Nuppa Site'!K1356&lt;&gt;0,'Boletins Nuppa Site'!K1356,"NULL")</f>
        <v>33</v>
      </c>
      <c r="J1356" s="1" t="str">
        <f t="shared" si="21"/>
        <v>INSERT INTO COTACAO (blt_id, pap_id, cot_prc_comum, cot_prc_min, cot_prc_max, cot_prc_med, cot_prc_mediana) VALUES (36, 3, 30, 30, 36, 33, 33);</v>
      </c>
    </row>
    <row r="1357" spans="1:10" x14ac:dyDescent="0.3">
      <c r="A1357" s="1">
        <v>1356</v>
      </c>
      <c r="B1357" s="1">
        <v>36</v>
      </c>
      <c r="C1357" s="1">
        <v>4</v>
      </c>
      <c r="D1357" s="19">
        <f>IF('Boletins Nuppa Site'!G1357&lt;&gt;0,'Boletins Nuppa Site'!G1357,"NULL")</f>
        <v>24</v>
      </c>
      <c r="E1357" s="19">
        <f>IF('Boletins Nuppa Site'!H1357&lt;&gt;0,'Boletins Nuppa Site'!H1357,"NULL")</f>
        <v>18</v>
      </c>
      <c r="F1357" s="19">
        <f>IF('Boletins Nuppa Site'!I1357&lt;&gt;0,'Boletins Nuppa Site'!I1357,"NULL")</f>
        <v>24</v>
      </c>
      <c r="G1357" s="1" t="str">
        <f>IF('Boletins Nuppa Site'!J1357&lt;&gt;0,'Boletins Nuppa Site'!J1357,"NULL")</f>
        <v>21.5</v>
      </c>
      <c r="H1357" s="19">
        <f>IF('Boletins Nuppa Site'!K1357&lt;&gt;0,'Boletins Nuppa Site'!K1357,"NULL")</f>
        <v>22</v>
      </c>
      <c r="J1357" s="1" t="str">
        <f t="shared" si="21"/>
        <v>INSERT INTO COTACAO (blt_id, pap_id, cot_prc_comum, cot_prc_min, cot_prc_max, cot_prc_med, cot_prc_mediana) VALUES (36, 4, 24, 18, 24, 21.5, 22);</v>
      </c>
    </row>
    <row r="1358" spans="1:10" x14ac:dyDescent="0.3">
      <c r="A1358" s="1">
        <v>1357</v>
      </c>
      <c r="B1358" s="1">
        <v>36</v>
      </c>
      <c r="C1358" s="1">
        <v>5</v>
      </c>
      <c r="D1358" s="19">
        <f>IF('Boletins Nuppa Site'!G1358&lt;&gt;0,'Boletins Nuppa Site'!G1358,"NULL")</f>
        <v>24</v>
      </c>
      <c r="E1358" s="19">
        <f>IF('Boletins Nuppa Site'!H1358&lt;&gt;0,'Boletins Nuppa Site'!H1358,"NULL")</f>
        <v>18</v>
      </c>
      <c r="F1358" s="19">
        <f>IF('Boletins Nuppa Site'!I1358&lt;&gt;0,'Boletins Nuppa Site'!I1358,"NULL")</f>
        <v>24</v>
      </c>
      <c r="G1358" s="1" t="str">
        <f>IF('Boletins Nuppa Site'!J1358&lt;&gt;0,'Boletins Nuppa Site'!J1358,"NULL")</f>
        <v>21.5</v>
      </c>
      <c r="H1358" s="19">
        <f>IF('Boletins Nuppa Site'!K1358&lt;&gt;0,'Boletins Nuppa Site'!K1358,"NULL")</f>
        <v>22</v>
      </c>
      <c r="J1358" s="1" t="str">
        <f t="shared" si="21"/>
        <v>INSERT INTO COTACAO (blt_id, pap_id, cot_prc_comum, cot_prc_min, cot_prc_max, cot_prc_med, cot_prc_mediana) VALUES (36, 5, 24, 18, 24, 21.5, 22);</v>
      </c>
    </row>
    <row r="1359" spans="1:10" x14ac:dyDescent="0.3">
      <c r="A1359" s="1">
        <v>1358</v>
      </c>
      <c r="B1359" s="1">
        <v>36</v>
      </c>
      <c r="C1359" s="1">
        <v>6</v>
      </c>
      <c r="D1359" s="19">
        <f>IF('Boletins Nuppa Site'!G1359&lt;&gt;0,'Boletins Nuppa Site'!G1359,"NULL")</f>
        <v>48</v>
      </c>
      <c r="E1359" s="19">
        <f>IF('Boletins Nuppa Site'!H1359&lt;&gt;0,'Boletins Nuppa Site'!H1359,"NULL")</f>
        <v>48</v>
      </c>
      <c r="F1359" s="19">
        <f>IF('Boletins Nuppa Site'!I1359&lt;&gt;0,'Boletins Nuppa Site'!I1359,"NULL")</f>
        <v>60</v>
      </c>
      <c r="G1359" s="19">
        <f>IF('Boletins Nuppa Site'!J1359&lt;&gt;0,'Boletins Nuppa Site'!J1359,"NULL")</f>
        <v>52</v>
      </c>
      <c r="H1359" s="19">
        <f>IF('Boletins Nuppa Site'!K1359&lt;&gt;0,'Boletins Nuppa Site'!K1359,"NULL")</f>
        <v>48</v>
      </c>
      <c r="J1359" s="1" t="str">
        <f t="shared" si="21"/>
        <v>INSERT INTO COTACAO (blt_id, pap_id, cot_prc_comum, cot_prc_min, cot_prc_max, cot_prc_med, cot_prc_mediana) VALUES (36, 6, 48, 48, 60, 52, 48);</v>
      </c>
    </row>
    <row r="1360" spans="1:10" x14ac:dyDescent="0.3">
      <c r="A1360" s="1">
        <v>1359</v>
      </c>
      <c r="B1360" s="1">
        <v>36</v>
      </c>
      <c r="C1360" s="1">
        <v>7</v>
      </c>
      <c r="D1360" s="1" t="str">
        <f>IF('Boletins Nuppa Site'!G1360&lt;&gt;0,'Boletins Nuppa Site'!G1360,"NULL")</f>
        <v>NULL</v>
      </c>
      <c r="E1360" s="19">
        <f>IF('Boletins Nuppa Site'!H1360&lt;&gt;0,'Boletins Nuppa Site'!H1360,"NULL")</f>
        <v>48</v>
      </c>
      <c r="F1360" s="19">
        <f>IF('Boletins Nuppa Site'!I1360&lt;&gt;0,'Boletins Nuppa Site'!I1360,"NULL")</f>
        <v>60</v>
      </c>
      <c r="G1360" s="19">
        <f>IF('Boletins Nuppa Site'!J1360&lt;&gt;0,'Boletins Nuppa Site'!J1360,"NULL")</f>
        <v>54</v>
      </c>
      <c r="H1360" s="19">
        <f>IF('Boletins Nuppa Site'!K1360&lt;&gt;0,'Boletins Nuppa Site'!K1360,"NULL")</f>
        <v>54</v>
      </c>
      <c r="J1360" s="1" t="str">
        <f t="shared" si="21"/>
        <v>INSERT INTO COTACAO (blt_id, pap_id, cot_prc_comum, cot_prc_min, cot_prc_max, cot_prc_med, cot_prc_mediana) VALUES (36, 7, NULL, 48, 60, 54, 54);</v>
      </c>
    </row>
    <row r="1361" spans="1:10" x14ac:dyDescent="0.3">
      <c r="A1361" s="1">
        <v>1360</v>
      </c>
      <c r="B1361" s="1">
        <v>36</v>
      </c>
      <c r="C1361" s="1">
        <v>8</v>
      </c>
      <c r="D1361" s="19">
        <f>IF('Boletins Nuppa Site'!G1361&lt;&gt;0,'Boletins Nuppa Site'!G1361,"NULL")</f>
        <v>72</v>
      </c>
      <c r="E1361" s="19">
        <f>IF('Boletins Nuppa Site'!H1361&lt;&gt;0,'Boletins Nuppa Site'!H1361,"NULL")</f>
        <v>72</v>
      </c>
      <c r="F1361" s="19">
        <f>IF('Boletins Nuppa Site'!I1361&lt;&gt;0,'Boletins Nuppa Site'!I1361,"NULL")</f>
        <v>72</v>
      </c>
      <c r="G1361" s="19">
        <f>IF('Boletins Nuppa Site'!J1361&lt;&gt;0,'Boletins Nuppa Site'!J1361,"NULL")</f>
        <v>72</v>
      </c>
      <c r="H1361" s="19">
        <f>IF('Boletins Nuppa Site'!K1361&lt;&gt;0,'Boletins Nuppa Site'!K1361,"NULL")</f>
        <v>72</v>
      </c>
      <c r="J1361" s="1" t="str">
        <f t="shared" si="21"/>
        <v>INSERT INTO COTACAO (blt_id, pap_id, cot_prc_comum, cot_prc_min, cot_prc_max, cot_prc_med, cot_prc_mediana) VALUES (36, 8, 72, 72, 72, 72, 72);</v>
      </c>
    </row>
    <row r="1362" spans="1:10" x14ac:dyDescent="0.3">
      <c r="A1362" s="1">
        <v>1361</v>
      </c>
      <c r="B1362" s="1">
        <v>36</v>
      </c>
      <c r="C1362" s="1">
        <v>9</v>
      </c>
      <c r="D1362" s="19">
        <f>IF('Boletins Nuppa Site'!G1362&lt;&gt;0,'Boletins Nuppa Site'!G1362,"NULL")</f>
        <v>24</v>
      </c>
      <c r="E1362" s="19">
        <f>IF('Boletins Nuppa Site'!H1362&lt;&gt;0,'Boletins Nuppa Site'!H1362,"NULL")</f>
        <v>18</v>
      </c>
      <c r="F1362" s="19">
        <f>IF('Boletins Nuppa Site'!I1362&lt;&gt;0,'Boletins Nuppa Site'!I1362,"NULL")</f>
        <v>24</v>
      </c>
      <c r="G1362" s="1" t="str">
        <f>IF('Boletins Nuppa Site'!J1362&lt;&gt;0,'Boletins Nuppa Site'!J1362,"NULL")</f>
        <v>22.5</v>
      </c>
      <c r="H1362" s="19">
        <f>IF('Boletins Nuppa Site'!K1362&lt;&gt;0,'Boletins Nuppa Site'!K1362,"NULL")</f>
        <v>24</v>
      </c>
      <c r="J1362" s="1" t="str">
        <f t="shared" si="21"/>
        <v>INSERT INTO COTACAO (blt_id, pap_id, cot_prc_comum, cot_prc_min, cot_prc_max, cot_prc_med, cot_prc_mediana) VALUES (36, 9, 24, 18, 24, 22.5, 24);</v>
      </c>
    </row>
    <row r="1363" spans="1:10" x14ac:dyDescent="0.3">
      <c r="A1363" s="1">
        <v>1362</v>
      </c>
      <c r="B1363" s="1">
        <v>36</v>
      </c>
      <c r="C1363" s="1">
        <v>10</v>
      </c>
      <c r="D1363" s="19">
        <f>IF('Boletins Nuppa Site'!G1363&lt;&gt;0,'Boletins Nuppa Site'!G1363,"NULL")</f>
        <v>60</v>
      </c>
      <c r="E1363" s="19">
        <f>IF('Boletins Nuppa Site'!H1363&lt;&gt;0,'Boletins Nuppa Site'!H1363,"NULL")</f>
        <v>50</v>
      </c>
      <c r="F1363" s="19">
        <f>IF('Boletins Nuppa Site'!I1363&lt;&gt;0,'Boletins Nuppa Site'!I1363,"NULL")</f>
        <v>60</v>
      </c>
      <c r="G1363" s="1" t="str">
        <f>IF('Boletins Nuppa Site'!J1363&lt;&gt;0,'Boletins Nuppa Site'!J1363,"NULL")</f>
        <v>56.67</v>
      </c>
      <c r="H1363" s="19">
        <f>IF('Boletins Nuppa Site'!K1363&lt;&gt;0,'Boletins Nuppa Site'!K1363,"NULL")</f>
        <v>60</v>
      </c>
      <c r="J1363" s="1" t="str">
        <f t="shared" si="21"/>
        <v>INSERT INTO COTACAO (blt_id, pap_id, cot_prc_comum, cot_prc_min, cot_prc_max, cot_prc_med, cot_prc_mediana) VALUES (36, 10, 60, 50, 60, 56.67, 60);</v>
      </c>
    </row>
    <row r="1364" spans="1:10" x14ac:dyDescent="0.3">
      <c r="A1364" s="1">
        <v>1363</v>
      </c>
      <c r="B1364" s="1">
        <v>36</v>
      </c>
      <c r="C1364" s="1">
        <v>11</v>
      </c>
      <c r="D1364" s="19">
        <f>IF('Boletins Nuppa Site'!G1364&lt;&gt;0,'Boletins Nuppa Site'!G1364,"NULL")</f>
        <v>24</v>
      </c>
      <c r="E1364" s="19">
        <f>IF('Boletins Nuppa Site'!H1364&lt;&gt;0,'Boletins Nuppa Site'!H1364,"NULL")</f>
        <v>20</v>
      </c>
      <c r="F1364" s="19">
        <f>IF('Boletins Nuppa Site'!I1364&lt;&gt;0,'Boletins Nuppa Site'!I1364,"NULL")</f>
        <v>24</v>
      </c>
      <c r="G1364" s="19">
        <f>IF('Boletins Nuppa Site'!J1364&lt;&gt;0,'Boletins Nuppa Site'!J1364,"NULL")</f>
        <v>23</v>
      </c>
      <c r="H1364" s="19">
        <f>IF('Boletins Nuppa Site'!K1364&lt;&gt;0,'Boletins Nuppa Site'!K1364,"NULL")</f>
        <v>24</v>
      </c>
      <c r="J1364" s="1" t="str">
        <f t="shared" si="21"/>
        <v>INSERT INTO COTACAO (blt_id, pap_id, cot_prc_comum, cot_prc_min, cot_prc_max, cot_prc_med, cot_prc_mediana) VALUES (36, 11, 24, 20, 24, 23, 24);</v>
      </c>
    </row>
    <row r="1365" spans="1:10" x14ac:dyDescent="0.3">
      <c r="A1365" s="1">
        <v>1364</v>
      </c>
      <c r="B1365" s="1">
        <v>36</v>
      </c>
      <c r="C1365" s="1">
        <v>12</v>
      </c>
      <c r="D1365" s="19">
        <f>IF('Boletins Nuppa Site'!G1365&lt;&gt;0,'Boletins Nuppa Site'!G1365,"NULL")</f>
        <v>48</v>
      </c>
      <c r="E1365" s="19">
        <f>IF('Boletins Nuppa Site'!H1365&lt;&gt;0,'Boletins Nuppa Site'!H1365,"NULL")</f>
        <v>48</v>
      </c>
      <c r="F1365" s="19">
        <f>IF('Boletins Nuppa Site'!I1365&lt;&gt;0,'Boletins Nuppa Site'!I1365,"NULL")</f>
        <v>72</v>
      </c>
      <c r="G1365" s="19">
        <f>IF('Boletins Nuppa Site'!J1365&lt;&gt;0,'Boletins Nuppa Site'!J1365,"NULL")</f>
        <v>56</v>
      </c>
      <c r="H1365" s="19">
        <f>IF('Boletins Nuppa Site'!K1365&lt;&gt;0,'Boletins Nuppa Site'!K1365,"NULL")</f>
        <v>48</v>
      </c>
      <c r="J1365" s="1" t="str">
        <f t="shared" si="21"/>
        <v>INSERT INTO COTACAO (blt_id, pap_id, cot_prc_comum, cot_prc_min, cot_prc_max, cot_prc_med, cot_prc_mediana) VALUES (36, 12, 48, 48, 72, 56, 48);</v>
      </c>
    </row>
    <row r="1366" spans="1:10" x14ac:dyDescent="0.3">
      <c r="A1366" s="1">
        <v>1365</v>
      </c>
      <c r="B1366" s="1">
        <v>36</v>
      </c>
      <c r="C1366" s="1">
        <v>13</v>
      </c>
      <c r="D1366" s="19">
        <f>IF('Boletins Nuppa Site'!G1366&lt;&gt;0,'Boletins Nuppa Site'!G1366,"NULL")</f>
        <v>60</v>
      </c>
      <c r="E1366" s="19">
        <f>IF('Boletins Nuppa Site'!H1366&lt;&gt;0,'Boletins Nuppa Site'!H1366,"NULL")</f>
        <v>48</v>
      </c>
      <c r="F1366" s="19">
        <f>IF('Boletins Nuppa Site'!I1366&lt;&gt;0,'Boletins Nuppa Site'!I1366,"NULL")</f>
        <v>60</v>
      </c>
      <c r="G1366" s="19">
        <f>IF('Boletins Nuppa Site'!J1366&lt;&gt;0,'Boletins Nuppa Site'!J1366,"NULL")</f>
        <v>54</v>
      </c>
      <c r="H1366" s="19">
        <f>IF('Boletins Nuppa Site'!K1366&lt;&gt;0,'Boletins Nuppa Site'!K1366,"NULL")</f>
        <v>54</v>
      </c>
      <c r="J1366" s="1" t="str">
        <f t="shared" si="21"/>
        <v>INSERT INTO COTACAO (blt_id, pap_id, cot_prc_comum, cot_prc_min, cot_prc_max, cot_prc_med, cot_prc_mediana) VALUES (36, 13, 60, 48, 60, 54, 54);</v>
      </c>
    </row>
    <row r="1367" spans="1:10" x14ac:dyDescent="0.3">
      <c r="A1367" s="1">
        <v>1366</v>
      </c>
      <c r="B1367" s="1">
        <v>36</v>
      </c>
      <c r="C1367" s="1">
        <v>14</v>
      </c>
      <c r="D1367" s="19">
        <f>IF('Boletins Nuppa Site'!G1367&lt;&gt;0,'Boletins Nuppa Site'!G1367,"NULL")</f>
        <v>48</v>
      </c>
      <c r="E1367" s="19">
        <f>IF('Boletins Nuppa Site'!H1367&lt;&gt;0,'Boletins Nuppa Site'!H1367,"NULL")</f>
        <v>35</v>
      </c>
      <c r="F1367" s="19">
        <f>IF('Boletins Nuppa Site'!I1367&lt;&gt;0,'Boletins Nuppa Site'!I1367,"NULL")</f>
        <v>48</v>
      </c>
      <c r="G1367" s="1" t="str">
        <f>IF('Boletins Nuppa Site'!J1367&lt;&gt;0,'Boletins Nuppa Site'!J1367,"NULL")</f>
        <v>43.67</v>
      </c>
      <c r="H1367" s="19">
        <f>IF('Boletins Nuppa Site'!K1367&lt;&gt;0,'Boletins Nuppa Site'!K1367,"NULL")</f>
        <v>48</v>
      </c>
      <c r="J1367" s="1" t="str">
        <f t="shared" si="21"/>
        <v>INSERT INTO COTACAO (blt_id, pap_id, cot_prc_comum, cot_prc_min, cot_prc_max, cot_prc_med, cot_prc_mediana) VALUES (36, 14, 48, 35, 48, 43.67, 48);</v>
      </c>
    </row>
    <row r="1368" spans="1:10" x14ac:dyDescent="0.3">
      <c r="A1368" s="1">
        <v>1367</v>
      </c>
      <c r="B1368" s="1">
        <v>36</v>
      </c>
      <c r="C1368" s="1">
        <v>15</v>
      </c>
      <c r="D1368" s="19">
        <f>IF('Boletins Nuppa Site'!G1368&lt;&gt;0,'Boletins Nuppa Site'!G1368,"NULL")</f>
        <v>30</v>
      </c>
      <c r="E1368" s="19">
        <f>IF('Boletins Nuppa Site'!H1368&lt;&gt;0,'Boletins Nuppa Site'!H1368,"NULL")</f>
        <v>24</v>
      </c>
      <c r="F1368" s="19">
        <f>IF('Boletins Nuppa Site'!I1368&lt;&gt;0,'Boletins Nuppa Site'!I1368,"NULL")</f>
        <v>36</v>
      </c>
      <c r="G1368" s="19">
        <f>IF('Boletins Nuppa Site'!J1368&lt;&gt;0,'Boletins Nuppa Site'!J1368,"NULL")</f>
        <v>30</v>
      </c>
      <c r="H1368" s="19">
        <f>IF('Boletins Nuppa Site'!K1368&lt;&gt;0,'Boletins Nuppa Site'!K1368,"NULL")</f>
        <v>30</v>
      </c>
      <c r="J1368" s="1" t="str">
        <f t="shared" si="21"/>
        <v>INSERT INTO COTACAO (blt_id, pap_id, cot_prc_comum, cot_prc_min, cot_prc_max, cot_prc_med, cot_prc_mediana) VALUES (36, 15, 30, 24, 36, 30, 30);</v>
      </c>
    </row>
    <row r="1369" spans="1:10" x14ac:dyDescent="0.3">
      <c r="A1369" s="1">
        <v>1368</v>
      </c>
      <c r="B1369" s="1">
        <v>36</v>
      </c>
      <c r="C1369" s="1">
        <v>16</v>
      </c>
      <c r="D1369" s="19">
        <f>IF('Boletins Nuppa Site'!G1369&lt;&gt;0,'Boletins Nuppa Site'!G1369,"NULL")</f>
        <v>48</v>
      </c>
      <c r="E1369" s="19">
        <f>IF('Boletins Nuppa Site'!H1369&lt;&gt;0,'Boletins Nuppa Site'!H1369,"NULL")</f>
        <v>48</v>
      </c>
      <c r="F1369" s="19">
        <f>IF('Boletins Nuppa Site'!I1369&lt;&gt;0,'Boletins Nuppa Site'!I1369,"NULL")</f>
        <v>54</v>
      </c>
      <c r="G1369" s="1" t="str">
        <f>IF('Boletins Nuppa Site'!J1369&lt;&gt;0,'Boletins Nuppa Site'!J1369,"NULL")</f>
        <v>49.5</v>
      </c>
      <c r="H1369" s="19">
        <f>IF('Boletins Nuppa Site'!K1369&lt;&gt;0,'Boletins Nuppa Site'!K1369,"NULL")</f>
        <v>48</v>
      </c>
      <c r="J1369" s="1" t="str">
        <f t="shared" si="21"/>
        <v>INSERT INTO COTACAO (blt_id, pap_id, cot_prc_comum, cot_prc_min, cot_prc_max, cot_prc_med, cot_prc_mediana) VALUES (36, 16, 48, 48, 54, 49.5, 48);</v>
      </c>
    </row>
    <row r="1370" spans="1:10" x14ac:dyDescent="0.3">
      <c r="A1370" s="1">
        <v>1369</v>
      </c>
      <c r="B1370" s="1">
        <v>36</v>
      </c>
      <c r="C1370" s="1">
        <v>17</v>
      </c>
      <c r="D1370" s="19">
        <f>IF('Boletins Nuppa Site'!G1370&lt;&gt;0,'Boletins Nuppa Site'!G1370,"NULL")</f>
        <v>5</v>
      </c>
      <c r="E1370" s="19">
        <f>IF('Boletins Nuppa Site'!H1370&lt;&gt;0,'Boletins Nuppa Site'!H1370,"NULL")</f>
        <v>4</v>
      </c>
      <c r="F1370" s="19">
        <f>IF('Boletins Nuppa Site'!I1370&lt;&gt;0,'Boletins Nuppa Site'!I1370,"NULL")</f>
        <v>5</v>
      </c>
      <c r="G1370" s="1" t="str">
        <f>IF('Boletins Nuppa Site'!J1370&lt;&gt;0,'Boletins Nuppa Site'!J1370,"NULL")</f>
        <v>4.75</v>
      </c>
      <c r="H1370" s="19">
        <f>IF('Boletins Nuppa Site'!K1370&lt;&gt;0,'Boletins Nuppa Site'!K1370,"NULL")</f>
        <v>5</v>
      </c>
      <c r="J1370" s="1" t="str">
        <f t="shared" si="21"/>
        <v>INSERT INTO COTACAO (blt_id, pap_id, cot_prc_comum, cot_prc_min, cot_prc_max, cot_prc_med, cot_prc_mediana) VALUES (36, 17, 5, 4, 5, 4.75, 5);</v>
      </c>
    </row>
    <row r="1371" spans="1:10" x14ac:dyDescent="0.3">
      <c r="A1371" s="1">
        <v>1370</v>
      </c>
      <c r="B1371" s="1">
        <v>36</v>
      </c>
      <c r="C1371" s="1">
        <v>18</v>
      </c>
      <c r="D1371" s="19">
        <f>IF('Boletins Nuppa Site'!G1371&lt;&gt;0,'Boletins Nuppa Site'!G1371,"NULL")</f>
        <v>12</v>
      </c>
      <c r="E1371" s="19">
        <f>IF('Boletins Nuppa Site'!H1371&lt;&gt;0,'Boletins Nuppa Site'!H1371,"NULL")</f>
        <v>12</v>
      </c>
      <c r="F1371" s="19">
        <f>IF('Boletins Nuppa Site'!I1371&lt;&gt;0,'Boletins Nuppa Site'!I1371,"NULL")</f>
        <v>15</v>
      </c>
      <c r="G1371" s="1" t="str">
        <f>IF('Boletins Nuppa Site'!J1371&lt;&gt;0,'Boletins Nuppa Site'!J1371,"NULL")</f>
        <v>12.75</v>
      </c>
      <c r="H1371" s="19">
        <f>IF('Boletins Nuppa Site'!K1371&lt;&gt;0,'Boletins Nuppa Site'!K1371,"NULL")</f>
        <v>12</v>
      </c>
      <c r="J1371" s="1" t="str">
        <f t="shared" si="21"/>
        <v>INSERT INTO COTACAO (blt_id, pap_id, cot_prc_comum, cot_prc_min, cot_prc_max, cot_prc_med, cot_prc_mediana) VALUES (36, 18, 12, 12, 15, 12.75, 12);</v>
      </c>
    </row>
    <row r="1372" spans="1:10" x14ac:dyDescent="0.3">
      <c r="A1372" s="1">
        <v>1371</v>
      </c>
      <c r="B1372" s="1">
        <v>36</v>
      </c>
      <c r="C1372" s="1">
        <v>19</v>
      </c>
      <c r="D1372" s="19">
        <f>IF('Boletins Nuppa Site'!G1372&lt;&gt;0,'Boletins Nuppa Site'!G1372,"NULL")</f>
        <v>20</v>
      </c>
      <c r="E1372" s="19">
        <f>IF('Boletins Nuppa Site'!H1372&lt;&gt;0,'Boletins Nuppa Site'!H1372,"NULL")</f>
        <v>20</v>
      </c>
      <c r="F1372" s="19">
        <f>IF('Boletins Nuppa Site'!I1372&lt;&gt;0,'Boletins Nuppa Site'!I1372,"NULL")</f>
        <v>30</v>
      </c>
      <c r="G1372" s="1" t="str">
        <f>IF('Boletins Nuppa Site'!J1372&lt;&gt;0,'Boletins Nuppa Site'!J1372,"NULL")</f>
        <v>23.75</v>
      </c>
      <c r="H1372" s="1" t="str">
        <f>IF('Boletins Nuppa Site'!K1372&lt;&gt;0,'Boletins Nuppa Site'!K1372,"NULL")</f>
        <v>22.5</v>
      </c>
      <c r="J1372" s="1" t="str">
        <f t="shared" si="21"/>
        <v>INSERT INTO COTACAO (blt_id, pap_id, cot_prc_comum, cot_prc_min, cot_prc_max, cot_prc_med, cot_prc_mediana) VALUES (36, 19, 20, 20, 30, 23.75, 22.5);</v>
      </c>
    </row>
    <row r="1373" spans="1:10" x14ac:dyDescent="0.3">
      <c r="A1373" s="1">
        <v>1372</v>
      </c>
      <c r="B1373" s="1">
        <v>36</v>
      </c>
      <c r="C1373" s="1">
        <v>20</v>
      </c>
      <c r="D1373" s="19">
        <f>IF('Boletins Nuppa Site'!G1373&lt;&gt;0,'Boletins Nuppa Site'!G1373,"NULL")</f>
        <v>80</v>
      </c>
      <c r="E1373" s="19">
        <f>IF('Boletins Nuppa Site'!H1373&lt;&gt;0,'Boletins Nuppa Site'!H1373,"NULL")</f>
        <v>75</v>
      </c>
      <c r="F1373" s="19">
        <f>IF('Boletins Nuppa Site'!I1373&lt;&gt;0,'Boletins Nuppa Site'!I1373,"NULL")</f>
        <v>80</v>
      </c>
      <c r="G1373" s="1" t="str">
        <f>IF('Boletins Nuppa Site'!J1373&lt;&gt;0,'Boletins Nuppa Site'!J1373,"NULL")</f>
        <v>78.33</v>
      </c>
      <c r="H1373" s="19">
        <f>IF('Boletins Nuppa Site'!K1373&lt;&gt;0,'Boletins Nuppa Site'!K1373,"NULL")</f>
        <v>80</v>
      </c>
      <c r="J1373" s="1" t="str">
        <f t="shared" si="21"/>
        <v>INSERT INTO COTACAO (blt_id, pap_id, cot_prc_comum, cot_prc_min, cot_prc_max, cot_prc_med, cot_prc_mediana) VALUES (36, 20, 80, 75, 80, 78.33, 80);</v>
      </c>
    </row>
    <row r="1374" spans="1:10" x14ac:dyDescent="0.3">
      <c r="A1374" s="1">
        <v>1373</v>
      </c>
      <c r="B1374" s="1">
        <v>36</v>
      </c>
      <c r="C1374" s="1">
        <v>21</v>
      </c>
      <c r="D1374" s="19">
        <f>IF('Boletins Nuppa Site'!G1374&lt;&gt;0,'Boletins Nuppa Site'!G1374,"NULL")</f>
        <v>35</v>
      </c>
      <c r="E1374" s="19">
        <f>IF('Boletins Nuppa Site'!H1374&lt;&gt;0,'Boletins Nuppa Site'!H1374,"NULL")</f>
        <v>35</v>
      </c>
      <c r="F1374" s="19">
        <f>IF('Boletins Nuppa Site'!I1374&lt;&gt;0,'Boletins Nuppa Site'!I1374,"NULL")</f>
        <v>50</v>
      </c>
      <c r="G1374" s="1" t="str">
        <f>IF('Boletins Nuppa Site'!J1374&lt;&gt;0,'Boletins Nuppa Site'!J1374,"NULL")</f>
        <v>41.25</v>
      </c>
      <c r="H1374" s="19">
        <f>IF('Boletins Nuppa Site'!K1374&lt;&gt;0,'Boletins Nuppa Site'!K1374,"NULL")</f>
        <v>40</v>
      </c>
      <c r="J1374" s="1" t="str">
        <f t="shared" si="21"/>
        <v>INSERT INTO COTACAO (blt_id, pap_id, cot_prc_comum, cot_prc_min, cot_prc_max, cot_prc_med, cot_prc_mediana) VALUES (36, 21, 35, 35, 50, 41.25, 40);</v>
      </c>
    </row>
    <row r="1375" spans="1:10" x14ac:dyDescent="0.3">
      <c r="A1375" s="1">
        <v>1374</v>
      </c>
      <c r="B1375" s="1">
        <v>36</v>
      </c>
      <c r="C1375" s="1">
        <v>22</v>
      </c>
      <c r="D1375" s="19">
        <f>IF('Boletins Nuppa Site'!G1375&lt;&gt;0,'Boletins Nuppa Site'!G1375,"NULL")</f>
        <v>70</v>
      </c>
      <c r="E1375" s="19">
        <f>IF('Boletins Nuppa Site'!H1375&lt;&gt;0,'Boletins Nuppa Site'!H1375,"NULL")</f>
        <v>45</v>
      </c>
      <c r="F1375" s="19">
        <f>IF('Boletins Nuppa Site'!I1375&lt;&gt;0,'Boletins Nuppa Site'!I1375,"NULL")</f>
        <v>70</v>
      </c>
      <c r="G1375" s="1" t="str">
        <f>IF('Boletins Nuppa Site'!J1375&lt;&gt;0,'Boletins Nuppa Site'!J1375,"NULL")</f>
        <v>62.5</v>
      </c>
      <c r="H1375" s="1" t="str">
        <f>IF('Boletins Nuppa Site'!K1375&lt;&gt;0,'Boletins Nuppa Site'!K1375,"NULL")</f>
        <v>67.5</v>
      </c>
      <c r="J1375" s="1" t="str">
        <f t="shared" si="21"/>
        <v>INSERT INTO COTACAO (blt_id, pap_id, cot_prc_comum, cot_prc_min, cot_prc_max, cot_prc_med, cot_prc_mediana) VALUES (36, 22, 70, 45, 70, 62.5, 67.5);</v>
      </c>
    </row>
    <row r="1376" spans="1:10" x14ac:dyDescent="0.3">
      <c r="A1376" s="1">
        <v>1375</v>
      </c>
      <c r="B1376" s="1">
        <v>36</v>
      </c>
      <c r="C1376" s="1">
        <v>23</v>
      </c>
      <c r="D1376" s="19">
        <f>IF('Boletins Nuppa Site'!G1376&lt;&gt;0,'Boletins Nuppa Site'!G1376,"NULL")</f>
        <v>60</v>
      </c>
      <c r="E1376" s="19">
        <f>IF('Boletins Nuppa Site'!H1376&lt;&gt;0,'Boletins Nuppa Site'!H1376,"NULL")</f>
        <v>50</v>
      </c>
      <c r="F1376" s="19">
        <f>IF('Boletins Nuppa Site'!I1376&lt;&gt;0,'Boletins Nuppa Site'!I1376,"NULL")</f>
        <v>60</v>
      </c>
      <c r="G1376" s="1" t="str">
        <f>IF('Boletins Nuppa Site'!J1376&lt;&gt;0,'Boletins Nuppa Site'!J1376,"NULL")</f>
        <v>57.5</v>
      </c>
      <c r="H1376" s="19">
        <f>IF('Boletins Nuppa Site'!K1376&lt;&gt;0,'Boletins Nuppa Site'!K1376,"NULL")</f>
        <v>60</v>
      </c>
      <c r="J1376" s="1" t="str">
        <f t="shared" si="21"/>
        <v>INSERT INTO COTACAO (blt_id, pap_id, cot_prc_comum, cot_prc_min, cot_prc_max, cot_prc_med, cot_prc_mediana) VALUES (36, 23, 60, 50, 60, 57.5, 60);</v>
      </c>
    </row>
    <row r="1377" spans="1:10" x14ac:dyDescent="0.3">
      <c r="A1377" s="1">
        <v>1376</v>
      </c>
      <c r="B1377" s="1">
        <v>36</v>
      </c>
      <c r="C1377" s="1">
        <v>24</v>
      </c>
      <c r="D1377" s="1" t="str">
        <f>IF('Boletins Nuppa Site'!G1377&lt;&gt;0,'Boletins Nuppa Site'!G1377,"NULL")</f>
        <v>NULL</v>
      </c>
      <c r="E1377" s="19">
        <f>IF('Boletins Nuppa Site'!H1377&lt;&gt;0,'Boletins Nuppa Site'!H1377,"NULL")</f>
        <v>75</v>
      </c>
      <c r="F1377" s="19">
        <f>IF('Boletins Nuppa Site'!I1377&lt;&gt;0,'Boletins Nuppa Site'!I1377,"NULL")</f>
        <v>120</v>
      </c>
      <c r="G1377" s="1" t="str">
        <f>IF('Boletins Nuppa Site'!J1377&lt;&gt;0,'Boletins Nuppa Site'!J1377,"NULL")</f>
        <v>97.5</v>
      </c>
      <c r="H1377" s="1" t="str">
        <f>IF('Boletins Nuppa Site'!K1377&lt;&gt;0,'Boletins Nuppa Site'!K1377,"NULL")</f>
        <v>97.5</v>
      </c>
      <c r="J1377" s="1" t="str">
        <f t="shared" si="21"/>
        <v>INSERT INTO COTACAO (blt_id, pap_id, cot_prc_comum, cot_prc_min, cot_prc_max, cot_prc_med, cot_prc_mediana) VALUES (36, 24, NULL, 75, 120, 97.5, 97.5);</v>
      </c>
    </row>
    <row r="1378" spans="1:10" x14ac:dyDescent="0.3">
      <c r="A1378" s="1">
        <v>1377</v>
      </c>
      <c r="B1378" s="1">
        <v>36</v>
      </c>
      <c r="C1378" s="1">
        <v>25</v>
      </c>
      <c r="D1378" s="1" t="str">
        <f>IF('Boletins Nuppa Site'!G1378&lt;&gt;0,'Boletins Nuppa Site'!G1378,"NULL")</f>
        <v>NULL</v>
      </c>
      <c r="E1378" s="19">
        <f>IF('Boletins Nuppa Site'!H1378&lt;&gt;0,'Boletins Nuppa Site'!H1378,"NULL")</f>
        <v>60</v>
      </c>
      <c r="F1378" s="19">
        <f>IF('Boletins Nuppa Site'!I1378&lt;&gt;0,'Boletins Nuppa Site'!I1378,"NULL")</f>
        <v>80</v>
      </c>
      <c r="G1378" s="1" t="str">
        <f>IF('Boletins Nuppa Site'!J1378&lt;&gt;0,'Boletins Nuppa Site'!J1378,"NULL")</f>
        <v>68.75</v>
      </c>
      <c r="H1378" s="1" t="str">
        <f>IF('Boletins Nuppa Site'!K1378&lt;&gt;0,'Boletins Nuppa Site'!K1378,"NULL")</f>
        <v>67.5</v>
      </c>
      <c r="J1378" s="1" t="str">
        <f t="shared" si="21"/>
        <v>INSERT INTO COTACAO (blt_id, pap_id, cot_prc_comum, cot_prc_min, cot_prc_max, cot_prc_med, cot_prc_mediana) VALUES (36, 25, NULL, 60, 80, 68.75, 67.5);</v>
      </c>
    </row>
    <row r="1379" spans="1:10" x14ac:dyDescent="0.3">
      <c r="A1379" s="1">
        <v>1378</v>
      </c>
      <c r="B1379" s="1">
        <v>36</v>
      </c>
      <c r="C1379" s="1">
        <v>26</v>
      </c>
      <c r="D1379" s="19">
        <f>IF('Boletins Nuppa Site'!G1379&lt;&gt;0,'Boletins Nuppa Site'!G1379,"NULL")</f>
        <v>55</v>
      </c>
      <c r="E1379" s="19">
        <f>IF('Boletins Nuppa Site'!H1379&lt;&gt;0,'Boletins Nuppa Site'!H1379,"NULL")</f>
        <v>30</v>
      </c>
      <c r="F1379" s="19">
        <f>IF('Boletins Nuppa Site'!I1379&lt;&gt;0,'Boletins Nuppa Site'!I1379,"NULL")</f>
        <v>60</v>
      </c>
      <c r="G1379" s="19">
        <f>IF('Boletins Nuppa Site'!J1379&lt;&gt;0,'Boletins Nuppa Site'!J1379,"NULL")</f>
        <v>50</v>
      </c>
      <c r="H1379" s="19">
        <f>IF('Boletins Nuppa Site'!K1379&lt;&gt;0,'Boletins Nuppa Site'!K1379,"NULL")</f>
        <v>55</v>
      </c>
      <c r="J1379" s="1" t="str">
        <f t="shared" si="21"/>
        <v>INSERT INTO COTACAO (blt_id, pap_id, cot_prc_comum, cot_prc_min, cot_prc_max, cot_prc_med, cot_prc_mediana) VALUES (36, 26, 55, 30, 60, 50, 55);</v>
      </c>
    </row>
    <row r="1380" spans="1:10" x14ac:dyDescent="0.3">
      <c r="A1380" s="1">
        <v>1379</v>
      </c>
      <c r="B1380" s="1">
        <v>36</v>
      </c>
      <c r="C1380" s="1">
        <v>27</v>
      </c>
      <c r="D1380" s="19">
        <f>IF('Boletins Nuppa Site'!G1380&lt;&gt;0,'Boletins Nuppa Site'!G1380,"NULL")</f>
        <v>60</v>
      </c>
      <c r="E1380" s="19">
        <f>IF('Boletins Nuppa Site'!H1380&lt;&gt;0,'Boletins Nuppa Site'!H1380,"NULL")</f>
        <v>60</v>
      </c>
      <c r="F1380" s="19">
        <f>IF('Boletins Nuppa Site'!I1380&lt;&gt;0,'Boletins Nuppa Site'!I1380,"NULL")</f>
        <v>85</v>
      </c>
      <c r="G1380" s="1" t="str">
        <f>IF('Boletins Nuppa Site'!J1380&lt;&gt;0,'Boletins Nuppa Site'!J1380,"NULL")</f>
        <v>67.5</v>
      </c>
      <c r="H1380" s="1" t="str">
        <f>IF('Boletins Nuppa Site'!K1380&lt;&gt;0,'Boletins Nuppa Site'!K1380,"NULL")</f>
        <v>62.5</v>
      </c>
      <c r="J1380" s="1" t="str">
        <f t="shared" si="21"/>
        <v>INSERT INTO COTACAO (blt_id, pap_id, cot_prc_comum, cot_prc_min, cot_prc_max, cot_prc_med, cot_prc_mediana) VALUES (36, 27, 60, 60, 85, 67.5, 62.5);</v>
      </c>
    </row>
    <row r="1381" spans="1:10" x14ac:dyDescent="0.3">
      <c r="A1381" s="1">
        <v>1380</v>
      </c>
      <c r="B1381" s="1">
        <v>36</v>
      </c>
      <c r="C1381" s="1">
        <v>28</v>
      </c>
      <c r="D1381" s="19">
        <f>IF('Boletins Nuppa Site'!G1381&lt;&gt;0,'Boletins Nuppa Site'!G1381,"NULL")</f>
        <v>120</v>
      </c>
      <c r="E1381" s="19">
        <f>IF('Boletins Nuppa Site'!H1381&lt;&gt;0,'Boletins Nuppa Site'!H1381,"NULL")</f>
        <v>120</v>
      </c>
      <c r="F1381" s="19">
        <f>IF('Boletins Nuppa Site'!I1381&lt;&gt;0,'Boletins Nuppa Site'!I1381,"NULL")</f>
        <v>120</v>
      </c>
      <c r="G1381" s="19">
        <f>IF('Boletins Nuppa Site'!J1381&lt;&gt;0,'Boletins Nuppa Site'!J1381,"NULL")</f>
        <v>120</v>
      </c>
      <c r="H1381" s="19">
        <f>IF('Boletins Nuppa Site'!K1381&lt;&gt;0,'Boletins Nuppa Site'!K1381,"NULL")</f>
        <v>120</v>
      </c>
      <c r="J1381" s="1" t="str">
        <f t="shared" si="21"/>
        <v>INSERT INTO COTACAO (blt_id, pap_id, cot_prc_comum, cot_prc_min, cot_prc_max, cot_prc_med, cot_prc_mediana) VALUES (36, 28, 120, 120, 120, 120, 120);</v>
      </c>
    </row>
    <row r="1382" spans="1:10" x14ac:dyDescent="0.3">
      <c r="A1382" s="1">
        <v>1381</v>
      </c>
      <c r="B1382" s="1">
        <v>36</v>
      </c>
      <c r="C1382" s="1">
        <v>29</v>
      </c>
      <c r="D1382" s="1" t="str">
        <f>IF('Boletins Nuppa Site'!G1382&lt;&gt;0,'Boletins Nuppa Site'!G1382,"NULL")</f>
        <v>NULL</v>
      </c>
      <c r="E1382" s="19">
        <f>IF('Boletins Nuppa Site'!H1382&lt;&gt;0,'Boletins Nuppa Site'!H1382,"NULL")</f>
        <v>50</v>
      </c>
      <c r="F1382" s="19">
        <f>IF('Boletins Nuppa Site'!I1382&lt;&gt;0,'Boletins Nuppa Site'!I1382,"NULL")</f>
        <v>50</v>
      </c>
      <c r="G1382" s="19">
        <f>IF('Boletins Nuppa Site'!J1382&lt;&gt;0,'Boletins Nuppa Site'!J1382,"NULL")</f>
        <v>50</v>
      </c>
      <c r="H1382" s="19">
        <f>IF('Boletins Nuppa Site'!K1382&lt;&gt;0,'Boletins Nuppa Site'!K1382,"NULL")</f>
        <v>50</v>
      </c>
      <c r="J1382" s="1" t="str">
        <f t="shared" si="21"/>
        <v>INSERT INTO COTACAO (blt_id, pap_id, cot_prc_comum, cot_prc_min, cot_prc_max, cot_prc_med, cot_prc_mediana) VALUES (36, 29, NULL, 50, 50, 50, 50);</v>
      </c>
    </row>
    <row r="1383" spans="1:10" x14ac:dyDescent="0.3">
      <c r="A1383" s="1">
        <v>1382</v>
      </c>
      <c r="B1383" s="1">
        <v>36</v>
      </c>
      <c r="C1383" s="1">
        <v>30</v>
      </c>
      <c r="D1383" s="19">
        <f>IF('Boletins Nuppa Site'!G1383&lt;&gt;0,'Boletins Nuppa Site'!G1383,"NULL")</f>
        <v>100</v>
      </c>
      <c r="E1383" s="19">
        <f>IF('Boletins Nuppa Site'!H1383&lt;&gt;0,'Boletins Nuppa Site'!H1383,"NULL")</f>
        <v>100</v>
      </c>
      <c r="F1383" s="19">
        <f>IF('Boletins Nuppa Site'!I1383&lt;&gt;0,'Boletins Nuppa Site'!I1383,"NULL")</f>
        <v>100</v>
      </c>
      <c r="G1383" s="19">
        <f>IF('Boletins Nuppa Site'!J1383&lt;&gt;0,'Boletins Nuppa Site'!J1383,"NULL")</f>
        <v>100</v>
      </c>
      <c r="H1383" s="19">
        <f>IF('Boletins Nuppa Site'!K1383&lt;&gt;0,'Boletins Nuppa Site'!K1383,"NULL")</f>
        <v>100</v>
      </c>
      <c r="J1383" s="1" t="str">
        <f t="shared" si="21"/>
        <v>INSERT INTO COTACAO (blt_id, pap_id, cot_prc_comum, cot_prc_min, cot_prc_max, cot_prc_med, cot_prc_mediana) VALUES (36, 30, 100, 100, 100, 100, 100);</v>
      </c>
    </row>
    <row r="1384" spans="1:10" x14ac:dyDescent="0.3">
      <c r="A1384" s="1">
        <v>1383</v>
      </c>
      <c r="B1384" s="1">
        <v>36</v>
      </c>
      <c r="C1384" s="1">
        <v>31</v>
      </c>
      <c r="D1384" s="19">
        <f>IF('Boletins Nuppa Site'!G1384&lt;&gt;0,'Boletins Nuppa Site'!G1384,"NULL")</f>
        <v>120</v>
      </c>
      <c r="E1384" s="19">
        <f>IF('Boletins Nuppa Site'!H1384&lt;&gt;0,'Boletins Nuppa Site'!H1384,"NULL")</f>
        <v>120</v>
      </c>
      <c r="F1384" s="19">
        <f>IF('Boletins Nuppa Site'!I1384&lt;&gt;0,'Boletins Nuppa Site'!I1384,"NULL")</f>
        <v>140</v>
      </c>
      <c r="G1384" s="1" t="str">
        <f>IF('Boletins Nuppa Site'!J1384&lt;&gt;0,'Boletins Nuppa Site'!J1384,"NULL")</f>
        <v>127.5</v>
      </c>
      <c r="H1384" s="19">
        <f>IF('Boletins Nuppa Site'!K1384&lt;&gt;0,'Boletins Nuppa Site'!K1384,"NULL")</f>
        <v>125</v>
      </c>
      <c r="J1384" s="1" t="str">
        <f t="shared" si="21"/>
        <v>INSERT INTO COTACAO (blt_id, pap_id, cot_prc_comum, cot_prc_min, cot_prc_max, cot_prc_med, cot_prc_mediana) VALUES (36, 31, 120, 120, 140, 127.5, 125);</v>
      </c>
    </row>
    <row r="1385" spans="1:10" x14ac:dyDescent="0.3">
      <c r="A1385" s="1">
        <v>1384</v>
      </c>
      <c r="B1385" s="1">
        <v>36</v>
      </c>
      <c r="C1385" s="1">
        <v>32</v>
      </c>
      <c r="D1385" s="1" t="str">
        <f>IF('Boletins Nuppa Site'!G1385&lt;&gt;0,'Boletins Nuppa Site'!G1385,"NULL")</f>
        <v>NULL</v>
      </c>
      <c r="E1385" s="19">
        <f>IF('Boletins Nuppa Site'!H1385&lt;&gt;0,'Boletins Nuppa Site'!H1385,"NULL")</f>
        <v>45</v>
      </c>
      <c r="F1385" s="19">
        <f>IF('Boletins Nuppa Site'!I1385&lt;&gt;0,'Boletins Nuppa Site'!I1385,"NULL")</f>
        <v>80</v>
      </c>
      <c r="G1385" s="19">
        <f>IF('Boletins Nuppa Site'!J1385&lt;&gt;0,'Boletins Nuppa Site'!J1385,"NULL")</f>
        <v>60</v>
      </c>
      <c r="H1385" s="1" t="str">
        <f>IF('Boletins Nuppa Site'!K1385&lt;&gt;0,'Boletins Nuppa Site'!K1385,"NULL")</f>
        <v>57.5</v>
      </c>
      <c r="J1385" s="1" t="str">
        <f t="shared" si="21"/>
        <v>INSERT INTO COTACAO (blt_id, pap_id, cot_prc_comum, cot_prc_min, cot_prc_max, cot_prc_med, cot_prc_mediana) VALUES (36, 32, NULL, 45, 80, 60, 57.5);</v>
      </c>
    </row>
    <row r="1386" spans="1:10" x14ac:dyDescent="0.3">
      <c r="A1386" s="1">
        <v>1385</v>
      </c>
      <c r="B1386" s="1">
        <v>36</v>
      </c>
      <c r="C1386" s="1">
        <v>33</v>
      </c>
      <c r="D1386" s="19">
        <f>IF('Boletins Nuppa Site'!G1386&lt;&gt;0,'Boletins Nuppa Site'!G1386,"NULL")</f>
        <v>140</v>
      </c>
      <c r="E1386" s="19">
        <f>IF('Boletins Nuppa Site'!H1386&lt;&gt;0,'Boletins Nuppa Site'!H1386,"NULL")</f>
        <v>140</v>
      </c>
      <c r="F1386" s="19">
        <f>IF('Boletins Nuppa Site'!I1386&lt;&gt;0,'Boletins Nuppa Site'!I1386,"NULL")</f>
        <v>175</v>
      </c>
      <c r="G1386" s="1" t="str">
        <f>IF('Boletins Nuppa Site'!J1386&lt;&gt;0,'Boletins Nuppa Site'!J1386,"NULL")</f>
        <v>151.25</v>
      </c>
      <c r="H1386" s="19">
        <f>IF('Boletins Nuppa Site'!K1386&lt;&gt;0,'Boletins Nuppa Site'!K1386,"NULL")</f>
        <v>145</v>
      </c>
      <c r="J1386" s="1" t="str">
        <f t="shared" si="21"/>
        <v>INSERT INTO COTACAO (blt_id, pap_id, cot_prc_comum, cot_prc_min, cot_prc_max, cot_prc_med, cot_prc_mediana) VALUES (36, 33, 140, 140, 175, 151.25, 145);</v>
      </c>
    </row>
    <row r="1387" spans="1:10" x14ac:dyDescent="0.3">
      <c r="A1387" s="1">
        <v>1386</v>
      </c>
      <c r="B1387" s="1">
        <v>36</v>
      </c>
      <c r="C1387" s="1">
        <v>34</v>
      </c>
      <c r="D1387" s="19">
        <f>IF('Boletins Nuppa Site'!G1387&lt;&gt;0,'Boletins Nuppa Site'!G1387,"NULL")</f>
        <v>80</v>
      </c>
      <c r="E1387" s="19">
        <f>IF('Boletins Nuppa Site'!H1387&lt;&gt;0,'Boletins Nuppa Site'!H1387,"NULL")</f>
        <v>45</v>
      </c>
      <c r="F1387" s="19">
        <f>IF('Boletins Nuppa Site'!I1387&lt;&gt;0,'Boletins Nuppa Site'!I1387,"NULL")</f>
        <v>90</v>
      </c>
      <c r="G1387" s="1" t="str">
        <f>IF('Boletins Nuppa Site'!J1387&lt;&gt;0,'Boletins Nuppa Site'!J1387,"NULL")</f>
        <v>73.75</v>
      </c>
      <c r="H1387" s="19">
        <f>IF('Boletins Nuppa Site'!K1387&lt;&gt;0,'Boletins Nuppa Site'!K1387,"NULL")</f>
        <v>80</v>
      </c>
      <c r="J1387" s="1" t="str">
        <f t="shared" si="21"/>
        <v>INSERT INTO COTACAO (blt_id, pap_id, cot_prc_comum, cot_prc_min, cot_prc_max, cot_prc_med, cot_prc_mediana) VALUES (36, 34, 80, 45, 90, 73.75, 80);</v>
      </c>
    </row>
    <row r="1388" spans="1:10" x14ac:dyDescent="0.3">
      <c r="A1388" s="1">
        <v>1387</v>
      </c>
      <c r="B1388" s="1">
        <v>36</v>
      </c>
      <c r="C1388" s="1">
        <v>35</v>
      </c>
      <c r="D1388" s="19">
        <f>IF('Boletins Nuppa Site'!G1388&lt;&gt;0,'Boletins Nuppa Site'!G1388,"NULL")</f>
        <v>110</v>
      </c>
      <c r="E1388" s="19">
        <f>IF('Boletins Nuppa Site'!H1388&lt;&gt;0,'Boletins Nuppa Site'!H1388,"NULL")</f>
        <v>110</v>
      </c>
      <c r="F1388" s="19">
        <f>IF('Boletins Nuppa Site'!I1388&lt;&gt;0,'Boletins Nuppa Site'!I1388,"NULL")</f>
        <v>120</v>
      </c>
      <c r="G1388" s="1" t="str">
        <f>IF('Boletins Nuppa Site'!J1388&lt;&gt;0,'Boletins Nuppa Site'!J1388,"NULL")</f>
        <v>113.33</v>
      </c>
      <c r="H1388" s="19">
        <f>IF('Boletins Nuppa Site'!K1388&lt;&gt;0,'Boletins Nuppa Site'!K1388,"NULL")</f>
        <v>110</v>
      </c>
      <c r="J1388" s="1" t="str">
        <f t="shared" si="21"/>
        <v>INSERT INTO COTACAO (blt_id, pap_id, cot_prc_comum, cot_prc_min, cot_prc_max, cot_prc_med, cot_prc_mediana) VALUES (36, 35, 110, 110, 120, 113.33, 110);</v>
      </c>
    </row>
    <row r="1389" spans="1:10" x14ac:dyDescent="0.3">
      <c r="A1389" s="1">
        <v>1388</v>
      </c>
      <c r="B1389" s="1">
        <v>36</v>
      </c>
      <c r="C1389" s="1">
        <v>36</v>
      </c>
      <c r="D1389" s="1" t="str">
        <f>IF('Boletins Nuppa Site'!G1389&lt;&gt;0,'Boletins Nuppa Site'!G1389,"NULL")</f>
        <v>NULL</v>
      </c>
      <c r="E1389" s="1" t="str">
        <f>IF('Boletins Nuppa Site'!H1389&lt;&gt;0,'Boletins Nuppa Site'!H1389,"NULL")</f>
        <v>NULL</v>
      </c>
      <c r="F1389" s="1" t="str">
        <f>IF('Boletins Nuppa Site'!I1389&lt;&gt;0,'Boletins Nuppa Site'!I1389,"NULL")</f>
        <v>NULL</v>
      </c>
      <c r="G1389" s="1" t="str">
        <f>IF('Boletins Nuppa Site'!J1389&lt;&gt;0,'Boletins Nuppa Site'!J1389,"NULL")</f>
        <v>NULL</v>
      </c>
      <c r="H1389" s="1" t="str">
        <f>IF('Boletins Nuppa Site'!K1389&lt;&gt;0,'Boletins Nuppa Site'!K1389,"NULL")</f>
        <v>NULL</v>
      </c>
      <c r="J1389" s="1" t="str">
        <f t="shared" si="21"/>
        <v>INSERT INTO COTACAO (blt_id, pap_id, cot_prc_comum, cot_prc_min, cot_prc_max, cot_prc_med, cot_prc_mediana) VALUES (36, 36, NULL, NULL, NULL, NULL, NULL);</v>
      </c>
    </row>
    <row r="1390" spans="1:10" x14ac:dyDescent="0.3">
      <c r="A1390" s="1">
        <v>1389</v>
      </c>
      <c r="B1390" s="1">
        <v>36</v>
      </c>
      <c r="C1390" s="1">
        <v>37</v>
      </c>
      <c r="D1390" s="1" t="str">
        <f>IF('Boletins Nuppa Site'!G1390&lt;&gt;0,'Boletins Nuppa Site'!G1390,"NULL")</f>
        <v>NULL</v>
      </c>
      <c r="E1390" s="1" t="str">
        <f>IF('Boletins Nuppa Site'!H1390&lt;&gt;0,'Boletins Nuppa Site'!H1390,"NULL")</f>
        <v>NULL</v>
      </c>
      <c r="F1390" s="1" t="str">
        <f>IF('Boletins Nuppa Site'!I1390&lt;&gt;0,'Boletins Nuppa Site'!I1390,"NULL")</f>
        <v>NULL</v>
      </c>
      <c r="G1390" s="1" t="str">
        <f>IF('Boletins Nuppa Site'!J1390&lt;&gt;0,'Boletins Nuppa Site'!J1390,"NULL")</f>
        <v>NULL</v>
      </c>
      <c r="H1390" s="1" t="str">
        <f>IF('Boletins Nuppa Site'!K1390&lt;&gt;0,'Boletins Nuppa Site'!K1390,"NULL")</f>
        <v>NULL</v>
      </c>
      <c r="J1390" s="1" t="str">
        <f t="shared" si="21"/>
        <v>INSERT INTO COTACAO (blt_id, pap_id, cot_prc_comum, cot_prc_min, cot_prc_max, cot_prc_med, cot_prc_mediana) VALUES (36, 37, NULL, NULL, NULL, NULL, NULL);</v>
      </c>
    </row>
    <row r="1391" spans="1:10" x14ac:dyDescent="0.3">
      <c r="A1391" s="1">
        <v>1390</v>
      </c>
      <c r="B1391" s="1">
        <v>36</v>
      </c>
      <c r="C1391" s="1">
        <v>38</v>
      </c>
      <c r="D1391" s="1" t="str">
        <f>IF('Boletins Nuppa Site'!G1391&lt;&gt;0,'Boletins Nuppa Site'!G1391,"NULL")</f>
        <v>NULL</v>
      </c>
      <c r="E1391" s="1" t="str">
        <f>IF('Boletins Nuppa Site'!H1391&lt;&gt;0,'Boletins Nuppa Site'!H1391,"NULL")</f>
        <v>NULL</v>
      </c>
      <c r="F1391" s="1" t="str">
        <f>IF('Boletins Nuppa Site'!I1391&lt;&gt;0,'Boletins Nuppa Site'!I1391,"NULL")</f>
        <v>NULL</v>
      </c>
      <c r="G1391" s="1" t="str">
        <f>IF('Boletins Nuppa Site'!J1391&lt;&gt;0,'Boletins Nuppa Site'!J1391,"NULL")</f>
        <v>NULL</v>
      </c>
      <c r="H1391" s="1" t="str">
        <f>IF('Boletins Nuppa Site'!K1391&lt;&gt;0,'Boletins Nuppa Site'!K1391,"NULL")</f>
        <v>NULL</v>
      </c>
      <c r="J1391" s="1" t="str">
        <f t="shared" si="21"/>
        <v>INSERT INTO COTACAO (blt_id, pap_id, cot_prc_comum, cot_prc_min, cot_prc_max, cot_prc_med, cot_prc_mediana) VALUES (36, 38, NULL, NULL, NULL, NULL, NULL);</v>
      </c>
    </row>
    <row r="1392" spans="1:10" x14ac:dyDescent="0.3">
      <c r="A1392" s="1">
        <v>1391</v>
      </c>
      <c r="B1392" s="1">
        <v>36</v>
      </c>
      <c r="C1392" s="1">
        <v>39</v>
      </c>
      <c r="D1392" s="1" t="str">
        <f>IF('Boletins Nuppa Site'!G1392&lt;&gt;0,'Boletins Nuppa Site'!G1392,"NULL")</f>
        <v>NULL</v>
      </c>
      <c r="E1392" s="19">
        <f>IF('Boletins Nuppa Site'!H1392&lt;&gt;0,'Boletins Nuppa Site'!H1392,"NULL")</f>
        <v>60</v>
      </c>
      <c r="F1392" s="19">
        <f>IF('Boletins Nuppa Site'!I1392&lt;&gt;0,'Boletins Nuppa Site'!I1392,"NULL")</f>
        <v>60</v>
      </c>
      <c r="G1392" s="19">
        <f>IF('Boletins Nuppa Site'!J1392&lt;&gt;0,'Boletins Nuppa Site'!J1392,"NULL")</f>
        <v>60</v>
      </c>
      <c r="H1392" s="19">
        <f>IF('Boletins Nuppa Site'!K1392&lt;&gt;0,'Boletins Nuppa Site'!K1392,"NULL")</f>
        <v>60</v>
      </c>
      <c r="J1392" s="1" t="str">
        <f t="shared" si="21"/>
        <v>INSERT INTO COTACAO (blt_id, pap_id, cot_prc_comum, cot_prc_min, cot_prc_max, cot_prc_med, cot_prc_mediana) VALUES (36, 39, NULL, 60, 60, 60, 60);</v>
      </c>
    </row>
    <row r="1393" spans="1:10" x14ac:dyDescent="0.3">
      <c r="A1393" s="1">
        <v>1392</v>
      </c>
      <c r="B1393" s="1">
        <v>36</v>
      </c>
      <c r="C1393" s="1">
        <v>40</v>
      </c>
      <c r="D1393" s="1" t="str">
        <f>IF('Boletins Nuppa Site'!G1393&lt;&gt;0,'Boletins Nuppa Site'!G1393,"NULL")</f>
        <v>NULL</v>
      </c>
      <c r="E1393" s="1" t="str">
        <f>IF('Boletins Nuppa Site'!H1393&lt;&gt;0,'Boletins Nuppa Site'!H1393,"NULL")</f>
        <v>NULL</v>
      </c>
      <c r="F1393" s="1" t="str">
        <f>IF('Boletins Nuppa Site'!I1393&lt;&gt;0,'Boletins Nuppa Site'!I1393,"NULL")</f>
        <v>NULL</v>
      </c>
      <c r="G1393" s="1" t="str">
        <f>IF('Boletins Nuppa Site'!J1393&lt;&gt;0,'Boletins Nuppa Site'!J1393,"NULL")</f>
        <v>NULL</v>
      </c>
      <c r="H1393" s="1" t="str">
        <f>IF('Boletins Nuppa Site'!K1393&lt;&gt;0,'Boletins Nuppa Site'!K1393,"NULL")</f>
        <v>NULL</v>
      </c>
      <c r="J1393" s="1" t="str">
        <f t="shared" si="21"/>
        <v>INSERT INTO COTACAO (blt_id, pap_id, cot_prc_comum, cot_prc_min, cot_prc_max, cot_prc_med, cot_prc_mediana) VALUES (36, 40, NULL, NULL, NULL, NULL, NULL);</v>
      </c>
    </row>
    <row r="1394" spans="1:10" x14ac:dyDescent="0.3">
      <c r="A1394" s="1">
        <v>1393</v>
      </c>
      <c r="B1394" s="1">
        <v>37</v>
      </c>
      <c r="C1394" s="1">
        <v>1</v>
      </c>
      <c r="D1394" s="19">
        <f>IF('Boletins Nuppa Site'!G1394&lt;&gt;0,'Boletins Nuppa Site'!G1394,"NULL")</f>
        <v>48</v>
      </c>
      <c r="E1394" s="19">
        <f>IF('Boletins Nuppa Site'!H1394&lt;&gt;0,'Boletins Nuppa Site'!H1394,"NULL")</f>
        <v>36</v>
      </c>
      <c r="F1394" s="19">
        <f>IF('Boletins Nuppa Site'!I1394&lt;&gt;0,'Boletins Nuppa Site'!I1394,"NULL")</f>
        <v>60</v>
      </c>
      <c r="G1394" s="19">
        <f>IF('Boletins Nuppa Site'!J1394&lt;&gt;0,'Boletins Nuppa Site'!J1394,"NULL")</f>
        <v>48</v>
      </c>
      <c r="H1394" s="19">
        <f>IF('Boletins Nuppa Site'!K1394&lt;&gt;0,'Boletins Nuppa Site'!K1394,"NULL")</f>
        <v>48</v>
      </c>
      <c r="J1394" s="1" t="str">
        <f t="shared" si="21"/>
        <v>INSERT INTO COTACAO (blt_id, pap_id, cot_prc_comum, cot_prc_min, cot_prc_max, cot_prc_med, cot_prc_mediana) VALUES (37, 1, 48, 36, 60, 48, 48);</v>
      </c>
    </row>
    <row r="1395" spans="1:10" x14ac:dyDescent="0.3">
      <c r="A1395" s="1">
        <v>1394</v>
      </c>
      <c r="B1395" s="1">
        <v>37</v>
      </c>
      <c r="C1395" s="1">
        <v>2</v>
      </c>
      <c r="D1395" s="19">
        <f>IF('Boletins Nuppa Site'!G1395&lt;&gt;0,'Boletins Nuppa Site'!G1395,"NULL")</f>
        <v>84</v>
      </c>
      <c r="E1395" s="19">
        <f>IF('Boletins Nuppa Site'!H1395&lt;&gt;0,'Boletins Nuppa Site'!H1395,"NULL")</f>
        <v>72</v>
      </c>
      <c r="F1395" s="19">
        <f>IF('Boletins Nuppa Site'!I1395&lt;&gt;0,'Boletins Nuppa Site'!I1395,"NULL")</f>
        <v>84</v>
      </c>
      <c r="G1395" s="19">
        <f>IF('Boletins Nuppa Site'!J1395&lt;&gt;0,'Boletins Nuppa Site'!J1395,"NULL")</f>
        <v>80</v>
      </c>
      <c r="H1395" s="19">
        <f>IF('Boletins Nuppa Site'!K1395&lt;&gt;0,'Boletins Nuppa Site'!K1395,"NULL")</f>
        <v>84</v>
      </c>
      <c r="J1395" s="1" t="str">
        <f t="shared" si="21"/>
        <v>INSERT INTO COTACAO (blt_id, pap_id, cot_prc_comum, cot_prc_min, cot_prc_max, cot_prc_med, cot_prc_mediana) VALUES (37, 2, 84, 72, 84, 80, 84);</v>
      </c>
    </row>
    <row r="1396" spans="1:10" x14ac:dyDescent="0.3">
      <c r="A1396" s="1">
        <v>1395</v>
      </c>
      <c r="B1396" s="1">
        <v>37</v>
      </c>
      <c r="C1396" s="1">
        <v>3</v>
      </c>
      <c r="D1396" s="19">
        <f>IF('Boletins Nuppa Site'!G1396&lt;&gt;0,'Boletins Nuppa Site'!G1396,"NULL")</f>
        <v>36</v>
      </c>
      <c r="E1396" s="19">
        <f>IF('Boletins Nuppa Site'!H1396&lt;&gt;0,'Boletins Nuppa Site'!H1396,"NULL")</f>
        <v>25</v>
      </c>
      <c r="F1396" s="19">
        <f>IF('Boletins Nuppa Site'!I1396&lt;&gt;0,'Boletins Nuppa Site'!I1396,"NULL")</f>
        <v>42</v>
      </c>
      <c r="G1396" s="1" t="str">
        <f>IF('Boletins Nuppa Site'!J1396&lt;&gt;0,'Boletins Nuppa Site'!J1396,"NULL")</f>
        <v>34.75</v>
      </c>
      <c r="H1396" s="19">
        <f>IF('Boletins Nuppa Site'!K1396&lt;&gt;0,'Boletins Nuppa Site'!K1396,"NULL")</f>
        <v>36</v>
      </c>
      <c r="J1396" s="1" t="str">
        <f t="shared" si="21"/>
        <v>INSERT INTO COTACAO (blt_id, pap_id, cot_prc_comum, cot_prc_min, cot_prc_max, cot_prc_med, cot_prc_mediana) VALUES (37, 3, 36, 25, 42, 34.75, 36);</v>
      </c>
    </row>
    <row r="1397" spans="1:10" x14ac:dyDescent="0.3">
      <c r="A1397" s="1">
        <v>1396</v>
      </c>
      <c r="B1397" s="1">
        <v>37</v>
      </c>
      <c r="C1397" s="1">
        <v>4</v>
      </c>
      <c r="D1397" s="19">
        <f>IF('Boletins Nuppa Site'!G1397&lt;&gt;0,'Boletins Nuppa Site'!G1397,"NULL")</f>
        <v>18</v>
      </c>
      <c r="E1397" s="19">
        <f>IF('Boletins Nuppa Site'!H1397&lt;&gt;0,'Boletins Nuppa Site'!H1397,"NULL")</f>
        <v>18</v>
      </c>
      <c r="F1397" s="19">
        <f>IF('Boletins Nuppa Site'!I1397&lt;&gt;0,'Boletins Nuppa Site'!I1397,"NULL")</f>
        <v>24</v>
      </c>
      <c r="G1397" s="19">
        <f>IF('Boletins Nuppa Site'!J1397&lt;&gt;0,'Boletins Nuppa Site'!J1397,"NULL")</f>
        <v>21</v>
      </c>
      <c r="H1397" s="19">
        <f>IF('Boletins Nuppa Site'!K1397&lt;&gt;0,'Boletins Nuppa Site'!K1397,"NULL")</f>
        <v>21</v>
      </c>
      <c r="J1397" s="1" t="str">
        <f t="shared" si="21"/>
        <v>INSERT INTO COTACAO (blt_id, pap_id, cot_prc_comum, cot_prc_min, cot_prc_max, cot_prc_med, cot_prc_mediana) VALUES (37, 4, 18, 18, 24, 21, 21);</v>
      </c>
    </row>
    <row r="1398" spans="1:10" x14ac:dyDescent="0.3">
      <c r="A1398" s="1">
        <v>1397</v>
      </c>
      <c r="B1398" s="1">
        <v>37</v>
      </c>
      <c r="C1398" s="1">
        <v>5</v>
      </c>
      <c r="D1398" s="19">
        <f>IF('Boletins Nuppa Site'!G1398&lt;&gt;0,'Boletins Nuppa Site'!G1398,"NULL")</f>
        <v>18</v>
      </c>
      <c r="E1398" s="19">
        <f>IF('Boletins Nuppa Site'!H1398&lt;&gt;0,'Boletins Nuppa Site'!H1398,"NULL")</f>
        <v>18</v>
      </c>
      <c r="F1398" s="19">
        <f>IF('Boletins Nuppa Site'!I1398&lt;&gt;0,'Boletins Nuppa Site'!I1398,"NULL")</f>
        <v>24</v>
      </c>
      <c r="G1398" s="19">
        <f>IF('Boletins Nuppa Site'!J1398&lt;&gt;0,'Boletins Nuppa Site'!J1398,"NULL")</f>
        <v>21</v>
      </c>
      <c r="H1398" s="19">
        <f>IF('Boletins Nuppa Site'!K1398&lt;&gt;0,'Boletins Nuppa Site'!K1398,"NULL")</f>
        <v>21</v>
      </c>
      <c r="J1398" s="1" t="str">
        <f t="shared" si="21"/>
        <v>INSERT INTO COTACAO (blt_id, pap_id, cot_prc_comum, cot_prc_min, cot_prc_max, cot_prc_med, cot_prc_mediana) VALUES (37, 5, 18, 18, 24, 21, 21);</v>
      </c>
    </row>
    <row r="1399" spans="1:10" x14ac:dyDescent="0.3">
      <c r="A1399" s="1">
        <v>1398</v>
      </c>
      <c r="B1399" s="1">
        <v>37</v>
      </c>
      <c r="C1399" s="1">
        <v>6</v>
      </c>
      <c r="D1399" s="19">
        <f>IF('Boletins Nuppa Site'!G1399&lt;&gt;0,'Boletins Nuppa Site'!G1399,"NULL")</f>
        <v>60</v>
      </c>
      <c r="E1399" s="19">
        <f>IF('Boletins Nuppa Site'!H1399&lt;&gt;0,'Boletins Nuppa Site'!H1399,"NULL")</f>
        <v>60</v>
      </c>
      <c r="F1399" s="19">
        <f>IF('Boletins Nuppa Site'!I1399&lt;&gt;0,'Boletins Nuppa Site'!I1399,"NULL")</f>
        <v>60</v>
      </c>
      <c r="G1399" s="19">
        <f>IF('Boletins Nuppa Site'!J1399&lt;&gt;0,'Boletins Nuppa Site'!J1399,"NULL")</f>
        <v>60</v>
      </c>
      <c r="H1399" s="19">
        <f>IF('Boletins Nuppa Site'!K1399&lt;&gt;0,'Boletins Nuppa Site'!K1399,"NULL")</f>
        <v>60</v>
      </c>
      <c r="J1399" s="1" t="str">
        <f t="shared" si="21"/>
        <v>INSERT INTO COTACAO (blt_id, pap_id, cot_prc_comum, cot_prc_min, cot_prc_max, cot_prc_med, cot_prc_mediana) VALUES (37, 6, 60, 60, 60, 60, 60);</v>
      </c>
    </row>
    <row r="1400" spans="1:10" x14ac:dyDescent="0.3">
      <c r="A1400" s="1">
        <v>1399</v>
      </c>
      <c r="B1400" s="1">
        <v>37</v>
      </c>
      <c r="C1400" s="1">
        <v>7</v>
      </c>
      <c r="D1400" s="1" t="str">
        <f>IF('Boletins Nuppa Site'!G1400&lt;&gt;0,'Boletins Nuppa Site'!G1400,"NULL")</f>
        <v>NULL</v>
      </c>
      <c r="E1400" s="19">
        <f>IF('Boletins Nuppa Site'!H1400&lt;&gt;0,'Boletins Nuppa Site'!H1400,"NULL")</f>
        <v>42</v>
      </c>
      <c r="F1400" s="19">
        <f>IF('Boletins Nuppa Site'!I1400&lt;&gt;0,'Boletins Nuppa Site'!I1400,"NULL")</f>
        <v>72</v>
      </c>
      <c r="G1400" s="19">
        <f>IF('Boletins Nuppa Site'!J1400&lt;&gt;0,'Boletins Nuppa Site'!J1400,"NULL")</f>
        <v>58</v>
      </c>
      <c r="H1400" s="19">
        <f>IF('Boletins Nuppa Site'!K1400&lt;&gt;0,'Boletins Nuppa Site'!K1400,"NULL")</f>
        <v>60</v>
      </c>
      <c r="J1400" s="1" t="str">
        <f t="shared" si="21"/>
        <v>INSERT INTO COTACAO (blt_id, pap_id, cot_prc_comum, cot_prc_min, cot_prc_max, cot_prc_med, cot_prc_mediana) VALUES (37, 7, NULL, 42, 72, 58, 60);</v>
      </c>
    </row>
    <row r="1401" spans="1:10" x14ac:dyDescent="0.3">
      <c r="A1401" s="1">
        <v>1400</v>
      </c>
      <c r="B1401" s="1">
        <v>37</v>
      </c>
      <c r="C1401" s="1">
        <v>8</v>
      </c>
      <c r="D1401" s="19">
        <f>IF('Boletins Nuppa Site'!G1401&lt;&gt;0,'Boletins Nuppa Site'!G1401,"NULL")</f>
        <v>72</v>
      </c>
      <c r="E1401" s="19">
        <f>IF('Boletins Nuppa Site'!H1401&lt;&gt;0,'Boletins Nuppa Site'!H1401,"NULL")</f>
        <v>60</v>
      </c>
      <c r="F1401" s="19">
        <f>IF('Boletins Nuppa Site'!I1401&lt;&gt;0,'Boletins Nuppa Site'!I1401,"NULL")</f>
        <v>72</v>
      </c>
      <c r="G1401" s="19">
        <f>IF('Boletins Nuppa Site'!J1401&lt;&gt;0,'Boletins Nuppa Site'!J1401,"NULL")</f>
        <v>69</v>
      </c>
      <c r="H1401" s="19">
        <f>IF('Boletins Nuppa Site'!K1401&lt;&gt;0,'Boletins Nuppa Site'!K1401,"NULL")</f>
        <v>72</v>
      </c>
      <c r="J1401" s="1" t="str">
        <f t="shared" si="21"/>
        <v>INSERT INTO COTACAO (blt_id, pap_id, cot_prc_comum, cot_prc_min, cot_prc_max, cot_prc_med, cot_prc_mediana) VALUES (37, 8, 72, 60, 72, 69, 72);</v>
      </c>
    </row>
    <row r="1402" spans="1:10" x14ac:dyDescent="0.3">
      <c r="A1402" s="1">
        <v>1401</v>
      </c>
      <c r="B1402" s="1">
        <v>37</v>
      </c>
      <c r="C1402" s="1">
        <v>9</v>
      </c>
      <c r="D1402" s="19">
        <f>IF('Boletins Nuppa Site'!G1402&lt;&gt;0,'Boletins Nuppa Site'!G1402,"NULL")</f>
        <v>18</v>
      </c>
      <c r="E1402" s="19">
        <f>IF('Boletins Nuppa Site'!H1402&lt;&gt;0,'Boletins Nuppa Site'!H1402,"NULL")</f>
        <v>18</v>
      </c>
      <c r="F1402" s="19">
        <f>IF('Boletins Nuppa Site'!I1402&lt;&gt;0,'Boletins Nuppa Site'!I1402,"NULL")</f>
        <v>24</v>
      </c>
      <c r="G1402" s="19">
        <f>IF('Boletins Nuppa Site'!J1402&lt;&gt;0,'Boletins Nuppa Site'!J1402,"NULL")</f>
        <v>21</v>
      </c>
      <c r="H1402" s="19">
        <f>IF('Boletins Nuppa Site'!K1402&lt;&gt;0,'Boletins Nuppa Site'!K1402,"NULL")</f>
        <v>21</v>
      </c>
      <c r="J1402" s="1" t="str">
        <f t="shared" si="21"/>
        <v>INSERT INTO COTACAO (blt_id, pap_id, cot_prc_comum, cot_prc_min, cot_prc_max, cot_prc_med, cot_prc_mediana) VALUES (37, 9, 18, 18, 24, 21, 21);</v>
      </c>
    </row>
    <row r="1403" spans="1:10" x14ac:dyDescent="0.3">
      <c r="A1403" s="1">
        <v>1402</v>
      </c>
      <c r="B1403" s="1">
        <v>37</v>
      </c>
      <c r="C1403" s="1">
        <v>10</v>
      </c>
      <c r="D1403" s="1" t="str">
        <f>IF('Boletins Nuppa Site'!G1403&lt;&gt;0,'Boletins Nuppa Site'!G1403,"NULL")</f>
        <v>NULL</v>
      </c>
      <c r="E1403" s="19">
        <f>IF('Boletins Nuppa Site'!H1403&lt;&gt;0,'Boletins Nuppa Site'!H1403,"NULL")</f>
        <v>50</v>
      </c>
      <c r="F1403" s="19">
        <f>IF('Boletins Nuppa Site'!I1403&lt;&gt;0,'Boletins Nuppa Site'!I1403,"NULL")</f>
        <v>78</v>
      </c>
      <c r="G1403" s="1" t="str">
        <f>IF('Boletins Nuppa Site'!J1403&lt;&gt;0,'Boletins Nuppa Site'!J1403,"NULL")</f>
        <v>62.67</v>
      </c>
      <c r="H1403" s="19">
        <f>IF('Boletins Nuppa Site'!K1403&lt;&gt;0,'Boletins Nuppa Site'!K1403,"NULL")</f>
        <v>60</v>
      </c>
      <c r="J1403" s="1" t="str">
        <f t="shared" si="21"/>
        <v>INSERT INTO COTACAO (blt_id, pap_id, cot_prc_comum, cot_prc_min, cot_prc_max, cot_prc_med, cot_prc_mediana) VALUES (37, 10, NULL, 50, 78, 62.67, 60);</v>
      </c>
    </row>
    <row r="1404" spans="1:10" x14ac:dyDescent="0.3">
      <c r="A1404" s="1">
        <v>1403</v>
      </c>
      <c r="B1404" s="1">
        <v>37</v>
      </c>
      <c r="C1404" s="1">
        <v>11</v>
      </c>
      <c r="D1404" s="19">
        <f>IF('Boletins Nuppa Site'!G1404&lt;&gt;0,'Boletins Nuppa Site'!G1404,"NULL")</f>
        <v>18</v>
      </c>
      <c r="E1404" s="19">
        <f>IF('Boletins Nuppa Site'!H1404&lt;&gt;0,'Boletins Nuppa Site'!H1404,"NULL")</f>
        <v>18</v>
      </c>
      <c r="F1404" s="19">
        <f>IF('Boletins Nuppa Site'!I1404&lt;&gt;0,'Boletins Nuppa Site'!I1404,"NULL")</f>
        <v>24</v>
      </c>
      <c r="G1404" s="19">
        <f>IF('Boletins Nuppa Site'!J1404&lt;&gt;0,'Boletins Nuppa Site'!J1404,"NULL")</f>
        <v>21</v>
      </c>
      <c r="H1404" s="19">
        <f>IF('Boletins Nuppa Site'!K1404&lt;&gt;0,'Boletins Nuppa Site'!K1404,"NULL")</f>
        <v>21</v>
      </c>
      <c r="J1404" s="1" t="str">
        <f t="shared" si="21"/>
        <v>INSERT INTO COTACAO (blt_id, pap_id, cot_prc_comum, cot_prc_min, cot_prc_max, cot_prc_med, cot_prc_mediana) VALUES (37, 11, 18, 18, 24, 21, 21);</v>
      </c>
    </row>
    <row r="1405" spans="1:10" x14ac:dyDescent="0.3">
      <c r="A1405" s="1">
        <v>1404</v>
      </c>
      <c r="B1405" s="1">
        <v>37</v>
      </c>
      <c r="C1405" s="1">
        <v>12</v>
      </c>
      <c r="D1405" s="19">
        <f>IF('Boletins Nuppa Site'!G1405&lt;&gt;0,'Boletins Nuppa Site'!G1405,"NULL")</f>
        <v>60</v>
      </c>
      <c r="E1405" s="19">
        <f>IF('Boletins Nuppa Site'!H1405&lt;&gt;0,'Boletins Nuppa Site'!H1405,"NULL")</f>
        <v>48</v>
      </c>
      <c r="F1405" s="19">
        <f>IF('Boletins Nuppa Site'!I1405&lt;&gt;0,'Boletins Nuppa Site'!I1405,"NULL")</f>
        <v>60</v>
      </c>
      <c r="G1405" s="19">
        <f>IF('Boletins Nuppa Site'!J1405&lt;&gt;0,'Boletins Nuppa Site'!J1405,"NULL")</f>
        <v>56</v>
      </c>
      <c r="H1405" s="19">
        <f>IF('Boletins Nuppa Site'!K1405&lt;&gt;0,'Boletins Nuppa Site'!K1405,"NULL")</f>
        <v>60</v>
      </c>
      <c r="J1405" s="1" t="str">
        <f t="shared" si="21"/>
        <v>INSERT INTO COTACAO (blt_id, pap_id, cot_prc_comum, cot_prc_min, cot_prc_max, cot_prc_med, cot_prc_mediana) VALUES (37, 12, 60, 48, 60, 56, 60);</v>
      </c>
    </row>
    <row r="1406" spans="1:10" x14ac:dyDescent="0.3">
      <c r="A1406" s="1">
        <v>1405</v>
      </c>
      <c r="B1406" s="1">
        <v>37</v>
      </c>
      <c r="C1406" s="1">
        <v>13</v>
      </c>
      <c r="D1406" s="19">
        <f>IF('Boletins Nuppa Site'!G1406&lt;&gt;0,'Boletins Nuppa Site'!G1406,"NULL")</f>
        <v>60</v>
      </c>
      <c r="E1406" s="19">
        <f>IF('Boletins Nuppa Site'!H1406&lt;&gt;0,'Boletins Nuppa Site'!H1406,"NULL")</f>
        <v>36</v>
      </c>
      <c r="F1406" s="19">
        <f>IF('Boletins Nuppa Site'!I1406&lt;&gt;0,'Boletins Nuppa Site'!I1406,"NULL")</f>
        <v>60</v>
      </c>
      <c r="G1406" s="19">
        <f>IF('Boletins Nuppa Site'!J1406&lt;&gt;0,'Boletins Nuppa Site'!J1406,"NULL")</f>
        <v>51</v>
      </c>
      <c r="H1406" s="19">
        <f>IF('Boletins Nuppa Site'!K1406&lt;&gt;0,'Boletins Nuppa Site'!K1406,"NULL")</f>
        <v>54</v>
      </c>
      <c r="J1406" s="1" t="str">
        <f t="shared" si="21"/>
        <v>INSERT INTO COTACAO (blt_id, pap_id, cot_prc_comum, cot_prc_min, cot_prc_max, cot_prc_med, cot_prc_mediana) VALUES (37, 13, 60, 36, 60, 51, 54);</v>
      </c>
    </row>
    <row r="1407" spans="1:10" x14ac:dyDescent="0.3">
      <c r="A1407" s="1">
        <v>1406</v>
      </c>
      <c r="B1407" s="1">
        <v>37</v>
      </c>
      <c r="C1407" s="1">
        <v>14</v>
      </c>
      <c r="D1407" s="1" t="str">
        <f>IF('Boletins Nuppa Site'!G1407&lt;&gt;0,'Boletins Nuppa Site'!G1407,"NULL")</f>
        <v>NULL</v>
      </c>
      <c r="E1407" s="19">
        <f>IF('Boletins Nuppa Site'!H1407&lt;&gt;0,'Boletins Nuppa Site'!H1407,"NULL")</f>
        <v>48</v>
      </c>
      <c r="F1407" s="19">
        <f>IF('Boletins Nuppa Site'!I1407&lt;&gt;0,'Boletins Nuppa Site'!I1407,"NULL")</f>
        <v>72</v>
      </c>
      <c r="G1407" s="19">
        <f>IF('Boletins Nuppa Site'!J1407&lt;&gt;0,'Boletins Nuppa Site'!J1407,"NULL")</f>
        <v>60</v>
      </c>
      <c r="H1407" s="19">
        <f>IF('Boletins Nuppa Site'!K1407&lt;&gt;0,'Boletins Nuppa Site'!K1407,"NULL")</f>
        <v>60</v>
      </c>
      <c r="J1407" s="1" t="str">
        <f t="shared" si="21"/>
        <v>INSERT INTO COTACAO (blt_id, pap_id, cot_prc_comum, cot_prc_min, cot_prc_max, cot_prc_med, cot_prc_mediana) VALUES (37, 14, NULL, 48, 72, 60, 60);</v>
      </c>
    </row>
    <row r="1408" spans="1:10" x14ac:dyDescent="0.3">
      <c r="A1408" s="1">
        <v>1407</v>
      </c>
      <c r="B1408" s="1">
        <v>37</v>
      </c>
      <c r="C1408" s="1">
        <v>15</v>
      </c>
      <c r="D1408" s="19">
        <f>IF('Boletins Nuppa Site'!G1408&lt;&gt;0,'Boletins Nuppa Site'!G1408,"NULL")</f>
        <v>24</v>
      </c>
      <c r="E1408" s="19">
        <f>IF('Boletins Nuppa Site'!H1408&lt;&gt;0,'Boletins Nuppa Site'!H1408,"NULL")</f>
        <v>24</v>
      </c>
      <c r="F1408" s="19">
        <f>IF('Boletins Nuppa Site'!I1408&lt;&gt;0,'Boletins Nuppa Site'!I1408,"NULL")</f>
        <v>36</v>
      </c>
      <c r="G1408" s="1" t="str">
        <f>IF('Boletins Nuppa Site'!J1408&lt;&gt;0,'Boletins Nuppa Site'!J1408,"NULL")</f>
        <v>28.5</v>
      </c>
      <c r="H1408" s="19">
        <f>IF('Boletins Nuppa Site'!K1408&lt;&gt;0,'Boletins Nuppa Site'!K1408,"NULL")</f>
        <v>27</v>
      </c>
      <c r="J1408" s="1" t="str">
        <f t="shared" si="21"/>
        <v>INSERT INTO COTACAO (blt_id, pap_id, cot_prc_comum, cot_prc_min, cot_prc_max, cot_prc_med, cot_prc_mediana) VALUES (37, 15, 24, 24, 36, 28.5, 27);</v>
      </c>
    </row>
    <row r="1409" spans="1:10" x14ac:dyDescent="0.3">
      <c r="A1409" s="1">
        <v>1408</v>
      </c>
      <c r="B1409" s="1">
        <v>37</v>
      </c>
      <c r="C1409" s="1">
        <v>17</v>
      </c>
      <c r="D1409" s="19">
        <f>IF('Boletins Nuppa Site'!G1409&lt;&gt;0,'Boletins Nuppa Site'!G1409,"NULL")</f>
        <v>5</v>
      </c>
      <c r="E1409" s="19">
        <f>IF('Boletins Nuppa Site'!H1409&lt;&gt;0,'Boletins Nuppa Site'!H1409,"NULL")</f>
        <v>5</v>
      </c>
      <c r="F1409" s="19">
        <f>IF('Boletins Nuppa Site'!I1409&lt;&gt;0,'Boletins Nuppa Site'!I1409,"NULL")</f>
        <v>5</v>
      </c>
      <c r="G1409" s="19">
        <f>IF('Boletins Nuppa Site'!J1409&lt;&gt;0,'Boletins Nuppa Site'!J1409,"NULL")</f>
        <v>5</v>
      </c>
      <c r="H1409" s="19">
        <f>IF('Boletins Nuppa Site'!K1409&lt;&gt;0,'Boletins Nuppa Site'!K1409,"NULL")</f>
        <v>5</v>
      </c>
      <c r="J1409" s="1" t="str">
        <f t="shared" si="21"/>
        <v>INSERT INTO COTACAO (blt_id, pap_id, cot_prc_comum, cot_prc_min, cot_prc_max, cot_prc_med, cot_prc_mediana) VALUES (37, 17, 5, 5, 5, 5, 5);</v>
      </c>
    </row>
    <row r="1410" spans="1:10" x14ac:dyDescent="0.3">
      <c r="A1410" s="1">
        <v>1409</v>
      </c>
      <c r="B1410" s="1">
        <v>37</v>
      </c>
      <c r="C1410" s="1">
        <v>18</v>
      </c>
      <c r="D1410" s="19">
        <f>IF('Boletins Nuppa Site'!G1410&lt;&gt;0,'Boletins Nuppa Site'!G1410,"NULL")</f>
        <v>12</v>
      </c>
      <c r="E1410" s="19">
        <f>IF('Boletins Nuppa Site'!H1410&lt;&gt;0,'Boletins Nuppa Site'!H1410,"NULL")</f>
        <v>12</v>
      </c>
      <c r="F1410" s="19">
        <f>IF('Boletins Nuppa Site'!I1410&lt;&gt;0,'Boletins Nuppa Site'!I1410,"NULL")</f>
        <v>15</v>
      </c>
      <c r="G1410" s="1" t="str">
        <f>IF('Boletins Nuppa Site'!J1410&lt;&gt;0,'Boletins Nuppa Site'!J1410,"NULL")</f>
        <v>13.5</v>
      </c>
      <c r="H1410" s="1" t="str">
        <f>IF('Boletins Nuppa Site'!K1410&lt;&gt;0,'Boletins Nuppa Site'!K1410,"NULL")</f>
        <v>13.5</v>
      </c>
      <c r="J1410" s="1" t="str">
        <f t="shared" ref="J1410:J1430" si="22">"INSERT INTO COTACAO (blt_id, pap_id, cot_prc_comum, cot_prc_min, cot_prc_max, cot_prc_med, cot_prc_mediana) VALUES ("&amp;B1410&amp;", "&amp;C1410&amp;", "&amp;D1410&amp;", "&amp;E1410&amp;", "&amp;F1410&amp;", "&amp;G1410&amp;", "&amp;H1410&amp;");"</f>
        <v>INSERT INTO COTACAO (blt_id, pap_id, cot_prc_comum, cot_prc_min, cot_prc_max, cot_prc_med, cot_prc_mediana) VALUES (37, 18, 12, 12, 15, 13.5, 13.5);</v>
      </c>
    </row>
    <row r="1411" spans="1:10" x14ac:dyDescent="0.3">
      <c r="A1411" s="1">
        <v>1410</v>
      </c>
      <c r="B1411" s="1">
        <v>37</v>
      </c>
      <c r="C1411" s="1">
        <v>19</v>
      </c>
      <c r="D1411" s="1" t="str">
        <f>IF('Boletins Nuppa Site'!G1411&lt;&gt;0,'Boletins Nuppa Site'!G1411,"NULL")</f>
        <v>NULL</v>
      </c>
      <c r="E1411" s="19">
        <f>IF('Boletins Nuppa Site'!H1411&lt;&gt;0,'Boletins Nuppa Site'!H1411,"NULL")</f>
        <v>35</v>
      </c>
      <c r="F1411" s="19">
        <f>IF('Boletins Nuppa Site'!I1411&lt;&gt;0,'Boletins Nuppa Site'!I1411,"NULL")</f>
        <v>20</v>
      </c>
      <c r="G1411" s="19">
        <f>IF('Boletins Nuppa Site'!J1411&lt;&gt;0,'Boletins Nuppa Site'!J1411,"NULL")</f>
        <v>35</v>
      </c>
      <c r="H1411" s="1" t="str">
        <f>IF('Boletins Nuppa Site'!K1411&lt;&gt;0,'Boletins Nuppa Site'!K1411,"NULL")</f>
        <v>28.75</v>
      </c>
      <c r="J1411" s="1" t="str">
        <f t="shared" si="22"/>
        <v>INSERT INTO COTACAO (blt_id, pap_id, cot_prc_comum, cot_prc_min, cot_prc_max, cot_prc_med, cot_prc_mediana) VALUES (37, 19, NULL, 35, 20, 35, 28.75);</v>
      </c>
    </row>
    <row r="1412" spans="1:10" x14ac:dyDescent="0.3">
      <c r="A1412" s="1">
        <v>1411</v>
      </c>
      <c r="B1412" s="1">
        <v>37</v>
      </c>
      <c r="C1412" s="1">
        <v>20</v>
      </c>
      <c r="D1412" s="1" t="str">
        <f>IF('Boletins Nuppa Site'!G1412&lt;&gt;0,'Boletins Nuppa Site'!G1412,"NULL")</f>
        <v>NULL</v>
      </c>
      <c r="E1412" s="19">
        <f>IF('Boletins Nuppa Site'!H1412&lt;&gt;0,'Boletins Nuppa Site'!H1412,"NULL")</f>
        <v>80</v>
      </c>
      <c r="F1412" s="19">
        <f>IF('Boletins Nuppa Site'!I1412&lt;&gt;0,'Boletins Nuppa Site'!I1412,"NULL")</f>
        <v>80</v>
      </c>
      <c r="G1412" s="19">
        <f>IF('Boletins Nuppa Site'!J1412&lt;&gt;0,'Boletins Nuppa Site'!J1412,"NULL")</f>
        <v>80</v>
      </c>
      <c r="H1412" s="19">
        <f>IF('Boletins Nuppa Site'!K1412&lt;&gt;0,'Boletins Nuppa Site'!K1412,"NULL")</f>
        <v>80</v>
      </c>
      <c r="J1412" s="1" t="str">
        <f t="shared" si="22"/>
        <v>INSERT INTO COTACAO (blt_id, pap_id, cot_prc_comum, cot_prc_min, cot_prc_max, cot_prc_med, cot_prc_mediana) VALUES (37, 20, NULL, 80, 80, 80, 80);</v>
      </c>
    </row>
    <row r="1413" spans="1:10" x14ac:dyDescent="0.3">
      <c r="A1413" s="1">
        <v>1412</v>
      </c>
      <c r="B1413" s="1">
        <v>37</v>
      </c>
      <c r="C1413" s="1">
        <v>21</v>
      </c>
      <c r="D1413" s="19">
        <f>IF('Boletins Nuppa Site'!G1413&lt;&gt;0,'Boletins Nuppa Site'!G1413,"NULL")</f>
        <v>40</v>
      </c>
      <c r="E1413" s="19">
        <f>IF('Boletins Nuppa Site'!H1413&lt;&gt;0,'Boletins Nuppa Site'!H1413,"NULL")</f>
        <v>30</v>
      </c>
      <c r="F1413" s="19">
        <f>IF('Boletins Nuppa Site'!I1413&lt;&gt;0,'Boletins Nuppa Site'!I1413,"NULL")</f>
        <v>40</v>
      </c>
      <c r="G1413" s="19">
        <f>IF('Boletins Nuppa Site'!J1413&lt;&gt;0,'Boletins Nuppa Site'!J1413,"NULL")</f>
        <v>35</v>
      </c>
      <c r="H1413" s="19">
        <f>IF('Boletins Nuppa Site'!K1413&lt;&gt;0,'Boletins Nuppa Site'!K1413,"NULL")</f>
        <v>35</v>
      </c>
      <c r="J1413" s="1" t="str">
        <f t="shared" si="22"/>
        <v>INSERT INTO COTACAO (blt_id, pap_id, cot_prc_comum, cot_prc_min, cot_prc_max, cot_prc_med, cot_prc_mediana) VALUES (37, 21, 40, 30, 40, 35, 35);</v>
      </c>
    </row>
    <row r="1414" spans="1:10" x14ac:dyDescent="0.3">
      <c r="A1414" s="1">
        <v>1413</v>
      </c>
      <c r="B1414" s="1">
        <v>37</v>
      </c>
      <c r="C1414" s="1">
        <v>22</v>
      </c>
      <c r="D1414" s="19">
        <f>IF('Boletins Nuppa Site'!G1414&lt;&gt;0,'Boletins Nuppa Site'!G1414,"NULL")</f>
        <v>45</v>
      </c>
      <c r="E1414" s="19">
        <f>IF('Boletins Nuppa Site'!H1414&lt;&gt;0,'Boletins Nuppa Site'!H1414,"NULL")</f>
        <v>45</v>
      </c>
      <c r="F1414" s="19">
        <f>IF('Boletins Nuppa Site'!I1414&lt;&gt;0,'Boletins Nuppa Site'!I1414,"NULL")</f>
        <v>70</v>
      </c>
      <c r="G1414" s="1" t="str">
        <f>IF('Boletins Nuppa Site'!J1414&lt;&gt;0,'Boletins Nuppa Site'!J1414,"NULL")</f>
        <v>56.25</v>
      </c>
      <c r="H1414" s="19">
        <f>IF('Boletins Nuppa Site'!K1414&lt;&gt;0,'Boletins Nuppa Site'!K1414,"NULL")</f>
        <v>55</v>
      </c>
      <c r="J1414" s="1" t="str">
        <f t="shared" si="22"/>
        <v>INSERT INTO COTACAO (blt_id, pap_id, cot_prc_comum, cot_prc_min, cot_prc_max, cot_prc_med, cot_prc_mediana) VALUES (37, 22, 45, 45, 70, 56.25, 55);</v>
      </c>
    </row>
    <row r="1415" spans="1:10" x14ac:dyDescent="0.3">
      <c r="A1415" s="1">
        <v>1414</v>
      </c>
      <c r="B1415" s="1">
        <v>37</v>
      </c>
      <c r="C1415" s="1">
        <v>23</v>
      </c>
      <c r="D1415" s="1" t="str">
        <f>IF('Boletins Nuppa Site'!G1415&lt;&gt;0,'Boletins Nuppa Site'!G1415,"NULL")</f>
        <v>NULL</v>
      </c>
      <c r="E1415" s="19">
        <f>IF('Boletins Nuppa Site'!H1415&lt;&gt;0,'Boletins Nuppa Site'!H1415,"NULL")</f>
        <v>50</v>
      </c>
      <c r="F1415" s="19">
        <f>IF('Boletins Nuppa Site'!I1415&lt;&gt;0,'Boletins Nuppa Site'!I1415,"NULL")</f>
        <v>70</v>
      </c>
      <c r="G1415" s="19">
        <f>IF('Boletins Nuppa Site'!J1415&lt;&gt;0,'Boletins Nuppa Site'!J1415,"NULL")</f>
        <v>60</v>
      </c>
      <c r="H1415" s="19">
        <f>IF('Boletins Nuppa Site'!K1415&lt;&gt;0,'Boletins Nuppa Site'!K1415,"NULL")</f>
        <v>60</v>
      </c>
      <c r="J1415" s="1" t="str">
        <f t="shared" si="22"/>
        <v>INSERT INTO COTACAO (blt_id, pap_id, cot_prc_comum, cot_prc_min, cot_prc_max, cot_prc_med, cot_prc_mediana) VALUES (37, 23, NULL, 50, 70, 60, 60);</v>
      </c>
    </row>
    <row r="1416" spans="1:10" x14ac:dyDescent="0.3">
      <c r="A1416" s="1">
        <v>1415</v>
      </c>
      <c r="B1416" s="1">
        <v>37</v>
      </c>
      <c r="C1416" s="1">
        <v>24</v>
      </c>
      <c r="D1416" s="1" t="str">
        <f>IF('Boletins Nuppa Site'!G1416&lt;&gt;0,'Boletins Nuppa Site'!G1416,"NULL")</f>
        <v>NULL</v>
      </c>
      <c r="E1416" s="19">
        <f>IF('Boletins Nuppa Site'!H1416&lt;&gt;0,'Boletins Nuppa Site'!H1416,"NULL")</f>
        <v>45</v>
      </c>
      <c r="F1416" s="19">
        <f>IF('Boletins Nuppa Site'!I1416&lt;&gt;0,'Boletins Nuppa Site'!I1416,"NULL")</f>
        <v>110</v>
      </c>
      <c r="G1416" s="1" t="str">
        <f>IF('Boletins Nuppa Site'!J1416&lt;&gt;0,'Boletins Nuppa Site'!J1416,"NULL")</f>
        <v>81.67</v>
      </c>
      <c r="H1416" s="19">
        <f>IF('Boletins Nuppa Site'!K1416&lt;&gt;0,'Boletins Nuppa Site'!K1416,"NULL")</f>
        <v>90</v>
      </c>
      <c r="J1416" s="1" t="str">
        <f t="shared" si="22"/>
        <v>INSERT INTO COTACAO (blt_id, pap_id, cot_prc_comum, cot_prc_min, cot_prc_max, cot_prc_med, cot_prc_mediana) VALUES (37, 24, NULL, 45, 110, 81.67, 90);</v>
      </c>
    </row>
    <row r="1417" spans="1:10" x14ac:dyDescent="0.3">
      <c r="A1417" s="1">
        <v>1416</v>
      </c>
      <c r="B1417" s="1">
        <v>37</v>
      </c>
      <c r="C1417" s="1">
        <v>26</v>
      </c>
      <c r="D1417" s="19">
        <f>IF('Boletins Nuppa Site'!G1417&lt;&gt;0,'Boletins Nuppa Site'!G1417,"NULL")</f>
        <v>55</v>
      </c>
      <c r="E1417" s="19">
        <f>IF('Boletins Nuppa Site'!H1417&lt;&gt;0,'Boletins Nuppa Site'!H1417,"NULL")</f>
        <v>40</v>
      </c>
      <c r="F1417" s="19">
        <f>IF('Boletins Nuppa Site'!I1417&lt;&gt;0,'Boletins Nuppa Site'!I1417,"NULL")</f>
        <v>55</v>
      </c>
      <c r="G1417" s="1" t="str">
        <f>IF('Boletins Nuppa Site'!J1417&lt;&gt;0,'Boletins Nuppa Site'!J1417,"NULL")</f>
        <v>48.75</v>
      </c>
      <c r="H1417" s="19">
        <f>IF('Boletins Nuppa Site'!K1417&lt;&gt;0,'Boletins Nuppa Site'!K1417,"NULL")</f>
        <v>50</v>
      </c>
      <c r="J1417" s="1" t="str">
        <f t="shared" si="22"/>
        <v>INSERT INTO COTACAO (blt_id, pap_id, cot_prc_comum, cot_prc_min, cot_prc_max, cot_prc_med, cot_prc_mediana) VALUES (37, 26, 55, 40, 55, 48.75, 50);</v>
      </c>
    </row>
    <row r="1418" spans="1:10" x14ac:dyDescent="0.3">
      <c r="A1418" s="1">
        <v>1417</v>
      </c>
      <c r="B1418" s="1">
        <v>37</v>
      </c>
      <c r="C1418" s="1">
        <v>27</v>
      </c>
      <c r="D1418" s="1" t="str">
        <f>IF('Boletins Nuppa Site'!G1418&lt;&gt;0,'Boletins Nuppa Site'!G1418,"NULL")</f>
        <v>NULL</v>
      </c>
      <c r="E1418" s="19">
        <f>IF('Boletins Nuppa Site'!H1418&lt;&gt;0,'Boletins Nuppa Site'!H1418,"NULL")</f>
        <v>55</v>
      </c>
      <c r="F1418" s="19">
        <f>IF('Boletins Nuppa Site'!I1418&lt;&gt;0,'Boletins Nuppa Site'!I1418,"NULL")</f>
        <v>85</v>
      </c>
      <c r="G1418" s="1" t="str">
        <f>IF('Boletins Nuppa Site'!J1418&lt;&gt;0,'Boletins Nuppa Site'!J1418,"NULL")</f>
        <v>68.75</v>
      </c>
      <c r="H1418" s="1" t="str">
        <f>IF('Boletins Nuppa Site'!K1418&lt;&gt;0,'Boletins Nuppa Site'!K1418,"NULL")</f>
        <v>67.5</v>
      </c>
      <c r="J1418" s="1" t="str">
        <f t="shared" si="22"/>
        <v>INSERT INTO COTACAO (blt_id, pap_id, cot_prc_comum, cot_prc_min, cot_prc_max, cot_prc_med, cot_prc_mediana) VALUES (37, 27, NULL, 55, 85, 68.75, 67.5);</v>
      </c>
    </row>
    <row r="1419" spans="1:10" x14ac:dyDescent="0.3">
      <c r="A1419" s="1">
        <v>1418</v>
      </c>
      <c r="B1419" s="1">
        <v>37</v>
      </c>
      <c r="C1419" s="1">
        <v>28</v>
      </c>
      <c r="D1419" s="1" t="str">
        <f>IF('Boletins Nuppa Site'!G1419&lt;&gt;0,'Boletins Nuppa Site'!G1419,"NULL")</f>
        <v>NULL</v>
      </c>
      <c r="E1419" s="19">
        <f>IF('Boletins Nuppa Site'!H1419&lt;&gt;0,'Boletins Nuppa Site'!H1419,"NULL")</f>
        <v>90</v>
      </c>
      <c r="F1419" s="19">
        <f>IF('Boletins Nuppa Site'!I1419&lt;&gt;0,'Boletins Nuppa Site'!I1419,"NULL")</f>
        <v>100</v>
      </c>
      <c r="G1419" s="19">
        <f>IF('Boletins Nuppa Site'!J1419&lt;&gt;0,'Boletins Nuppa Site'!J1419,"NULL")</f>
        <v>95</v>
      </c>
      <c r="H1419" s="19">
        <f>IF('Boletins Nuppa Site'!K1419&lt;&gt;0,'Boletins Nuppa Site'!K1419,"NULL")</f>
        <v>95</v>
      </c>
      <c r="J1419" s="1" t="str">
        <f t="shared" si="22"/>
        <v>INSERT INTO COTACAO (blt_id, pap_id, cot_prc_comum, cot_prc_min, cot_prc_max, cot_prc_med, cot_prc_mediana) VALUES (37, 28, NULL, 90, 100, 95, 95);</v>
      </c>
    </row>
    <row r="1420" spans="1:10" x14ac:dyDescent="0.3">
      <c r="A1420" s="1">
        <v>1419</v>
      </c>
      <c r="B1420" s="1">
        <v>37</v>
      </c>
      <c r="C1420" s="1">
        <v>29</v>
      </c>
      <c r="D1420" s="1" t="str">
        <f>IF('Boletins Nuppa Site'!G1420&lt;&gt;0,'Boletins Nuppa Site'!G1420,"NULL")</f>
        <v>NULL</v>
      </c>
      <c r="E1420" s="19">
        <f>IF('Boletins Nuppa Site'!H1420&lt;&gt;0,'Boletins Nuppa Site'!H1420,"NULL")</f>
        <v>70</v>
      </c>
      <c r="F1420" s="19">
        <f>IF('Boletins Nuppa Site'!I1420&lt;&gt;0,'Boletins Nuppa Site'!I1420,"NULL")</f>
        <v>70</v>
      </c>
      <c r="G1420" s="19">
        <f>IF('Boletins Nuppa Site'!J1420&lt;&gt;0,'Boletins Nuppa Site'!J1420,"NULL")</f>
        <v>70</v>
      </c>
      <c r="H1420" s="19">
        <f>IF('Boletins Nuppa Site'!K1420&lt;&gt;0,'Boletins Nuppa Site'!K1420,"NULL")</f>
        <v>70</v>
      </c>
      <c r="J1420" s="1" t="str">
        <f t="shared" si="22"/>
        <v>INSERT INTO COTACAO (blt_id, pap_id, cot_prc_comum, cot_prc_min, cot_prc_max, cot_prc_med, cot_prc_mediana) VALUES (37, 29, NULL, 70, 70, 70, 70);</v>
      </c>
    </row>
    <row r="1421" spans="1:10" x14ac:dyDescent="0.3">
      <c r="A1421" s="1">
        <v>1420</v>
      </c>
      <c r="B1421" s="1">
        <v>37</v>
      </c>
      <c r="C1421" s="1">
        <v>30</v>
      </c>
      <c r="D1421" s="1" t="str">
        <f>IF('Boletins Nuppa Site'!G1421&lt;&gt;0,'Boletins Nuppa Site'!G1421,"NULL")</f>
        <v>NULL</v>
      </c>
      <c r="E1421" s="19">
        <f>IF('Boletins Nuppa Site'!H1421&lt;&gt;0,'Boletins Nuppa Site'!H1421,"NULL")</f>
        <v>70</v>
      </c>
      <c r="F1421" s="19">
        <f>IF('Boletins Nuppa Site'!I1421&lt;&gt;0,'Boletins Nuppa Site'!I1421,"NULL")</f>
        <v>80</v>
      </c>
      <c r="G1421" s="19">
        <f>IF('Boletins Nuppa Site'!J1421&lt;&gt;0,'Boletins Nuppa Site'!J1421,"NULL")</f>
        <v>75</v>
      </c>
      <c r="H1421" s="19">
        <f>IF('Boletins Nuppa Site'!K1421&lt;&gt;0,'Boletins Nuppa Site'!K1421,"NULL")</f>
        <v>75</v>
      </c>
      <c r="J1421" s="1" t="str">
        <f t="shared" si="22"/>
        <v>INSERT INTO COTACAO (blt_id, pap_id, cot_prc_comum, cot_prc_min, cot_prc_max, cot_prc_med, cot_prc_mediana) VALUES (37, 30, NULL, 70, 80, 75, 75);</v>
      </c>
    </row>
    <row r="1422" spans="1:10" x14ac:dyDescent="0.3">
      <c r="A1422" s="1">
        <v>1421</v>
      </c>
      <c r="B1422" s="1">
        <v>37</v>
      </c>
      <c r="C1422" s="1">
        <v>31</v>
      </c>
      <c r="D1422" s="19">
        <f>IF('Boletins Nuppa Site'!G1422&lt;&gt;0,'Boletins Nuppa Site'!G1422,"NULL")</f>
        <v>100</v>
      </c>
      <c r="E1422" s="19">
        <f>IF('Boletins Nuppa Site'!H1422&lt;&gt;0,'Boletins Nuppa Site'!H1422,"NULL")</f>
        <v>75</v>
      </c>
      <c r="F1422" s="19">
        <f>IF('Boletins Nuppa Site'!I1422&lt;&gt;0,'Boletins Nuppa Site'!I1422,"NULL")</f>
        <v>100</v>
      </c>
      <c r="G1422" s="1" t="str">
        <f>IF('Boletins Nuppa Site'!J1422&lt;&gt;0,'Boletins Nuppa Site'!J1422,"NULL")</f>
        <v>88.75</v>
      </c>
      <c r="H1422" s="19">
        <f>IF('Boletins Nuppa Site'!K1422&lt;&gt;0,'Boletins Nuppa Site'!K1422,"NULL")</f>
        <v>90</v>
      </c>
      <c r="J1422" s="1" t="str">
        <f t="shared" si="22"/>
        <v>INSERT INTO COTACAO (blt_id, pap_id, cot_prc_comum, cot_prc_min, cot_prc_max, cot_prc_med, cot_prc_mediana) VALUES (37, 31, 100, 75, 100, 88.75, 90);</v>
      </c>
    </row>
    <row r="1423" spans="1:10" x14ac:dyDescent="0.3">
      <c r="A1423" s="1">
        <v>1422</v>
      </c>
      <c r="B1423" s="1">
        <v>37</v>
      </c>
      <c r="C1423" s="1">
        <v>32</v>
      </c>
      <c r="D1423" s="19">
        <f>IF('Boletins Nuppa Site'!G1423&lt;&gt;0,'Boletins Nuppa Site'!G1423,"NULL")</f>
        <v>45</v>
      </c>
      <c r="E1423" s="19">
        <f>IF('Boletins Nuppa Site'!H1423&lt;&gt;0,'Boletins Nuppa Site'!H1423,"NULL")</f>
        <v>45</v>
      </c>
      <c r="F1423" s="19">
        <f>IF('Boletins Nuppa Site'!I1423&lt;&gt;0,'Boletins Nuppa Site'!I1423,"NULL")</f>
        <v>85</v>
      </c>
      <c r="G1423" s="1" t="str">
        <f>IF('Boletins Nuppa Site'!J1423&lt;&gt;0,'Boletins Nuppa Site'!J1423,"NULL")</f>
        <v>57.5</v>
      </c>
      <c r="H1423" s="19">
        <f>IF('Boletins Nuppa Site'!K1423&lt;&gt;0,'Boletins Nuppa Site'!K1423,"NULL")</f>
        <v>50</v>
      </c>
      <c r="J1423" s="1" t="str">
        <f t="shared" si="22"/>
        <v>INSERT INTO COTACAO (blt_id, pap_id, cot_prc_comum, cot_prc_min, cot_prc_max, cot_prc_med, cot_prc_mediana) VALUES (37, 32, 45, 45, 85, 57.5, 50);</v>
      </c>
    </row>
    <row r="1424" spans="1:10" x14ac:dyDescent="0.3">
      <c r="A1424" s="1">
        <v>1423</v>
      </c>
      <c r="B1424" s="1">
        <v>37</v>
      </c>
      <c r="C1424" s="1">
        <v>33</v>
      </c>
      <c r="D1424" s="19">
        <f>IF('Boletins Nuppa Site'!G1424&lt;&gt;0,'Boletins Nuppa Site'!G1424,"NULL")</f>
        <v>160</v>
      </c>
      <c r="E1424" s="19">
        <f>IF('Boletins Nuppa Site'!H1424&lt;&gt;0,'Boletins Nuppa Site'!H1424,"NULL")</f>
        <v>150</v>
      </c>
      <c r="F1424" s="19">
        <f>IF('Boletins Nuppa Site'!I1424&lt;&gt;0,'Boletins Nuppa Site'!I1424,"NULL")</f>
        <v>180</v>
      </c>
      <c r="G1424" s="1" t="str">
        <f>IF('Boletins Nuppa Site'!J1424&lt;&gt;0,'Boletins Nuppa Site'!J1424,"NULL")</f>
        <v>162.5</v>
      </c>
      <c r="H1424" s="19">
        <f>IF('Boletins Nuppa Site'!K1424&lt;&gt;0,'Boletins Nuppa Site'!K1424,"NULL")</f>
        <v>160</v>
      </c>
      <c r="J1424" s="1" t="str">
        <f t="shared" si="22"/>
        <v>INSERT INTO COTACAO (blt_id, pap_id, cot_prc_comum, cot_prc_min, cot_prc_max, cot_prc_med, cot_prc_mediana) VALUES (37, 33, 160, 150, 180, 162.5, 160);</v>
      </c>
    </row>
    <row r="1425" spans="1:10" x14ac:dyDescent="0.3">
      <c r="A1425" s="1">
        <v>1424</v>
      </c>
      <c r="B1425" s="1">
        <v>37</v>
      </c>
      <c r="C1425" s="1">
        <v>34</v>
      </c>
      <c r="D1425" s="1" t="str">
        <f>IF('Boletins Nuppa Site'!G1425&lt;&gt;0,'Boletins Nuppa Site'!G1425,"NULL")</f>
        <v>NULL</v>
      </c>
      <c r="E1425" s="19">
        <f>IF('Boletins Nuppa Site'!H1425&lt;&gt;0,'Boletins Nuppa Site'!H1425,"NULL")</f>
        <v>50</v>
      </c>
      <c r="F1425" s="19">
        <f>IF('Boletins Nuppa Site'!I1425&lt;&gt;0,'Boletins Nuppa Site'!I1425,"NULL")</f>
        <v>80</v>
      </c>
      <c r="G1425" s="19">
        <f>IF('Boletins Nuppa Site'!J1425&lt;&gt;0,'Boletins Nuppa Site'!J1425,"NULL")</f>
        <v>65</v>
      </c>
      <c r="H1425" s="19">
        <f>IF('Boletins Nuppa Site'!K1425&lt;&gt;0,'Boletins Nuppa Site'!K1425,"NULL")</f>
        <v>65</v>
      </c>
      <c r="J1425" s="1" t="str">
        <f t="shared" si="22"/>
        <v>INSERT INTO COTACAO (blt_id, pap_id, cot_prc_comum, cot_prc_min, cot_prc_max, cot_prc_med, cot_prc_mediana) VALUES (37, 34, NULL, 50, 80, 65, 65);</v>
      </c>
    </row>
    <row r="1426" spans="1:10" x14ac:dyDescent="0.3">
      <c r="A1426" s="1">
        <v>1425</v>
      </c>
      <c r="B1426" s="1">
        <v>37</v>
      </c>
      <c r="C1426" s="1">
        <v>35</v>
      </c>
      <c r="D1426" s="1" t="str">
        <f>IF('Boletins Nuppa Site'!G1426&lt;&gt;0,'Boletins Nuppa Site'!G1426,"NULL")</f>
        <v>NULL</v>
      </c>
      <c r="E1426" s="1" t="str">
        <f>IF('Boletins Nuppa Site'!H1426&lt;&gt;0,'Boletins Nuppa Site'!H1426,"NULL")</f>
        <v>NULL</v>
      </c>
      <c r="F1426" s="19">
        <f>IF('Boletins Nuppa Site'!I1426&lt;&gt;0,'Boletins Nuppa Site'!I1426,"NULL")</f>
        <v>90</v>
      </c>
      <c r="G1426" s="19">
        <f>IF('Boletins Nuppa Site'!J1426&lt;&gt;0,'Boletins Nuppa Site'!J1426,"NULL")</f>
        <v>120</v>
      </c>
      <c r="H1426" s="1" t="str">
        <f>IF('Boletins Nuppa Site'!K1426&lt;&gt;0,'Boletins Nuppa Site'!K1426,"NULL")</f>
        <v>103.33</v>
      </c>
      <c r="J1426" s="1" t="str">
        <f t="shared" si="22"/>
        <v>INSERT INTO COTACAO (blt_id, pap_id, cot_prc_comum, cot_prc_min, cot_prc_max, cot_prc_med, cot_prc_mediana) VALUES (37, 35, NULL, NULL, 90, 120, 103.33);</v>
      </c>
    </row>
    <row r="1427" spans="1:10" x14ac:dyDescent="0.3">
      <c r="A1427" s="1">
        <v>1426</v>
      </c>
      <c r="B1427" s="1">
        <v>37</v>
      </c>
      <c r="C1427" s="1">
        <v>36</v>
      </c>
      <c r="D1427" s="1" t="str">
        <f>IF('Boletins Nuppa Site'!G1427&lt;&gt;0,'Boletins Nuppa Site'!G1427,"NULL")</f>
        <v>NULL</v>
      </c>
      <c r="E1427" s="1" t="str">
        <f>IF('Boletins Nuppa Site'!H1427&lt;&gt;0,'Boletins Nuppa Site'!H1427,"NULL")</f>
        <v>NULL</v>
      </c>
      <c r="F1427" s="1" t="str">
        <f>IF('Boletins Nuppa Site'!I1427&lt;&gt;0,'Boletins Nuppa Site'!I1427,"NULL")</f>
        <v>NULL</v>
      </c>
      <c r="G1427" s="1" t="str">
        <f>IF('Boletins Nuppa Site'!J1427&lt;&gt;0,'Boletins Nuppa Site'!J1427,"NULL")</f>
        <v>NULL</v>
      </c>
      <c r="H1427" s="1" t="str">
        <f>IF('Boletins Nuppa Site'!K1427&lt;&gt;0,'Boletins Nuppa Site'!K1427,"NULL")</f>
        <v>NULL</v>
      </c>
      <c r="J1427" s="1" t="str">
        <f t="shared" si="22"/>
        <v>INSERT INTO COTACAO (blt_id, pap_id, cot_prc_comum, cot_prc_min, cot_prc_max, cot_prc_med, cot_prc_mediana) VALUES (37, 36, NULL, NULL, NULL, NULL, NULL);</v>
      </c>
    </row>
    <row r="1428" spans="1:10" x14ac:dyDescent="0.3">
      <c r="A1428" s="1">
        <v>1427</v>
      </c>
      <c r="B1428" s="1">
        <v>37</v>
      </c>
      <c r="C1428" s="1">
        <v>37</v>
      </c>
      <c r="D1428" s="1" t="str">
        <f>IF('Boletins Nuppa Site'!G1428&lt;&gt;0,'Boletins Nuppa Site'!G1428,"NULL")</f>
        <v>NULL</v>
      </c>
      <c r="E1428" s="1" t="str">
        <f>IF('Boletins Nuppa Site'!H1428&lt;&gt;0,'Boletins Nuppa Site'!H1428,"NULL")</f>
        <v>NULL</v>
      </c>
      <c r="F1428" s="1" t="str">
        <f>IF('Boletins Nuppa Site'!I1428&lt;&gt;0,'Boletins Nuppa Site'!I1428,"NULL")</f>
        <v>NULL</v>
      </c>
      <c r="G1428" s="1" t="str">
        <f>IF('Boletins Nuppa Site'!J1428&lt;&gt;0,'Boletins Nuppa Site'!J1428,"NULL")</f>
        <v>NULL</v>
      </c>
      <c r="H1428" s="1" t="str">
        <f>IF('Boletins Nuppa Site'!K1428&lt;&gt;0,'Boletins Nuppa Site'!K1428,"NULL")</f>
        <v>NULL</v>
      </c>
      <c r="J1428" s="1" t="str">
        <f t="shared" si="22"/>
        <v>INSERT INTO COTACAO (blt_id, pap_id, cot_prc_comum, cot_prc_min, cot_prc_max, cot_prc_med, cot_prc_mediana) VALUES (37, 37, NULL, NULL, NULL, NULL, NULL);</v>
      </c>
    </row>
    <row r="1429" spans="1:10" x14ac:dyDescent="0.3">
      <c r="A1429" s="1">
        <v>1428</v>
      </c>
      <c r="B1429" s="1">
        <v>37</v>
      </c>
      <c r="C1429" s="1">
        <v>38</v>
      </c>
      <c r="D1429" s="1" t="str">
        <f>IF('Boletins Nuppa Site'!G1429&lt;&gt;0,'Boletins Nuppa Site'!G1429,"NULL")</f>
        <v>NULL</v>
      </c>
      <c r="E1429" s="1" t="str">
        <f>IF('Boletins Nuppa Site'!H1429&lt;&gt;0,'Boletins Nuppa Site'!H1429,"NULL")</f>
        <v>NULL</v>
      </c>
      <c r="F1429" s="1" t="str">
        <f>IF('Boletins Nuppa Site'!I1429&lt;&gt;0,'Boletins Nuppa Site'!I1429,"NULL")</f>
        <v>NULL</v>
      </c>
      <c r="G1429" s="1" t="str">
        <f>IF('Boletins Nuppa Site'!J1429&lt;&gt;0,'Boletins Nuppa Site'!J1429,"NULL")</f>
        <v>NULL</v>
      </c>
      <c r="H1429" s="1" t="str">
        <f>IF('Boletins Nuppa Site'!K1429&lt;&gt;0,'Boletins Nuppa Site'!K1429,"NULL")</f>
        <v>NULL</v>
      </c>
      <c r="J1429" s="1" t="str">
        <f t="shared" si="22"/>
        <v>INSERT INTO COTACAO (blt_id, pap_id, cot_prc_comum, cot_prc_min, cot_prc_max, cot_prc_med, cot_prc_mediana) VALUES (37, 38, NULL, NULL, NULL, NULL, NULL);</v>
      </c>
    </row>
    <row r="1430" spans="1:10" x14ac:dyDescent="0.3">
      <c r="A1430" s="1">
        <v>1429</v>
      </c>
      <c r="B1430" s="1">
        <v>37</v>
      </c>
      <c r="C1430" s="1">
        <v>39</v>
      </c>
      <c r="D1430" s="1" t="str">
        <f>IF('Boletins Nuppa Site'!G1430&lt;&gt;0,'Boletins Nuppa Site'!G1430,"NULL")</f>
        <v>NULL</v>
      </c>
      <c r="E1430" s="19">
        <f>IF('Boletins Nuppa Site'!H1430&lt;&gt;0,'Boletins Nuppa Site'!H1430,"NULL")</f>
        <v>70</v>
      </c>
      <c r="F1430" s="19">
        <f>IF('Boletins Nuppa Site'!I1430&lt;&gt;0,'Boletins Nuppa Site'!I1430,"NULL")</f>
        <v>70</v>
      </c>
      <c r="G1430" s="19">
        <f>IF('Boletins Nuppa Site'!J1430&lt;&gt;0,'Boletins Nuppa Site'!J1430,"NULL")</f>
        <v>70</v>
      </c>
      <c r="H1430" s="19">
        <f>IF('Boletins Nuppa Site'!K1430&lt;&gt;0,'Boletins Nuppa Site'!K1430,"NULL")</f>
        <v>70</v>
      </c>
      <c r="J1430" s="1" t="str">
        <f t="shared" si="22"/>
        <v>INSERT INTO COTACAO (blt_id, pap_id, cot_prc_comum, cot_prc_min, cot_prc_max, cot_prc_med, cot_prc_mediana) VALUES (37, 39, NULL, 70, 70, 70, 70);</v>
      </c>
    </row>
    <row r="1431" spans="1:10" x14ac:dyDescent="0.3">
      <c r="B1431" s="1">
        <v>37</v>
      </c>
      <c r="C1431" s="1">
        <v>40</v>
      </c>
      <c r="D1431" s="1" t="str">
        <f>IF('Boletins Nuppa Site'!G1431&lt;&gt;0,'Boletins Nuppa Site'!G1431,"NULL")</f>
        <v>NULL</v>
      </c>
      <c r="E1431" s="19" t="str">
        <f>IF('Boletins Nuppa Site'!H1431&lt;&gt;0,'Boletins Nuppa Site'!H1431,"NULL")</f>
        <v>NULL</v>
      </c>
      <c r="F1431" s="19" t="str">
        <f>IF('Boletins Nuppa Site'!I1431&lt;&gt;0,'Boletins Nuppa Site'!I1431,"NULL")</f>
        <v>NULL</v>
      </c>
      <c r="G1431" s="19" t="str">
        <f>IF('Boletins Nuppa Site'!J1431&lt;&gt;0,'Boletins Nuppa Site'!J1431,"NULL")</f>
        <v>NULL</v>
      </c>
      <c r="H1431" s="19" t="str">
        <f>IF('Boletins Nuppa Site'!K1431&lt;&gt;0,'Boletins Nuppa Site'!K1431,"NULL")</f>
        <v>NULL</v>
      </c>
    </row>
    <row r="1432" spans="1:10" x14ac:dyDescent="0.3">
      <c r="B1432" s="1">
        <v>38</v>
      </c>
      <c r="C1432" s="1">
        <v>1</v>
      </c>
      <c r="D1432" s="1">
        <f>IF('Boletins Nuppa Site'!G1432&lt;&gt;0,'Boletins Nuppa Site'!G1432,"NULL")</f>
        <v>48</v>
      </c>
      <c r="E1432" s="19">
        <f>IF('Boletins Nuppa Site'!H1432&lt;&gt;0,'Boletins Nuppa Site'!H1432,"NULL")</f>
        <v>36</v>
      </c>
      <c r="F1432" s="19">
        <f>IF('Boletins Nuppa Site'!I1432&lt;&gt;0,'Boletins Nuppa Site'!I1432,"NULL")</f>
        <v>60</v>
      </c>
      <c r="G1432" s="19">
        <f>IF('Boletins Nuppa Site'!J1432&lt;&gt;0,'Boletins Nuppa Site'!J1432,"NULL")</f>
        <v>48</v>
      </c>
      <c r="H1432" s="19">
        <f>IF('Boletins Nuppa Site'!K1432&lt;&gt;0,'Boletins Nuppa Site'!K1432,"NULL")</f>
        <v>48</v>
      </c>
    </row>
    <row r="1433" spans="1:10" x14ac:dyDescent="0.3">
      <c r="B1433" s="1">
        <v>38</v>
      </c>
      <c r="C1433" s="1">
        <v>2</v>
      </c>
      <c r="D1433" s="1">
        <f>IF('Boletins Nuppa Site'!G1433&lt;&gt;0,'Boletins Nuppa Site'!G1433,"NULL")</f>
        <v>84</v>
      </c>
      <c r="E1433" s="19">
        <f>IF('Boletins Nuppa Site'!H1433&lt;&gt;0,'Boletins Nuppa Site'!H1433,"NULL")</f>
        <v>72</v>
      </c>
      <c r="F1433" s="19">
        <f>IF('Boletins Nuppa Site'!I1433&lt;&gt;0,'Boletins Nuppa Site'!I1433,"NULL")</f>
        <v>84</v>
      </c>
      <c r="G1433" s="19">
        <f>IF('Boletins Nuppa Site'!J1433&lt;&gt;0,'Boletins Nuppa Site'!J1433,"NULL")</f>
        <v>80</v>
      </c>
      <c r="H1433" s="19">
        <f>IF('Boletins Nuppa Site'!K1433&lt;&gt;0,'Boletins Nuppa Site'!K1433,"NULL")</f>
        <v>84</v>
      </c>
    </row>
    <row r="1434" spans="1:10" x14ac:dyDescent="0.3">
      <c r="B1434" s="1">
        <v>38</v>
      </c>
      <c r="C1434" s="1">
        <v>3</v>
      </c>
      <c r="D1434" s="1">
        <f>IF('Boletins Nuppa Site'!G1434&lt;&gt;0,'Boletins Nuppa Site'!G1434,"NULL")</f>
        <v>36</v>
      </c>
      <c r="E1434" s="19">
        <f>IF('Boletins Nuppa Site'!H1434&lt;&gt;0,'Boletins Nuppa Site'!H1434,"NULL")</f>
        <v>25</v>
      </c>
      <c r="F1434" s="19">
        <f>IF('Boletins Nuppa Site'!I1434&lt;&gt;0,'Boletins Nuppa Site'!I1434,"NULL")</f>
        <v>42</v>
      </c>
      <c r="G1434" s="19">
        <f>IF('Boletins Nuppa Site'!J1434&lt;&gt;0,'Boletins Nuppa Site'!J1434,"NULL")</f>
        <v>34.75</v>
      </c>
      <c r="H1434" s="19">
        <f>IF('Boletins Nuppa Site'!K1434&lt;&gt;0,'Boletins Nuppa Site'!K1434,"NULL")</f>
        <v>36</v>
      </c>
    </row>
    <row r="1435" spans="1:10" x14ac:dyDescent="0.3">
      <c r="B1435" s="1">
        <v>38</v>
      </c>
      <c r="C1435" s="1">
        <v>4</v>
      </c>
      <c r="D1435" s="1">
        <f>IF('Boletins Nuppa Site'!G1435&lt;&gt;0,'Boletins Nuppa Site'!G1435,"NULL")</f>
        <v>18</v>
      </c>
      <c r="E1435" s="19">
        <f>IF('Boletins Nuppa Site'!H1435&lt;&gt;0,'Boletins Nuppa Site'!H1435,"NULL")</f>
        <v>18</v>
      </c>
      <c r="F1435" s="19">
        <f>IF('Boletins Nuppa Site'!I1435&lt;&gt;0,'Boletins Nuppa Site'!I1435,"NULL")</f>
        <v>24</v>
      </c>
      <c r="G1435" s="19">
        <f>IF('Boletins Nuppa Site'!J1435&lt;&gt;0,'Boletins Nuppa Site'!J1435,"NULL")</f>
        <v>21</v>
      </c>
      <c r="H1435" s="19">
        <f>IF('Boletins Nuppa Site'!K1435&lt;&gt;0,'Boletins Nuppa Site'!K1435,"NULL")</f>
        <v>21</v>
      </c>
    </row>
    <row r="1436" spans="1:10" x14ac:dyDescent="0.3">
      <c r="B1436" s="1">
        <v>38</v>
      </c>
      <c r="C1436" s="1">
        <v>5</v>
      </c>
      <c r="D1436" s="1">
        <f>IF('Boletins Nuppa Site'!G1436&lt;&gt;0,'Boletins Nuppa Site'!G1436,"NULL")</f>
        <v>18</v>
      </c>
      <c r="E1436" s="19">
        <f>IF('Boletins Nuppa Site'!H1436&lt;&gt;0,'Boletins Nuppa Site'!H1436,"NULL")</f>
        <v>18</v>
      </c>
      <c r="F1436" s="19">
        <f>IF('Boletins Nuppa Site'!I1436&lt;&gt;0,'Boletins Nuppa Site'!I1436,"NULL")</f>
        <v>24</v>
      </c>
      <c r="G1436" s="19">
        <f>IF('Boletins Nuppa Site'!J1436&lt;&gt;0,'Boletins Nuppa Site'!J1436,"NULL")</f>
        <v>21</v>
      </c>
      <c r="H1436" s="19">
        <f>IF('Boletins Nuppa Site'!K1436&lt;&gt;0,'Boletins Nuppa Site'!K1436,"NULL")</f>
        <v>21</v>
      </c>
    </row>
    <row r="1437" spans="1:10" x14ac:dyDescent="0.3">
      <c r="B1437" s="1">
        <v>38</v>
      </c>
      <c r="C1437" s="1">
        <v>6</v>
      </c>
      <c r="D1437" s="1">
        <f>IF('Boletins Nuppa Site'!G1437&lt;&gt;0,'Boletins Nuppa Site'!G1437,"NULL")</f>
        <v>60</v>
      </c>
      <c r="E1437" s="19">
        <f>IF('Boletins Nuppa Site'!H1437&lt;&gt;0,'Boletins Nuppa Site'!H1437,"NULL")</f>
        <v>60</v>
      </c>
      <c r="F1437" s="19">
        <f>IF('Boletins Nuppa Site'!I1437&lt;&gt;0,'Boletins Nuppa Site'!I1437,"NULL")</f>
        <v>60</v>
      </c>
      <c r="G1437" s="19">
        <f>IF('Boletins Nuppa Site'!J1437&lt;&gt;0,'Boletins Nuppa Site'!J1437,"NULL")</f>
        <v>60</v>
      </c>
      <c r="H1437" s="19">
        <f>IF('Boletins Nuppa Site'!K1437&lt;&gt;0,'Boletins Nuppa Site'!K1437,"NULL")</f>
        <v>60</v>
      </c>
    </row>
    <row r="1438" spans="1:10" x14ac:dyDescent="0.3">
      <c r="B1438" s="1">
        <v>38</v>
      </c>
      <c r="C1438" s="1">
        <v>7</v>
      </c>
      <c r="D1438" s="1" t="str">
        <f>IF('Boletins Nuppa Site'!G1438&lt;&gt;0,'Boletins Nuppa Site'!G1438,"NULL")</f>
        <v>NULL</v>
      </c>
      <c r="E1438" s="19">
        <f>IF('Boletins Nuppa Site'!H1438&lt;&gt;0,'Boletins Nuppa Site'!H1438,"NULL")</f>
        <v>42</v>
      </c>
      <c r="F1438" s="19">
        <f>IF('Boletins Nuppa Site'!I1438&lt;&gt;0,'Boletins Nuppa Site'!I1438,"NULL")</f>
        <v>72</v>
      </c>
      <c r="G1438" s="19">
        <f>IF('Boletins Nuppa Site'!J1438&lt;&gt;0,'Boletins Nuppa Site'!J1438,"NULL")</f>
        <v>58</v>
      </c>
      <c r="H1438" s="19">
        <f>IF('Boletins Nuppa Site'!K1438&lt;&gt;0,'Boletins Nuppa Site'!K1438,"NULL")</f>
        <v>60</v>
      </c>
    </row>
    <row r="1439" spans="1:10" x14ac:dyDescent="0.3">
      <c r="B1439" s="1">
        <v>38</v>
      </c>
      <c r="C1439" s="1">
        <v>8</v>
      </c>
      <c r="D1439" s="1">
        <f>IF('Boletins Nuppa Site'!G1439&lt;&gt;0,'Boletins Nuppa Site'!G1439,"NULL")</f>
        <v>72</v>
      </c>
      <c r="E1439" s="19">
        <f>IF('Boletins Nuppa Site'!H1439&lt;&gt;0,'Boletins Nuppa Site'!H1439,"NULL")</f>
        <v>60</v>
      </c>
      <c r="F1439" s="19">
        <f>IF('Boletins Nuppa Site'!I1439&lt;&gt;0,'Boletins Nuppa Site'!I1439,"NULL")</f>
        <v>72</v>
      </c>
      <c r="G1439" s="19">
        <f>IF('Boletins Nuppa Site'!J1439&lt;&gt;0,'Boletins Nuppa Site'!J1439,"NULL")</f>
        <v>69</v>
      </c>
      <c r="H1439" s="19">
        <f>IF('Boletins Nuppa Site'!K1439&lt;&gt;0,'Boletins Nuppa Site'!K1439,"NULL")</f>
        <v>72</v>
      </c>
    </row>
    <row r="1440" spans="1:10" x14ac:dyDescent="0.3">
      <c r="B1440" s="1">
        <v>38</v>
      </c>
      <c r="C1440" s="1">
        <v>9</v>
      </c>
      <c r="D1440" s="1">
        <f>IF('Boletins Nuppa Site'!G1440&lt;&gt;0,'Boletins Nuppa Site'!G1440,"NULL")</f>
        <v>18</v>
      </c>
      <c r="E1440" s="19">
        <f>IF('Boletins Nuppa Site'!H1440&lt;&gt;0,'Boletins Nuppa Site'!H1440,"NULL")</f>
        <v>18</v>
      </c>
      <c r="F1440" s="19">
        <f>IF('Boletins Nuppa Site'!I1440&lt;&gt;0,'Boletins Nuppa Site'!I1440,"NULL")</f>
        <v>24</v>
      </c>
      <c r="G1440" s="19">
        <f>IF('Boletins Nuppa Site'!J1440&lt;&gt;0,'Boletins Nuppa Site'!J1440,"NULL")</f>
        <v>21</v>
      </c>
      <c r="H1440" s="19">
        <f>IF('Boletins Nuppa Site'!K1440&lt;&gt;0,'Boletins Nuppa Site'!K1440,"NULL")</f>
        <v>21</v>
      </c>
    </row>
    <row r="1441" spans="2:8" x14ac:dyDescent="0.3">
      <c r="B1441" s="1">
        <v>38</v>
      </c>
      <c r="C1441" s="1">
        <v>10</v>
      </c>
      <c r="D1441" s="1" t="str">
        <f>IF('Boletins Nuppa Site'!G1441&lt;&gt;0,'Boletins Nuppa Site'!G1441,"NULL")</f>
        <v>NULL</v>
      </c>
      <c r="E1441" s="19">
        <f>IF('Boletins Nuppa Site'!H1441&lt;&gt;0,'Boletins Nuppa Site'!H1441,"NULL")</f>
        <v>50</v>
      </c>
      <c r="F1441" s="19">
        <f>IF('Boletins Nuppa Site'!I1441&lt;&gt;0,'Boletins Nuppa Site'!I1441,"NULL")</f>
        <v>78</v>
      </c>
      <c r="G1441" s="19">
        <f>IF('Boletins Nuppa Site'!J1441&lt;&gt;0,'Boletins Nuppa Site'!J1441,"NULL")</f>
        <v>62.67</v>
      </c>
      <c r="H1441" s="19">
        <f>IF('Boletins Nuppa Site'!K1441&lt;&gt;0,'Boletins Nuppa Site'!K1441,"NULL")</f>
        <v>60</v>
      </c>
    </row>
    <row r="1442" spans="2:8" x14ac:dyDescent="0.3">
      <c r="B1442" s="1">
        <v>38</v>
      </c>
      <c r="C1442" s="1">
        <v>11</v>
      </c>
      <c r="D1442" s="1">
        <f>IF('Boletins Nuppa Site'!G1442&lt;&gt;0,'Boletins Nuppa Site'!G1442,"NULL")</f>
        <v>18</v>
      </c>
      <c r="E1442" s="19">
        <f>IF('Boletins Nuppa Site'!H1442&lt;&gt;0,'Boletins Nuppa Site'!H1442,"NULL")</f>
        <v>18</v>
      </c>
      <c r="F1442" s="19">
        <f>IF('Boletins Nuppa Site'!I1442&lt;&gt;0,'Boletins Nuppa Site'!I1442,"NULL")</f>
        <v>24</v>
      </c>
      <c r="G1442" s="19">
        <f>IF('Boletins Nuppa Site'!J1442&lt;&gt;0,'Boletins Nuppa Site'!J1442,"NULL")</f>
        <v>21</v>
      </c>
      <c r="H1442" s="19">
        <f>IF('Boletins Nuppa Site'!K1442&lt;&gt;0,'Boletins Nuppa Site'!K1442,"NULL")</f>
        <v>21</v>
      </c>
    </row>
    <row r="1443" spans="2:8" x14ac:dyDescent="0.3">
      <c r="B1443" s="1">
        <v>38</v>
      </c>
      <c r="C1443" s="1">
        <v>12</v>
      </c>
      <c r="D1443" s="1">
        <f>IF('Boletins Nuppa Site'!G1443&lt;&gt;0,'Boletins Nuppa Site'!G1443,"NULL")</f>
        <v>60</v>
      </c>
      <c r="E1443" s="19">
        <f>IF('Boletins Nuppa Site'!H1443&lt;&gt;0,'Boletins Nuppa Site'!H1443,"NULL")</f>
        <v>48</v>
      </c>
      <c r="F1443" s="19">
        <f>IF('Boletins Nuppa Site'!I1443&lt;&gt;0,'Boletins Nuppa Site'!I1443,"NULL")</f>
        <v>60</v>
      </c>
      <c r="G1443" s="19">
        <f>IF('Boletins Nuppa Site'!J1443&lt;&gt;0,'Boletins Nuppa Site'!J1443,"NULL")</f>
        <v>56</v>
      </c>
      <c r="H1443" s="19">
        <f>IF('Boletins Nuppa Site'!K1443&lt;&gt;0,'Boletins Nuppa Site'!K1443,"NULL")</f>
        <v>60</v>
      </c>
    </row>
    <row r="1444" spans="2:8" x14ac:dyDescent="0.3">
      <c r="B1444" s="1">
        <v>38</v>
      </c>
      <c r="C1444" s="1">
        <v>13</v>
      </c>
      <c r="D1444" s="1">
        <f>IF('Boletins Nuppa Site'!G1444&lt;&gt;0,'Boletins Nuppa Site'!G1444,"NULL")</f>
        <v>60</v>
      </c>
      <c r="E1444" s="19">
        <f>IF('Boletins Nuppa Site'!H1444&lt;&gt;0,'Boletins Nuppa Site'!H1444,"NULL")</f>
        <v>36</v>
      </c>
      <c r="F1444" s="19">
        <f>IF('Boletins Nuppa Site'!I1444&lt;&gt;0,'Boletins Nuppa Site'!I1444,"NULL")</f>
        <v>60</v>
      </c>
      <c r="G1444" s="19">
        <f>IF('Boletins Nuppa Site'!J1444&lt;&gt;0,'Boletins Nuppa Site'!J1444,"NULL")</f>
        <v>51</v>
      </c>
      <c r="H1444" s="19">
        <f>IF('Boletins Nuppa Site'!K1444&lt;&gt;0,'Boletins Nuppa Site'!K1444,"NULL")</f>
        <v>54</v>
      </c>
    </row>
    <row r="1445" spans="2:8" x14ac:dyDescent="0.3">
      <c r="B1445" s="1">
        <v>38</v>
      </c>
      <c r="C1445" s="1">
        <v>14</v>
      </c>
      <c r="D1445" s="1" t="str">
        <f>IF('Boletins Nuppa Site'!G1445&lt;&gt;0,'Boletins Nuppa Site'!G1445,"NULL")</f>
        <v>NULL</v>
      </c>
      <c r="E1445" s="19">
        <f>IF('Boletins Nuppa Site'!H1445&lt;&gt;0,'Boletins Nuppa Site'!H1445,"NULL")</f>
        <v>48</v>
      </c>
      <c r="F1445" s="19">
        <f>IF('Boletins Nuppa Site'!I1445&lt;&gt;0,'Boletins Nuppa Site'!I1445,"NULL")</f>
        <v>72</v>
      </c>
      <c r="G1445" s="19">
        <f>IF('Boletins Nuppa Site'!J1445&lt;&gt;0,'Boletins Nuppa Site'!J1445,"NULL")</f>
        <v>60</v>
      </c>
      <c r="H1445" s="19">
        <f>IF('Boletins Nuppa Site'!K1445&lt;&gt;0,'Boletins Nuppa Site'!K1445,"NULL")</f>
        <v>60</v>
      </c>
    </row>
    <row r="1446" spans="2:8" x14ac:dyDescent="0.3">
      <c r="B1446" s="1">
        <v>38</v>
      </c>
      <c r="C1446" s="1">
        <v>15</v>
      </c>
      <c r="D1446" s="1">
        <f>IF('Boletins Nuppa Site'!G1446&lt;&gt;0,'Boletins Nuppa Site'!G1446,"NULL")</f>
        <v>24</v>
      </c>
      <c r="E1446" s="19">
        <f>IF('Boletins Nuppa Site'!H1446&lt;&gt;0,'Boletins Nuppa Site'!H1446,"NULL")</f>
        <v>24</v>
      </c>
      <c r="F1446" s="19">
        <f>IF('Boletins Nuppa Site'!I1446&lt;&gt;0,'Boletins Nuppa Site'!I1446,"NULL")</f>
        <v>36</v>
      </c>
      <c r="G1446" s="19">
        <f>IF('Boletins Nuppa Site'!J1446&lt;&gt;0,'Boletins Nuppa Site'!J1446,"NULL")</f>
        <v>28.5</v>
      </c>
      <c r="H1446" s="19">
        <f>IF('Boletins Nuppa Site'!K1446&lt;&gt;0,'Boletins Nuppa Site'!K1446,"NULL")</f>
        <v>27</v>
      </c>
    </row>
    <row r="1447" spans="2:8" x14ac:dyDescent="0.3">
      <c r="B1447" s="1">
        <v>38</v>
      </c>
      <c r="C1447" s="1">
        <v>16</v>
      </c>
      <c r="D1447" s="1">
        <f>IF('Boletins Nuppa Site'!G1447&lt;&gt;0,'Boletins Nuppa Site'!G1447,"NULL")</f>
        <v>48</v>
      </c>
      <c r="E1447" s="19">
        <f>IF('Boletins Nuppa Site'!H1447&lt;&gt;0,'Boletins Nuppa Site'!H1447,"NULL")</f>
        <v>48</v>
      </c>
      <c r="F1447" s="19">
        <f>IF('Boletins Nuppa Site'!I1447&lt;&gt;0,'Boletins Nuppa Site'!I1447,"NULL")</f>
        <v>48</v>
      </c>
      <c r="G1447" s="19">
        <f>IF('Boletins Nuppa Site'!J1447&lt;&gt;0,'Boletins Nuppa Site'!J1447,"NULL")</f>
        <v>48</v>
      </c>
      <c r="H1447" s="19">
        <f>IF('Boletins Nuppa Site'!K1447&lt;&gt;0,'Boletins Nuppa Site'!K1447,"NULL")</f>
        <v>48</v>
      </c>
    </row>
    <row r="1448" spans="2:8" x14ac:dyDescent="0.3">
      <c r="B1448" s="1">
        <v>38</v>
      </c>
      <c r="C1448" s="1">
        <v>17</v>
      </c>
      <c r="D1448" s="1">
        <f>IF('Boletins Nuppa Site'!G1448&lt;&gt;0,'Boletins Nuppa Site'!G1448,"NULL")</f>
        <v>5</v>
      </c>
      <c r="E1448" s="19">
        <f>IF('Boletins Nuppa Site'!H1448&lt;&gt;0,'Boletins Nuppa Site'!H1448,"NULL")</f>
        <v>5</v>
      </c>
      <c r="F1448" s="19">
        <f>IF('Boletins Nuppa Site'!I1448&lt;&gt;0,'Boletins Nuppa Site'!I1448,"NULL")</f>
        <v>5</v>
      </c>
      <c r="G1448" s="19">
        <f>IF('Boletins Nuppa Site'!J1448&lt;&gt;0,'Boletins Nuppa Site'!J1448,"NULL")</f>
        <v>5</v>
      </c>
      <c r="H1448" s="19">
        <f>IF('Boletins Nuppa Site'!K1448&lt;&gt;0,'Boletins Nuppa Site'!K1448,"NULL")</f>
        <v>5</v>
      </c>
    </row>
    <row r="1449" spans="2:8" x14ac:dyDescent="0.3">
      <c r="B1449" s="1">
        <v>38</v>
      </c>
      <c r="C1449" s="1">
        <v>18</v>
      </c>
      <c r="D1449" s="1">
        <f>IF('Boletins Nuppa Site'!G1449&lt;&gt;0,'Boletins Nuppa Site'!G1449,"NULL")</f>
        <v>12</v>
      </c>
      <c r="E1449" s="19">
        <f>IF('Boletins Nuppa Site'!H1449&lt;&gt;0,'Boletins Nuppa Site'!H1449,"NULL")</f>
        <v>12</v>
      </c>
      <c r="F1449" s="19">
        <f>IF('Boletins Nuppa Site'!I1449&lt;&gt;0,'Boletins Nuppa Site'!I1449,"NULL")</f>
        <v>15</v>
      </c>
      <c r="G1449" s="19">
        <f>IF('Boletins Nuppa Site'!J1449&lt;&gt;0,'Boletins Nuppa Site'!J1449,"NULL")</f>
        <v>13.5</v>
      </c>
      <c r="H1449" s="19">
        <f>IF('Boletins Nuppa Site'!K1449&lt;&gt;0,'Boletins Nuppa Site'!K1449,"NULL")</f>
        <v>13.5</v>
      </c>
    </row>
    <row r="1450" spans="2:8" x14ac:dyDescent="0.3">
      <c r="B1450" s="1">
        <v>38</v>
      </c>
      <c r="C1450" s="1">
        <v>19</v>
      </c>
      <c r="D1450" s="1">
        <f>IF('Boletins Nuppa Site'!G1450&lt;&gt;0,'Boletins Nuppa Site'!G1450,"NULL")</f>
        <v>35</v>
      </c>
      <c r="E1450" s="19">
        <f>IF('Boletins Nuppa Site'!H1450&lt;&gt;0,'Boletins Nuppa Site'!H1450,"NULL")</f>
        <v>20</v>
      </c>
      <c r="F1450" s="19">
        <f>IF('Boletins Nuppa Site'!I1450&lt;&gt;0,'Boletins Nuppa Site'!I1450,"NULL")</f>
        <v>35</v>
      </c>
      <c r="G1450" s="19">
        <f>IF('Boletins Nuppa Site'!J1450&lt;&gt;0,'Boletins Nuppa Site'!J1450,"NULL")</f>
        <v>28.75</v>
      </c>
      <c r="H1450" s="19">
        <f>IF('Boletins Nuppa Site'!K1450&lt;&gt;0,'Boletins Nuppa Site'!K1450,"NULL")</f>
        <v>30</v>
      </c>
    </row>
    <row r="1451" spans="2:8" x14ac:dyDescent="0.3">
      <c r="B1451" s="1">
        <v>38</v>
      </c>
      <c r="C1451" s="1">
        <v>20</v>
      </c>
      <c r="D1451" s="1" t="str">
        <f>IF('Boletins Nuppa Site'!G1451&lt;&gt;0,'Boletins Nuppa Site'!G1451,"NULL")</f>
        <v>NULL</v>
      </c>
      <c r="E1451" s="19">
        <f>IF('Boletins Nuppa Site'!H1451&lt;&gt;0,'Boletins Nuppa Site'!H1451,"NULL")</f>
        <v>80</v>
      </c>
      <c r="F1451" s="19">
        <f>IF('Boletins Nuppa Site'!I1451&lt;&gt;0,'Boletins Nuppa Site'!I1451,"NULL")</f>
        <v>80</v>
      </c>
      <c r="G1451" s="19">
        <f>IF('Boletins Nuppa Site'!J1451&lt;&gt;0,'Boletins Nuppa Site'!J1451,"NULL")</f>
        <v>80</v>
      </c>
      <c r="H1451" s="19">
        <f>IF('Boletins Nuppa Site'!K1451&lt;&gt;0,'Boletins Nuppa Site'!K1451,"NULL")</f>
        <v>80</v>
      </c>
    </row>
    <row r="1452" spans="2:8" x14ac:dyDescent="0.3">
      <c r="B1452" s="1">
        <v>38</v>
      </c>
      <c r="C1452" s="1">
        <v>21</v>
      </c>
      <c r="D1452" s="1">
        <f>IF('Boletins Nuppa Site'!G1452&lt;&gt;0,'Boletins Nuppa Site'!G1452,"NULL")</f>
        <v>40</v>
      </c>
      <c r="E1452" s="19">
        <f>IF('Boletins Nuppa Site'!H1452&lt;&gt;0,'Boletins Nuppa Site'!H1452,"NULL")</f>
        <v>30</v>
      </c>
      <c r="F1452" s="19">
        <f>IF('Boletins Nuppa Site'!I1452&lt;&gt;0,'Boletins Nuppa Site'!I1452,"NULL")</f>
        <v>40</v>
      </c>
      <c r="G1452" s="19">
        <f>IF('Boletins Nuppa Site'!J1452&lt;&gt;0,'Boletins Nuppa Site'!J1452,"NULL")</f>
        <v>35</v>
      </c>
      <c r="H1452" s="19">
        <f>IF('Boletins Nuppa Site'!K1452&lt;&gt;0,'Boletins Nuppa Site'!K1452,"NULL")</f>
        <v>35</v>
      </c>
    </row>
    <row r="1453" spans="2:8" x14ac:dyDescent="0.3">
      <c r="B1453" s="1">
        <v>38</v>
      </c>
      <c r="C1453" s="1">
        <v>22</v>
      </c>
      <c r="D1453" s="1">
        <f>IF('Boletins Nuppa Site'!G1453&lt;&gt;0,'Boletins Nuppa Site'!G1453,"NULL")</f>
        <v>45</v>
      </c>
      <c r="E1453" s="19">
        <f>IF('Boletins Nuppa Site'!H1453&lt;&gt;0,'Boletins Nuppa Site'!H1453,"NULL")</f>
        <v>45</v>
      </c>
      <c r="F1453" s="19">
        <f>IF('Boletins Nuppa Site'!I1453&lt;&gt;0,'Boletins Nuppa Site'!I1453,"NULL")</f>
        <v>70</v>
      </c>
      <c r="G1453" s="19">
        <f>IF('Boletins Nuppa Site'!J1453&lt;&gt;0,'Boletins Nuppa Site'!J1453,"NULL")</f>
        <v>56.25</v>
      </c>
      <c r="H1453" s="19">
        <f>IF('Boletins Nuppa Site'!K1453&lt;&gt;0,'Boletins Nuppa Site'!K1453,"NULL")</f>
        <v>55</v>
      </c>
    </row>
    <row r="1454" spans="2:8" x14ac:dyDescent="0.3">
      <c r="B1454" s="1">
        <v>38</v>
      </c>
      <c r="C1454" s="1">
        <v>23</v>
      </c>
      <c r="D1454" s="1" t="str">
        <f>IF('Boletins Nuppa Site'!G1454&lt;&gt;0,'Boletins Nuppa Site'!G1454,"NULL")</f>
        <v>NULL</v>
      </c>
      <c r="E1454" s="19">
        <f>IF('Boletins Nuppa Site'!H1454&lt;&gt;0,'Boletins Nuppa Site'!H1454,"NULL")</f>
        <v>50</v>
      </c>
      <c r="F1454" s="19">
        <f>IF('Boletins Nuppa Site'!I1454&lt;&gt;0,'Boletins Nuppa Site'!I1454,"NULL")</f>
        <v>70</v>
      </c>
      <c r="G1454" s="19">
        <f>IF('Boletins Nuppa Site'!J1454&lt;&gt;0,'Boletins Nuppa Site'!J1454,"NULL")</f>
        <v>60</v>
      </c>
      <c r="H1454" s="19">
        <f>IF('Boletins Nuppa Site'!K1454&lt;&gt;0,'Boletins Nuppa Site'!K1454,"NULL")</f>
        <v>60</v>
      </c>
    </row>
    <row r="1455" spans="2:8" x14ac:dyDescent="0.3">
      <c r="B1455" s="1">
        <v>38</v>
      </c>
      <c r="C1455" s="1">
        <v>24</v>
      </c>
      <c r="D1455" s="1" t="str">
        <f>IF('Boletins Nuppa Site'!G1455&lt;&gt;0,'Boletins Nuppa Site'!G1455,"NULL")</f>
        <v>NULL</v>
      </c>
      <c r="E1455" s="19">
        <f>IF('Boletins Nuppa Site'!H1455&lt;&gt;0,'Boletins Nuppa Site'!H1455,"NULL")</f>
        <v>45</v>
      </c>
      <c r="F1455" s="19">
        <f>IF('Boletins Nuppa Site'!I1455&lt;&gt;0,'Boletins Nuppa Site'!I1455,"NULL")</f>
        <v>110</v>
      </c>
      <c r="G1455" s="19">
        <f>IF('Boletins Nuppa Site'!J1455&lt;&gt;0,'Boletins Nuppa Site'!J1455,"NULL")</f>
        <v>81.67</v>
      </c>
      <c r="H1455" s="19">
        <f>IF('Boletins Nuppa Site'!K1455&lt;&gt;0,'Boletins Nuppa Site'!K1455,"NULL")</f>
        <v>90</v>
      </c>
    </row>
    <row r="1456" spans="2:8" x14ac:dyDescent="0.3">
      <c r="B1456" s="1">
        <v>38</v>
      </c>
      <c r="C1456" s="1">
        <v>25</v>
      </c>
      <c r="D1456" s="1" t="str">
        <f>IF('Boletins Nuppa Site'!G1456&lt;&gt;0,'Boletins Nuppa Site'!G1456,"NULL")</f>
        <v>NULL</v>
      </c>
      <c r="E1456" s="19">
        <f>IF('Boletins Nuppa Site'!H1456&lt;&gt;0,'Boletins Nuppa Site'!H1456,"NULL")</f>
        <v>55</v>
      </c>
      <c r="F1456" s="19">
        <f>IF('Boletins Nuppa Site'!I1456&lt;&gt;0,'Boletins Nuppa Site'!I1456,"NULL")</f>
        <v>70</v>
      </c>
      <c r="G1456" s="19">
        <f>IF('Boletins Nuppa Site'!J1456&lt;&gt;0,'Boletins Nuppa Site'!J1456,"NULL")</f>
        <v>62.5</v>
      </c>
      <c r="H1456" s="19">
        <f>IF('Boletins Nuppa Site'!K1456&lt;&gt;0,'Boletins Nuppa Site'!K1456,"NULL")</f>
        <v>62.5</v>
      </c>
    </row>
    <row r="1457" spans="2:8" x14ac:dyDescent="0.3">
      <c r="B1457" s="1">
        <v>38</v>
      </c>
      <c r="C1457" s="1">
        <v>26</v>
      </c>
      <c r="D1457" s="1">
        <f>IF('Boletins Nuppa Site'!G1457&lt;&gt;0,'Boletins Nuppa Site'!G1457,"NULL")</f>
        <v>55</v>
      </c>
      <c r="E1457" s="19">
        <f>IF('Boletins Nuppa Site'!H1457&lt;&gt;0,'Boletins Nuppa Site'!H1457,"NULL")</f>
        <v>40</v>
      </c>
      <c r="F1457" s="19">
        <f>IF('Boletins Nuppa Site'!I1457&lt;&gt;0,'Boletins Nuppa Site'!I1457,"NULL")</f>
        <v>55</v>
      </c>
      <c r="G1457" s="19">
        <f>IF('Boletins Nuppa Site'!J1457&lt;&gt;0,'Boletins Nuppa Site'!J1457,"NULL")</f>
        <v>48.75</v>
      </c>
      <c r="H1457" s="19">
        <f>IF('Boletins Nuppa Site'!K1457&lt;&gt;0,'Boletins Nuppa Site'!K1457,"NULL")</f>
        <v>50</v>
      </c>
    </row>
    <row r="1458" spans="2:8" x14ac:dyDescent="0.3">
      <c r="B1458" s="1">
        <v>38</v>
      </c>
      <c r="C1458" s="1">
        <v>27</v>
      </c>
      <c r="D1458" s="1" t="str">
        <f>IF('Boletins Nuppa Site'!G1458&lt;&gt;0,'Boletins Nuppa Site'!G1458,"NULL")</f>
        <v>NULL</v>
      </c>
      <c r="E1458" s="19">
        <f>IF('Boletins Nuppa Site'!H1458&lt;&gt;0,'Boletins Nuppa Site'!H1458,"NULL")</f>
        <v>55</v>
      </c>
      <c r="F1458" s="19">
        <f>IF('Boletins Nuppa Site'!I1458&lt;&gt;0,'Boletins Nuppa Site'!I1458,"NULL")</f>
        <v>85</v>
      </c>
      <c r="G1458" s="19">
        <f>IF('Boletins Nuppa Site'!J1458&lt;&gt;0,'Boletins Nuppa Site'!J1458,"NULL")</f>
        <v>68.75</v>
      </c>
      <c r="H1458" s="19">
        <f>IF('Boletins Nuppa Site'!K1458&lt;&gt;0,'Boletins Nuppa Site'!K1458,"NULL")</f>
        <v>67.5</v>
      </c>
    </row>
    <row r="1459" spans="2:8" x14ac:dyDescent="0.3">
      <c r="B1459" s="1">
        <v>38</v>
      </c>
      <c r="C1459" s="1">
        <v>28</v>
      </c>
      <c r="D1459" s="1" t="str">
        <f>IF('Boletins Nuppa Site'!G1459&lt;&gt;0,'Boletins Nuppa Site'!G1459,"NULL")</f>
        <v>NULL</v>
      </c>
      <c r="E1459" s="19">
        <f>IF('Boletins Nuppa Site'!H1459&lt;&gt;0,'Boletins Nuppa Site'!H1459,"NULL")</f>
        <v>90</v>
      </c>
      <c r="F1459" s="19">
        <f>IF('Boletins Nuppa Site'!I1459&lt;&gt;0,'Boletins Nuppa Site'!I1459,"NULL")</f>
        <v>100</v>
      </c>
      <c r="G1459" s="19">
        <f>IF('Boletins Nuppa Site'!J1459&lt;&gt;0,'Boletins Nuppa Site'!J1459,"NULL")</f>
        <v>95</v>
      </c>
      <c r="H1459" s="19">
        <f>IF('Boletins Nuppa Site'!K1459&lt;&gt;0,'Boletins Nuppa Site'!K1459,"NULL")</f>
        <v>95</v>
      </c>
    </row>
    <row r="1460" spans="2:8" x14ac:dyDescent="0.3">
      <c r="B1460" s="1">
        <v>38</v>
      </c>
      <c r="C1460" s="1">
        <v>29</v>
      </c>
      <c r="D1460" s="1" t="str">
        <f>IF('Boletins Nuppa Site'!G1460&lt;&gt;0,'Boletins Nuppa Site'!G1460,"NULL")</f>
        <v>NULL</v>
      </c>
      <c r="E1460" s="19">
        <f>IF('Boletins Nuppa Site'!H1460&lt;&gt;0,'Boletins Nuppa Site'!H1460,"NULL")</f>
        <v>70</v>
      </c>
      <c r="F1460" s="19">
        <f>IF('Boletins Nuppa Site'!I1460&lt;&gt;0,'Boletins Nuppa Site'!I1460,"NULL")</f>
        <v>70</v>
      </c>
      <c r="G1460" s="19">
        <f>IF('Boletins Nuppa Site'!J1460&lt;&gt;0,'Boletins Nuppa Site'!J1460,"NULL")</f>
        <v>70</v>
      </c>
      <c r="H1460" s="19">
        <f>IF('Boletins Nuppa Site'!K1460&lt;&gt;0,'Boletins Nuppa Site'!K1460,"NULL")</f>
        <v>70</v>
      </c>
    </row>
    <row r="1461" spans="2:8" x14ac:dyDescent="0.3">
      <c r="B1461" s="1">
        <v>38</v>
      </c>
      <c r="C1461" s="1">
        <v>30</v>
      </c>
      <c r="D1461" s="1" t="str">
        <f>IF('Boletins Nuppa Site'!G1461&lt;&gt;0,'Boletins Nuppa Site'!G1461,"NULL")</f>
        <v>NULL</v>
      </c>
      <c r="E1461" s="19">
        <f>IF('Boletins Nuppa Site'!H1461&lt;&gt;0,'Boletins Nuppa Site'!H1461,"NULL")</f>
        <v>70</v>
      </c>
      <c r="F1461" s="19">
        <f>IF('Boletins Nuppa Site'!I1461&lt;&gt;0,'Boletins Nuppa Site'!I1461,"NULL")</f>
        <v>80</v>
      </c>
      <c r="G1461" s="19">
        <f>IF('Boletins Nuppa Site'!J1461&lt;&gt;0,'Boletins Nuppa Site'!J1461,"NULL")</f>
        <v>75</v>
      </c>
      <c r="H1461" s="19">
        <f>IF('Boletins Nuppa Site'!K1461&lt;&gt;0,'Boletins Nuppa Site'!K1461,"NULL")</f>
        <v>75</v>
      </c>
    </row>
    <row r="1462" spans="2:8" x14ac:dyDescent="0.3">
      <c r="B1462" s="1">
        <v>38</v>
      </c>
      <c r="C1462" s="1">
        <v>31</v>
      </c>
      <c r="D1462" s="1">
        <f>IF('Boletins Nuppa Site'!G1462&lt;&gt;0,'Boletins Nuppa Site'!G1462,"NULL")</f>
        <v>100</v>
      </c>
      <c r="E1462" s="19">
        <f>IF('Boletins Nuppa Site'!H1462&lt;&gt;0,'Boletins Nuppa Site'!H1462,"NULL")</f>
        <v>75</v>
      </c>
      <c r="F1462" s="19">
        <f>IF('Boletins Nuppa Site'!I1462&lt;&gt;0,'Boletins Nuppa Site'!I1462,"NULL")</f>
        <v>100</v>
      </c>
      <c r="G1462" s="19">
        <f>IF('Boletins Nuppa Site'!J1462&lt;&gt;0,'Boletins Nuppa Site'!J1462,"NULL")</f>
        <v>88.75</v>
      </c>
      <c r="H1462" s="19">
        <f>IF('Boletins Nuppa Site'!K1462&lt;&gt;0,'Boletins Nuppa Site'!K1462,"NULL")</f>
        <v>90</v>
      </c>
    </row>
    <row r="1463" spans="2:8" x14ac:dyDescent="0.3">
      <c r="B1463" s="1">
        <v>38</v>
      </c>
      <c r="C1463" s="1">
        <v>32</v>
      </c>
      <c r="D1463" s="1">
        <f>IF('Boletins Nuppa Site'!G1463&lt;&gt;0,'Boletins Nuppa Site'!G1463,"NULL")</f>
        <v>45</v>
      </c>
      <c r="E1463" s="19">
        <f>IF('Boletins Nuppa Site'!H1463&lt;&gt;0,'Boletins Nuppa Site'!H1463,"NULL")</f>
        <v>45</v>
      </c>
      <c r="F1463" s="19">
        <f>IF('Boletins Nuppa Site'!I1463&lt;&gt;0,'Boletins Nuppa Site'!I1463,"NULL")</f>
        <v>85</v>
      </c>
      <c r="G1463" s="19">
        <f>IF('Boletins Nuppa Site'!J1463&lt;&gt;0,'Boletins Nuppa Site'!J1463,"NULL")</f>
        <v>57.5</v>
      </c>
      <c r="H1463" s="19">
        <f>IF('Boletins Nuppa Site'!K1463&lt;&gt;0,'Boletins Nuppa Site'!K1463,"NULL")</f>
        <v>50</v>
      </c>
    </row>
    <row r="1464" spans="2:8" x14ac:dyDescent="0.3">
      <c r="B1464" s="1">
        <v>38</v>
      </c>
      <c r="C1464" s="1">
        <v>33</v>
      </c>
      <c r="D1464" s="1">
        <f>IF('Boletins Nuppa Site'!G1464&lt;&gt;0,'Boletins Nuppa Site'!G1464,"NULL")</f>
        <v>160</v>
      </c>
      <c r="E1464" s="19">
        <f>IF('Boletins Nuppa Site'!H1464&lt;&gt;0,'Boletins Nuppa Site'!H1464,"NULL")</f>
        <v>150</v>
      </c>
      <c r="F1464" s="19">
        <f>IF('Boletins Nuppa Site'!I1464&lt;&gt;0,'Boletins Nuppa Site'!I1464,"NULL")</f>
        <v>180</v>
      </c>
      <c r="G1464" s="19">
        <f>IF('Boletins Nuppa Site'!J1464&lt;&gt;0,'Boletins Nuppa Site'!J1464,"NULL")</f>
        <v>162.5</v>
      </c>
      <c r="H1464" s="19">
        <f>IF('Boletins Nuppa Site'!K1464&lt;&gt;0,'Boletins Nuppa Site'!K1464,"NULL")</f>
        <v>160</v>
      </c>
    </row>
    <row r="1465" spans="2:8" x14ac:dyDescent="0.3">
      <c r="B1465" s="1">
        <v>38</v>
      </c>
      <c r="C1465" s="1">
        <v>34</v>
      </c>
      <c r="D1465" s="1" t="str">
        <f>IF('Boletins Nuppa Site'!G1465&lt;&gt;0,'Boletins Nuppa Site'!G1465,"NULL")</f>
        <v>NULL</v>
      </c>
      <c r="E1465" s="19">
        <f>IF('Boletins Nuppa Site'!H1465&lt;&gt;0,'Boletins Nuppa Site'!H1465,"NULL")</f>
        <v>50</v>
      </c>
      <c r="F1465" s="19">
        <f>IF('Boletins Nuppa Site'!I1465&lt;&gt;0,'Boletins Nuppa Site'!I1465,"NULL")</f>
        <v>80</v>
      </c>
      <c r="G1465" s="19">
        <f>IF('Boletins Nuppa Site'!J1465&lt;&gt;0,'Boletins Nuppa Site'!J1465,"NULL")</f>
        <v>65</v>
      </c>
      <c r="H1465" s="19">
        <f>IF('Boletins Nuppa Site'!K1465&lt;&gt;0,'Boletins Nuppa Site'!K1465,"NULL")</f>
        <v>65</v>
      </c>
    </row>
    <row r="1466" spans="2:8" x14ac:dyDescent="0.3">
      <c r="B1466" s="1">
        <v>38</v>
      </c>
      <c r="C1466" s="1">
        <v>35</v>
      </c>
      <c r="D1466" s="1" t="str">
        <f>IF('Boletins Nuppa Site'!G1466&lt;&gt;0,'Boletins Nuppa Site'!G1466,"NULL")</f>
        <v>NULL</v>
      </c>
      <c r="E1466" s="19">
        <f>IF('Boletins Nuppa Site'!H1466&lt;&gt;0,'Boletins Nuppa Site'!H1466,"NULL")</f>
        <v>90</v>
      </c>
      <c r="F1466" s="19">
        <f>IF('Boletins Nuppa Site'!I1466&lt;&gt;0,'Boletins Nuppa Site'!I1466,"NULL")</f>
        <v>120</v>
      </c>
      <c r="G1466" s="19">
        <f>IF('Boletins Nuppa Site'!J1466&lt;&gt;0,'Boletins Nuppa Site'!J1466,"NULL")</f>
        <v>103.33</v>
      </c>
      <c r="H1466" s="19">
        <f>IF('Boletins Nuppa Site'!K1466&lt;&gt;0,'Boletins Nuppa Site'!K1466,"NULL")</f>
        <v>100</v>
      </c>
    </row>
    <row r="1467" spans="2:8" x14ac:dyDescent="0.3">
      <c r="B1467" s="1">
        <v>38</v>
      </c>
      <c r="C1467" s="1">
        <v>36</v>
      </c>
      <c r="D1467" s="1" t="str">
        <f>IF('Boletins Nuppa Site'!G1467&lt;&gt;0,'Boletins Nuppa Site'!G1467,"NULL")</f>
        <v>NULL</v>
      </c>
      <c r="E1467" s="19" t="str">
        <f>IF('Boletins Nuppa Site'!H1467&lt;&gt;0,'Boletins Nuppa Site'!H1467,"NULL")</f>
        <v>NULL</v>
      </c>
      <c r="F1467" s="19" t="str">
        <f>IF('Boletins Nuppa Site'!I1467&lt;&gt;0,'Boletins Nuppa Site'!I1467,"NULL")</f>
        <v>NULL</v>
      </c>
      <c r="G1467" s="19" t="str">
        <f>IF('Boletins Nuppa Site'!J1467&lt;&gt;0,'Boletins Nuppa Site'!J1467,"NULL")</f>
        <v>NULL</v>
      </c>
      <c r="H1467" s="19" t="str">
        <f>IF('Boletins Nuppa Site'!K1467&lt;&gt;0,'Boletins Nuppa Site'!K1467,"NULL")</f>
        <v>NULL</v>
      </c>
    </row>
    <row r="1468" spans="2:8" x14ac:dyDescent="0.3">
      <c r="B1468" s="1">
        <v>38</v>
      </c>
      <c r="C1468" s="1">
        <v>37</v>
      </c>
      <c r="D1468" s="1" t="str">
        <f>IF('Boletins Nuppa Site'!G1468&lt;&gt;0,'Boletins Nuppa Site'!G1468,"NULL")</f>
        <v>NULL</v>
      </c>
      <c r="E1468" s="19" t="str">
        <f>IF('Boletins Nuppa Site'!H1468&lt;&gt;0,'Boletins Nuppa Site'!H1468,"NULL")</f>
        <v>NULL</v>
      </c>
      <c r="F1468" s="19" t="str">
        <f>IF('Boletins Nuppa Site'!I1468&lt;&gt;0,'Boletins Nuppa Site'!I1468,"NULL")</f>
        <v>NULL</v>
      </c>
      <c r="G1468" s="19" t="str">
        <f>IF('Boletins Nuppa Site'!J1468&lt;&gt;0,'Boletins Nuppa Site'!J1468,"NULL")</f>
        <v>NULL</v>
      </c>
      <c r="H1468" s="19" t="str">
        <f>IF('Boletins Nuppa Site'!K1468&lt;&gt;0,'Boletins Nuppa Site'!K1468,"NULL")</f>
        <v>NULL</v>
      </c>
    </row>
    <row r="1469" spans="2:8" x14ac:dyDescent="0.3">
      <c r="B1469" s="1">
        <v>38</v>
      </c>
      <c r="C1469" s="1">
        <v>38</v>
      </c>
      <c r="D1469" s="1" t="str">
        <f>IF('Boletins Nuppa Site'!G1469&lt;&gt;0,'Boletins Nuppa Site'!G1469,"NULL")</f>
        <v>NULL</v>
      </c>
      <c r="E1469" s="19" t="str">
        <f>IF('Boletins Nuppa Site'!H1469&lt;&gt;0,'Boletins Nuppa Site'!H1469,"NULL")</f>
        <v>NULL</v>
      </c>
      <c r="F1469" s="19" t="str">
        <f>IF('Boletins Nuppa Site'!I1469&lt;&gt;0,'Boletins Nuppa Site'!I1469,"NULL")</f>
        <v>NULL</v>
      </c>
      <c r="G1469" s="19" t="str">
        <f>IF('Boletins Nuppa Site'!J1469&lt;&gt;0,'Boletins Nuppa Site'!J1469,"NULL")</f>
        <v>NULL</v>
      </c>
      <c r="H1469" s="19" t="str">
        <f>IF('Boletins Nuppa Site'!K1469&lt;&gt;0,'Boletins Nuppa Site'!K1469,"NULL")</f>
        <v>NULL</v>
      </c>
    </row>
    <row r="1470" spans="2:8" x14ac:dyDescent="0.3">
      <c r="B1470" s="1">
        <v>38</v>
      </c>
      <c r="C1470" s="1">
        <v>39</v>
      </c>
      <c r="D1470" s="1" t="str">
        <f>IF('Boletins Nuppa Site'!G1470&lt;&gt;0,'Boletins Nuppa Site'!G1470,"NULL")</f>
        <v>NULL</v>
      </c>
      <c r="E1470" s="19">
        <f>IF('Boletins Nuppa Site'!H1470&lt;&gt;0,'Boletins Nuppa Site'!H1470,"NULL")</f>
        <v>70</v>
      </c>
      <c r="F1470" s="19">
        <f>IF('Boletins Nuppa Site'!I1470&lt;&gt;0,'Boletins Nuppa Site'!I1470,"NULL")</f>
        <v>70</v>
      </c>
      <c r="G1470" s="19">
        <f>IF('Boletins Nuppa Site'!J1470&lt;&gt;0,'Boletins Nuppa Site'!J1470,"NULL")</f>
        <v>70</v>
      </c>
      <c r="H1470" s="19">
        <f>IF('Boletins Nuppa Site'!K1470&lt;&gt;0,'Boletins Nuppa Site'!K1470,"NULL")</f>
        <v>70</v>
      </c>
    </row>
    <row r="1471" spans="2:8" x14ac:dyDescent="0.3">
      <c r="B1471" s="1">
        <v>38</v>
      </c>
      <c r="C1471" s="1">
        <v>40</v>
      </c>
      <c r="D1471" s="1" t="str">
        <f>IF('Boletins Nuppa Site'!G1471&lt;&gt;0,'Boletins Nuppa Site'!G1471,"NULL")</f>
        <v>NULL</v>
      </c>
      <c r="E1471" s="19" t="str">
        <f>IF('Boletins Nuppa Site'!H1471&lt;&gt;0,'Boletins Nuppa Site'!H1471,"NULL")</f>
        <v>NULL</v>
      </c>
      <c r="F1471" s="19" t="str">
        <f>IF('Boletins Nuppa Site'!I1471&lt;&gt;0,'Boletins Nuppa Site'!I1471,"NULL")</f>
        <v>NULL</v>
      </c>
      <c r="G1471" s="19" t="str">
        <f>IF('Boletins Nuppa Site'!J1471&lt;&gt;0,'Boletins Nuppa Site'!J1471,"NULL")</f>
        <v>NULL</v>
      </c>
      <c r="H1471" s="19" t="str">
        <f>IF('Boletins Nuppa Site'!K1471&lt;&gt;0,'Boletins Nuppa Site'!K1471,"NULL")</f>
        <v>NULL</v>
      </c>
    </row>
    <row r="1472" spans="2:8" x14ac:dyDescent="0.3">
      <c r="B1472" s="1">
        <v>39</v>
      </c>
      <c r="C1472" s="1">
        <v>75</v>
      </c>
    </row>
    <row r="1473" spans="2:3" x14ac:dyDescent="0.3">
      <c r="B1473" s="1">
        <v>40</v>
      </c>
      <c r="C1473" s="1">
        <v>76</v>
      </c>
    </row>
    <row r="1474" spans="2:3" x14ac:dyDescent="0.3">
      <c r="B1474" s="1">
        <v>41</v>
      </c>
      <c r="C1474" s="1">
        <v>77</v>
      </c>
    </row>
    <row r="1475" spans="2:3" x14ac:dyDescent="0.3">
      <c r="B1475" s="1">
        <v>42</v>
      </c>
      <c r="C1475" s="1">
        <v>78</v>
      </c>
    </row>
    <row r="1476" spans="2:3" x14ac:dyDescent="0.3">
      <c r="B1476" s="1">
        <v>43</v>
      </c>
      <c r="C1476" s="1">
        <v>79</v>
      </c>
    </row>
    <row r="1477" spans="2:3" x14ac:dyDescent="0.3">
      <c r="B1477" s="1">
        <v>44</v>
      </c>
      <c r="C1477" s="1">
        <v>80</v>
      </c>
    </row>
    <row r="1478" spans="2:3" x14ac:dyDescent="0.3">
      <c r="B1478" s="1">
        <v>45</v>
      </c>
      <c r="C1478" s="1">
        <v>81</v>
      </c>
    </row>
    <row r="1479" spans="2:3" x14ac:dyDescent="0.3">
      <c r="B1479" s="1">
        <v>46</v>
      </c>
      <c r="C1479" s="1">
        <v>82</v>
      </c>
    </row>
    <row r="1480" spans="2:3" x14ac:dyDescent="0.3">
      <c r="B1480" s="1">
        <v>47</v>
      </c>
      <c r="C1480" s="1">
        <v>83</v>
      </c>
    </row>
    <row r="1481" spans="2:3" x14ac:dyDescent="0.3">
      <c r="B1481" s="1">
        <v>48</v>
      </c>
      <c r="C1481" s="1">
        <v>84</v>
      </c>
    </row>
    <row r="1482" spans="2:3" x14ac:dyDescent="0.3">
      <c r="B1482" s="1">
        <v>49</v>
      </c>
      <c r="C1482" s="1">
        <v>85</v>
      </c>
    </row>
    <row r="1483" spans="2:3" x14ac:dyDescent="0.3">
      <c r="B1483" s="1">
        <v>50</v>
      </c>
      <c r="C1483" s="1">
        <v>86</v>
      </c>
    </row>
    <row r="1484" spans="2:3" x14ac:dyDescent="0.3">
      <c r="B1484" s="1">
        <v>51</v>
      </c>
      <c r="C1484" s="1">
        <v>87</v>
      </c>
    </row>
    <row r="1485" spans="2:3" x14ac:dyDescent="0.3">
      <c r="B1485" s="1">
        <v>52</v>
      </c>
      <c r="C1485" s="1">
        <v>88</v>
      </c>
    </row>
    <row r="1486" spans="2:3" x14ac:dyDescent="0.3">
      <c r="B1486" s="1">
        <v>53</v>
      </c>
      <c r="C1486" s="1">
        <v>89</v>
      </c>
    </row>
    <row r="1487" spans="2:3" x14ac:dyDescent="0.3">
      <c r="B1487" s="1">
        <v>54</v>
      </c>
      <c r="C1487" s="1">
        <v>90</v>
      </c>
    </row>
    <row r="1488" spans="2:3" x14ac:dyDescent="0.3">
      <c r="B1488" s="1">
        <v>55</v>
      </c>
      <c r="C1488" s="1">
        <v>91</v>
      </c>
    </row>
    <row r="1489" spans="2:3" x14ac:dyDescent="0.3">
      <c r="B1489" s="1">
        <v>56</v>
      </c>
      <c r="C1489" s="1">
        <v>92</v>
      </c>
    </row>
    <row r="1490" spans="2:3" x14ac:dyDescent="0.3">
      <c r="B1490" s="1">
        <v>57</v>
      </c>
      <c r="C1490" s="1">
        <v>93</v>
      </c>
    </row>
    <row r="1491" spans="2:3" x14ac:dyDescent="0.3">
      <c r="B1491" s="1">
        <v>58</v>
      </c>
      <c r="C1491" s="1">
        <v>94</v>
      </c>
    </row>
    <row r="1492" spans="2:3" x14ac:dyDescent="0.3">
      <c r="B1492" s="1">
        <v>59</v>
      </c>
      <c r="C1492" s="1">
        <v>95</v>
      </c>
    </row>
    <row r="1493" spans="2:3" x14ac:dyDescent="0.3">
      <c r="B1493" s="1">
        <v>60</v>
      </c>
      <c r="C1493" s="1">
        <v>96</v>
      </c>
    </row>
    <row r="1494" spans="2:3" x14ac:dyDescent="0.3">
      <c r="B1494" s="1">
        <v>61</v>
      </c>
      <c r="C1494" s="1">
        <v>97</v>
      </c>
    </row>
    <row r="1495" spans="2:3" x14ac:dyDescent="0.3">
      <c r="B1495" s="1">
        <v>62</v>
      </c>
      <c r="C1495" s="1">
        <v>98</v>
      </c>
    </row>
    <row r="1496" spans="2:3" x14ac:dyDescent="0.3">
      <c r="B1496" s="1">
        <v>63</v>
      </c>
      <c r="C1496" s="1">
        <v>99</v>
      </c>
    </row>
  </sheetData>
  <autoFilter ref="A1:H1430" xr:uid="{00000000-0009-0000-0000-000002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29"/>
  <sheetViews>
    <sheetView topLeftCell="A97" zoomScale="115" zoomScaleNormal="115" workbookViewId="0">
      <selection activeCell="E7" sqref="E7"/>
    </sheetView>
  </sheetViews>
  <sheetFormatPr defaultColWidth="8.44140625" defaultRowHeight="14.4" x14ac:dyDescent="0.3"/>
  <cols>
    <col min="4" max="4" width="10.5546875" style="1" customWidth="1"/>
    <col min="5" max="5" width="11.5546875" style="1" customWidth="1"/>
  </cols>
  <sheetData>
    <row r="1" spans="1:5" x14ac:dyDescent="0.3">
      <c r="A1" s="1" t="s">
        <v>636</v>
      </c>
      <c r="B1" s="1" t="s">
        <v>0</v>
      </c>
      <c r="C1" s="1" t="s">
        <v>1</v>
      </c>
      <c r="D1" s="1" t="s">
        <v>2</v>
      </c>
      <c r="E1" s="1" t="s">
        <v>777</v>
      </c>
    </row>
    <row r="2" spans="1:5" x14ac:dyDescent="0.3">
      <c r="A2" s="1">
        <v>1</v>
      </c>
      <c r="B2" s="1">
        <v>1</v>
      </c>
      <c r="C2" s="1">
        <v>2022</v>
      </c>
    </row>
    <row r="3" spans="1:5" x14ac:dyDescent="0.3">
      <c r="A3" s="1">
        <v>2</v>
      </c>
      <c r="B3" s="1">
        <v>2</v>
      </c>
      <c r="C3" s="1">
        <v>2022</v>
      </c>
    </row>
    <row r="4" spans="1:5" x14ac:dyDescent="0.3">
      <c r="A4" s="1">
        <v>3</v>
      </c>
      <c r="B4" s="1">
        <v>3</v>
      </c>
      <c r="C4" s="1">
        <v>2022</v>
      </c>
    </row>
    <row r="5" spans="1:5" x14ac:dyDescent="0.3">
      <c r="A5" s="1">
        <v>4</v>
      </c>
      <c r="B5" s="1">
        <v>4</v>
      </c>
      <c r="C5" s="1">
        <v>2022</v>
      </c>
    </row>
    <row r="6" spans="1:5" x14ac:dyDescent="0.3">
      <c r="A6" s="1">
        <v>5</v>
      </c>
      <c r="B6" s="1">
        <v>5</v>
      </c>
      <c r="C6" s="1">
        <v>2022</v>
      </c>
    </row>
    <row r="7" spans="1:5" x14ac:dyDescent="0.3">
      <c r="A7" s="1">
        <v>6</v>
      </c>
      <c r="B7" s="1">
        <v>6</v>
      </c>
      <c r="C7" s="1">
        <v>2022</v>
      </c>
    </row>
    <row r="8" spans="1:5" x14ac:dyDescent="0.3">
      <c r="A8" s="1">
        <v>7</v>
      </c>
      <c r="B8" s="1">
        <v>7</v>
      </c>
      <c r="C8" s="1">
        <v>2022</v>
      </c>
    </row>
    <row r="9" spans="1:5" x14ac:dyDescent="0.3">
      <c r="A9" s="1">
        <v>8</v>
      </c>
      <c r="B9" s="1">
        <v>8</v>
      </c>
      <c r="C9" s="1">
        <v>2022</v>
      </c>
    </row>
    <row r="10" spans="1:5" x14ac:dyDescent="0.3">
      <c r="A10" s="1">
        <v>9</v>
      </c>
      <c r="B10" s="1">
        <v>9</v>
      </c>
      <c r="C10" s="1">
        <v>2022</v>
      </c>
    </row>
    <row r="11" spans="1:5" x14ac:dyDescent="0.3">
      <c r="A11" s="1">
        <v>10</v>
      </c>
      <c r="B11" s="1">
        <v>10</v>
      </c>
      <c r="C11" s="1">
        <v>2022</v>
      </c>
    </row>
    <row r="12" spans="1:5" x14ac:dyDescent="0.3">
      <c r="A12" s="1">
        <v>11</v>
      </c>
      <c r="B12" s="1">
        <v>11</v>
      </c>
      <c r="C12" s="1">
        <v>2022</v>
      </c>
    </row>
    <row r="13" spans="1:5" x14ac:dyDescent="0.3">
      <c r="A13" s="1">
        <v>12</v>
      </c>
      <c r="B13" s="1">
        <v>12</v>
      </c>
      <c r="C13" s="1">
        <v>2022</v>
      </c>
    </row>
    <row r="14" spans="1:5" x14ac:dyDescent="0.3">
      <c r="A14" s="1">
        <v>13</v>
      </c>
      <c r="B14" s="1">
        <v>13</v>
      </c>
      <c r="C14" s="1">
        <v>2022</v>
      </c>
    </row>
    <row r="15" spans="1:5" x14ac:dyDescent="0.3">
      <c r="A15" s="1">
        <v>14</v>
      </c>
      <c r="B15" s="1">
        <v>14</v>
      </c>
      <c r="C15" s="1">
        <v>2022</v>
      </c>
    </row>
    <row r="16" spans="1:5" x14ac:dyDescent="0.3">
      <c r="A16" s="1">
        <v>15</v>
      </c>
      <c r="B16" s="1">
        <v>15</v>
      </c>
      <c r="C16" s="1">
        <v>2022</v>
      </c>
    </row>
    <row r="17" spans="1:3" x14ac:dyDescent="0.3">
      <c r="A17" s="1">
        <v>16</v>
      </c>
      <c r="B17" s="1">
        <v>16</v>
      </c>
      <c r="C17" s="1">
        <v>2022</v>
      </c>
    </row>
    <row r="18" spans="1:3" x14ac:dyDescent="0.3">
      <c r="A18" s="1">
        <v>17</v>
      </c>
      <c r="B18" s="1">
        <v>17</v>
      </c>
      <c r="C18" s="1">
        <v>2022</v>
      </c>
    </row>
    <row r="19" spans="1:3" x14ac:dyDescent="0.3">
      <c r="A19" s="1">
        <v>18</v>
      </c>
      <c r="B19" s="1">
        <v>18</v>
      </c>
      <c r="C19" s="1">
        <v>2022</v>
      </c>
    </row>
    <row r="20" spans="1:3" x14ac:dyDescent="0.3">
      <c r="A20" s="1">
        <v>19</v>
      </c>
      <c r="B20" s="1">
        <v>19</v>
      </c>
      <c r="C20" s="1">
        <v>2022</v>
      </c>
    </row>
    <row r="21" spans="1:3" x14ac:dyDescent="0.3">
      <c r="A21" s="1">
        <v>20</v>
      </c>
      <c r="B21" s="1">
        <v>20</v>
      </c>
      <c r="C21" s="1">
        <v>2022</v>
      </c>
    </row>
    <row r="22" spans="1:3" x14ac:dyDescent="0.3">
      <c r="A22" s="1">
        <v>21</v>
      </c>
      <c r="B22" s="1">
        <v>21</v>
      </c>
      <c r="C22" s="1">
        <v>2022</v>
      </c>
    </row>
    <row r="23" spans="1:3" x14ac:dyDescent="0.3">
      <c r="A23" s="1">
        <v>22</v>
      </c>
      <c r="B23" s="1">
        <v>22</v>
      </c>
      <c r="C23" s="1">
        <v>2022</v>
      </c>
    </row>
    <row r="24" spans="1:3" x14ac:dyDescent="0.3">
      <c r="A24" s="1">
        <v>23</v>
      </c>
      <c r="B24" s="1">
        <v>23</v>
      </c>
      <c r="C24" s="1">
        <v>2022</v>
      </c>
    </row>
    <row r="25" spans="1:3" x14ac:dyDescent="0.3">
      <c r="A25" s="1">
        <v>24</v>
      </c>
      <c r="B25" s="1">
        <v>24</v>
      </c>
      <c r="C25" s="1">
        <v>2022</v>
      </c>
    </row>
    <row r="26" spans="1:3" x14ac:dyDescent="0.3">
      <c r="A26" s="1">
        <v>25</v>
      </c>
      <c r="B26" s="1">
        <v>25</v>
      </c>
      <c r="C26" s="1">
        <v>2022</v>
      </c>
    </row>
    <row r="27" spans="1:3" x14ac:dyDescent="0.3">
      <c r="A27" s="1">
        <v>26</v>
      </c>
      <c r="B27" s="1">
        <v>26</v>
      </c>
      <c r="C27" s="1">
        <v>2022</v>
      </c>
    </row>
    <row r="28" spans="1:3" x14ac:dyDescent="0.3">
      <c r="A28" s="1">
        <v>27</v>
      </c>
      <c r="B28" s="1">
        <v>27</v>
      </c>
      <c r="C28" s="1">
        <v>2022</v>
      </c>
    </row>
    <row r="29" spans="1:3" x14ac:dyDescent="0.3">
      <c r="A29" s="1">
        <v>28</v>
      </c>
      <c r="B29" s="1">
        <v>28</v>
      </c>
      <c r="C29" s="1">
        <v>2022</v>
      </c>
    </row>
    <row r="30" spans="1:3" x14ac:dyDescent="0.3">
      <c r="A30" s="1">
        <v>29</v>
      </c>
      <c r="B30" s="1">
        <v>29</v>
      </c>
      <c r="C30" s="1">
        <v>2022</v>
      </c>
    </row>
    <row r="31" spans="1:3" x14ac:dyDescent="0.3">
      <c r="A31" s="1">
        <v>30</v>
      </c>
      <c r="B31" s="1">
        <v>30</v>
      </c>
      <c r="C31" s="1">
        <v>2022</v>
      </c>
    </row>
    <row r="32" spans="1:3" x14ac:dyDescent="0.3">
      <c r="A32" s="1">
        <v>31</v>
      </c>
      <c r="B32" s="1">
        <v>31</v>
      </c>
      <c r="C32" s="1">
        <v>2022</v>
      </c>
    </row>
    <row r="33" spans="1:7" x14ac:dyDescent="0.3">
      <c r="A33" s="1">
        <v>32</v>
      </c>
      <c r="B33" s="1">
        <v>32</v>
      </c>
      <c r="C33" s="1">
        <v>2022</v>
      </c>
    </row>
    <row r="34" spans="1:7" x14ac:dyDescent="0.3">
      <c r="A34" s="1">
        <v>33</v>
      </c>
      <c r="B34" s="1">
        <v>33</v>
      </c>
      <c r="C34" s="1">
        <v>2022</v>
      </c>
    </row>
    <row r="35" spans="1:7" x14ac:dyDescent="0.3">
      <c r="A35" s="1">
        <v>34</v>
      </c>
      <c r="B35" s="1">
        <v>34</v>
      </c>
      <c r="C35" s="1">
        <v>2022</v>
      </c>
    </row>
    <row r="36" spans="1:7" x14ac:dyDescent="0.3">
      <c r="A36" s="1">
        <v>35</v>
      </c>
      <c r="B36" s="1">
        <v>35</v>
      </c>
      <c r="C36" s="1">
        <v>2022</v>
      </c>
    </row>
    <row r="37" spans="1:7" x14ac:dyDescent="0.3">
      <c r="A37" s="1">
        <v>36</v>
      </c>
      <c r="B37" s="1">
        <v>36</v>
      </c>
      <c r="C37" s="1">
        <v>2022</v>
      </c>
    </row>
    <row r="38" spans="1:7" x14ac:dyDescent="0.3">
      <c r="A38" s="1">
        <v>37</v>
      </c>
      <c r="B38" s="1">
        <v>37</v>
      </c>
      <c r="C38" s="1">
        <v>2023</v>
      </c>
      <c r="D38" s="3">
        <v>44931</v>
      </c>
      <c r="G38" s="1" t="str">
        <f t="shared" ref="G38:G81" si="0">"INSERT INTO BOLETIM (blt_numero, blt_ano, blt_data_lev, blt_data_cad) VALUES ("&amp;B38&amp;", "&amp;C38&amp;", TO_DATE('"&amp;TEXT(D38,"DD/MM/AAAA")&amp;"', 'DD/MM/YYYY'), SYSDATE);"</f>
        <v>INSERT INTO BOLETIM (blt_numero, blt_ano, blt_data_lev, blt_data_cad) VALUES (37, 2023, TO_DATE('05/01/2023', 'DD/MM/YYYY'), SYSDATE);</v>
      </c>
    </row>
    <row r="39" spans="1:7" x14ac:dyDescent="0.3">
      <c r="A39" s="1">
        <v>38</v>
      </c>
      <c r="B39" s="1">
        <v>38</v>
      </c>
      <c r="C39" s="1">
        <v>2023</v>
      </c>
      <c r="D39" s="3">
        <v>44938</v>
      </c>
      <c r="G39" s="1" t="str">
        <f t="shared" si="0"/>
        <v>INSERT INTO BOLETIM (blt_numero, blt_ano, blt_data_lev, blt_data_cad) VALUES (38, 2023, TO_DATE('12/01/2023', 'DD/MM/YYYY'), SYSDATE);</v>
      </c>
    </row>
    <row r="40" spans="1:7" x14ac:dyDescent="0.3">
      <c r="A40" s="1">
        <v>39</v>
      </c>
      <c r="B40" s="1">
        <v>39</v>
      </c>
      <c r="C40" s="1">
        <v>2023</v>
      </c>
      <c r="D40" s="3">
        <v>44945</v>
      </c>
      <c r="G40" s="1" t="str">
        <f t="shared" si="0"/>
        <v>INSERT INTO BOLETIM (blt_numero, blt_ano, blt_data_lev, blt_data_cad) VALUES (39, 2023, TO_DATE('19/01/2023', 'DD/MM/YYYY'), SYSDATE);</v>
      </c>
    </row>
    <row r="41" spans="1:7" x14ac:dyDescent="0.3">
      <c r="A41" s="1">
        <v>40</v>
      </c>
      <c r="B41" s="1">
        <v>40</v>
      </c>
      <c r="C41" s="1">
        <v>2023</v>
      </c>
      <c r="D41" s="3">
        <v>44952</v>
      </c>
      <c r="G41" s="1" t="str">
        <f t="shared" si="0"/>
        <v>INSERT INTO BOLETIM (blt_numero, blt_ano, blt_data_lev, blt_data_cad) VALUES (40, 2023, TO_DATE('26/01/2023', 'DD/MM/YYYY'), SYSDATE);</v>
      </c>
    </row>
    <row r="42" spans="1:7" x14ac:dyDescent="0.3">
      <c r="A42" s="1">
        <v>41</v>
      </c>
      <c r="B42" s="1">
        <v>41</v>
      </c>
      <c r="C42" s="1">
        <v>2023</v>
      </c>
      <c r="D42" s="3">
        <v>44959</v>
      </c>
      <c r="G42" s="1" t="str">
        <f t="shared" si="0"/>
        <v>INSERT INTO BOLETIM (blt_numero, blt_ano, blt_data_lev, blt_data_cad) VALUES (41, 2023, TO_DATE('02/02/2023', 'DD/MM/YYYY'), SYSDATE);</v>
      </c>
    </row>
    <row r="43" spans="1:7" x14ac:dyDescent="0.3">
      <c r="A43" s="1">
        <v>42</v>
      </c>
      <c r="B43" s="1">
        <v>42</v>
      </c>
      <c r="C43" s="1">
        <v>2023</v>
      </c>
      <c r="D43" s="3">
        <v>44966</v>
      </c>
      <c r="G43" s="1" t="str">
        <f t="shared" si="0"/>
        <v>INSERT INTO BOLETIM (blt_numero, blt_ano, blt_data_lev, blt_data_cad) VALUES (42, 2023, TO_DATE('09/02/2023', 'DD/MM/YYYY'), SYSDATE);</v>
      </c>
    </row>
    <row r="44" spans="1:7" x14ac:dyDescent="0.3">
      <c r="A44" s="1">
        <v>43</v>
      </c>
      <c r="B44" s="1">
        <v>43</v>
      </c>
      <c r="C44" s="1">
        <v>2023</v>
      </c>
      <c r="D44" s="3">
        <v>44973</v>
      </c>
      <c r="G44" s="1" t="str">
        <f t="shared" si="0"/>
        <v>INSERT INTO BOLETIM (blt_numero, blt_ano, blt_data_lev, blt_data_cad) VALUES (43, 2023, TO_DATE('16/02/2023', 'DD/MM/YYYY'), SYSDATE);</v>
      </c>
    </row>
    <row r="45" spans="1:7" x14ac:dyDescent="0.3">
      <c r="A45" s="1">
        <v>44</v>
      </c>
      <c r="B45" s="1">
        <v>44</v>
      </c>
      <c r="C45" s="1">
        <v>2024</v>
      </c>
      <c r="D45" s="3">
        <v>45357</v>
      </c>
      <c r="G45" s="1" t="str">
        <f t="shared" si="0"/>
        <v>INSERT INTO BOLETIM (blt_numero, blt_ano, blt_data_lev, blt_data_cad) VALUES (44, 2024, TO_DATE('06/03/2024', 'DD/MM/YYYY'), SYSDATE);</v>
      </c>
    </row>
    <row r="46" spans="1:7" x14ac:dyDescent="0.3">
      <c r="A46" s="1">
        <v>45</v>
      </c>
      <c r="B46" s="1">
        <v>45</v>
      </c>
      <c r="C46" s="1">
        <v>2024</v>
      </c>
      <c r="D46" s="3">
        <v>45364</v>
      </c>
      <c r="G46" s="1" t="str">
        <f t="shared" si="0"/>
        <v>INSERT INTO BOLETIM (blt_numero, blt_ano, blt_data_lev, blt_data_cad) VALUES (45, 2024, TO_DATE('13/03/2024', 'DD/MM/YYYY'), SYSDATE);</v>
      </c>
    </row>
    <row r="47" spans="1:7" x14ac:dyDescent="0.3">
      <c r="A47" s="1">
        <v>46</v>
      </c>
      <c r="B47" s="1">
        <v>46</v>
      </c>
      <c r="C47" s="1">
        <v>2024</v>
      </c>
      <c r="D47" s="3">
        <v>45371</v>
      </c>
      <c r="G47" s="1" t="str">
        <f t="shared" si="0"/>
        <v>INSERT INTO BOLETIM (blt_numero, blt_ano, blt_data_lev, blt_data_cad) VALUES (46, 2024, TO_DATE('20/03/2024', 'DD/MM/YYYY'), SYSDATE);</v>
      </c>
    </row>
    <row r="48" spans="1:7" x14ac:dyDescent="0.3">
      <c r="A48" s="1">
        <v>47</v>
      </c>
      <c r="B48" s="1">
        <v>47</v>
      </c>
      <c r="C48" s="1">
        <v>2024</v>
      </c>
      <c r="D48" s="3">
        <v>45385</v>
      </c>
      <c r="G48" s="1" t="str">
        <f t="shared" si="0"/>
        <v>INSERT INTO BOLETIM (blt_numero, blt_ano, blt_data_lev, blt_data_cad) VALUES (47, 2024, TO_DATE('03/04/2024', 'DD/MM/YYYY'), SYSDATE);</v>
      </c>
    </row>
    <row r="49" spans="1:7" x14ac:dyDescent="0.3">
      <c r="A49" s="1">
        <v>48</v>
      </c>
      <c r="B49" s="1">
        <v>48</v>
      </c>
      <c r="C49" s="1">
        <v>2024</v>
      </c>
      <c r="D49" s="3">
        <v>45392</v>
      </c>
      <c r="G49" s="1" t="str">
        <f t="shared" si="0"/>
        <v>INSERT INTO BOLETIM (blt_numero, blt_ano, blt_data_lev, blt_data_cad) VALUES (48, 2024, TO_DATE('10/04/2024', 'DD/MM/YYYY'), SYSDATE);</v>
      </c>
    </row>
    <row r="50" spans="1:7" x14ac:dyDescent="0.3">
      <c r="A50" s="1">
        <v>49</v>
      </c>
      <c r="B50" s="1">
        <v>49</v>
      </c>
      <c r="C50" s="1">
        <v>2024</v>
      </c>
      <c r="D50" s="3">
        <v>45399</v>
      </c>
      <c r="G50" s="1" t="str">
        <f t="shared" si="0"/>
        <v>INSERT INTO BOLETIM (blt_numero, blt_ano, blt_data_lev, blt_data_cad) VALUES (49, 2024, TO_DATE('17/04/2024', 'DD/MM/YYYY'), SYSDATE);</v>
      </c>
    </row>
    <row r="51" spans="1:7" x14ac:dyDescent="0.3">
      <c r="A51" s="1">
        <v>50</v>
      </c>
      <c r="B51" s="1">
        <v>50</v>
      </c>
      <c r="C51" s="1">
        <v>2024</v>
      </c>
      <c r="D51" s="3">
        <v>45406</v>
      </c>
      <c r="G51" s="1" t="str">
        <f t="shared" si="0"/>
        <v>INSERT INTO BOLETIM (blt_numero, blt_ano, blt_data_lev, blt_data_cad) VALUES (50, 2024, TO_DATE('24/04/2024', 'DD/MM/YYYY'), SYSDATE);</v>
      </c>
    </row>
    <row r="52" spans="1:7" x14ac:dyDescent="0.3">
      <c r="A52" s="1">
        <v>51</v>
      </c>
      <c r="B52" s="1">
        <v>51</v>
      </c>
      <c r="C52" s="1">
        <v>2024</v>
      </c>
      <c r="D52" s="3">
        <v>45420</v>
      </c>
      <c r="G52" s="1" t="str">
        <f t="shared" si="0"/>
        <v>INSERT INTO BOLETIM (blt_numero, blt_ano, blt_data_lev, blt_data_cad) VALUES (51, 2024, TO_DATE('08/05/2024', 'DD/MM/YYYY'), SYSDATE);</v>
      </c>
    </row>
    <row r="53" spans="1:7" x14ac:dyDescent="0.3">
      <c r="A53" s="1">
        <v>52</v>
      </c>
      <c r="B53" s="1">
        <v>52</v>
      </c>
      <c r="C53" s="1">
        <v>2024</v>
      </c>
      <c r="D53" s="3">
        <v>45427</v>
      </c>
      <c r="G53" s="1" t="str">
        <f t="shared" si="0"/>
        <v>INSERT INTO BOLETIM (blt_numero, blt_ano, blt_data_lev, blt_data_cad) VALUES (52, 2024, TO_DATE('15/05/2024', 'DD/MM/YYYY'), SYSDATE);</v>
      </c>
    </row>
    <row r="54" spans="1:7" x14ac:dyDescent="0.3">
      <c r="A54" s="1">
        <v>53</v>
      </c>
      <c r="B54" s="1">
        <v>53</v>
      </c>
      <c r="C54" s="1">
        <v>2024</v>
      </c>
      <c r="D54" s="3">
        <v>45434</v>
      </c>
      <c r="G54" s="1" t="str">
        <f t="shared" si="0"/>
        <v>INSERT INTO BOLETIM (blt_numero, blt_ano, blt_data_lev, blt_data_cad) VALUES (53, 2024, TO_DATE('22/05/2024', 'DD/MM/YYYY'), SYSDATE);</v>
      </c>
    </row>
    <row r="55" spans="1:7" x14ac:dyDescent="0.3">
      <c r="A55" s="1">
        <v>54</v>
      </c>
      <c r="B55" s="1">
        <v>54</v>
      </c>
      <c r="C55" s="1">
        <v>2024</v>
      </c>
      <c r="D55" s="3">
        <v>45441</v>
      </c>
      <c r="G55" s="1" t="str">
        <f t="shared" si="0"/>
        <v>INSERT INTO BOLETIM (blt_numero, blt_ano, blt_data_lev, blt_data_cad) VALUES (54, 2024, TO_DATE('29/05/2024', 'DD/MM/YYYY'), SYSDATE);</v>
      </c>
    </row>
    <row r="56" spans="1:7" x14ac:dyDescent="0.3">
      <c r="A56" s="1">
        <v>55</v>
      </c>
      <c r="B56" s="1">
        <v>55</v>
      </c>
      <c r="C56" s="1">
        <v>2024</v>
      </c>
      <c r="D56" s="3">
        <v>45448</v>
      </c>
      <c r="G56" s="1" t="str">
        <f t="shared" si="0"/>
        <v>INSERT INTO BOLETIM (blt_numero, blt_ano, blt_data_lev, blt_data_cad) VALUES (55, 2024, TO_DATE('05/06/2024', 'DD/MM/YYYY'), SYSDATE);</v>
      </c>
    </row>
    <row r="57" spans="1:7" x14ac:dyDescent="0.3">
      <c r="A57" s="1">
        <v>56</v>
      </c>
      <c r="B57" s="1">
        <v>56</v>
      </c>
      <c r="C57" s="1">
        <v>2024</v>
      </c>
      <c r="D57" s="3">
        <v>45455</v>
      </c>
      <c r="G57" s="1" t="str">
        <f t="shared" si="0"/>
        <v>INSERT INTO BOLETIM (blt_numero, blt_ano, blt_data_lev, blt_data_cad) VALUES (56, 2024, TO_DATE('12/06/2024', 'DD/MM/YYYY'), SYSDATE);</v>
      </c>
    </row>
    <row r="58" spans="1:7" x14ac:dyDescent="0.3">
      <c r="A58" s="1">
        <v>57</v>
      </c>
      <c r="B58" s="1">
        <v>57</v>
      </c>
      <c r="C58" s="1">
        <v>2024</v>
      </c>
      <c r="D58" s="3">
        <v>45462</v>
      </c>
      <c r="G58" s="1" t="str">
        <f t="shared" si="0"/>
        <v>INSERT INTO BOLETIM (blt_numero, blt_ano, blt_data_lev, blt_data_cad) VALUES (57, 2024, TO_DATE('19/06/2024', 'DD/MM/YYYY'), SYSDATE);</v>
      </c>
    </row>
    <row r="59" spans="1:7" x14ac:dyDescent="0.3">
      <c r="A59" s="1">
        <v>58</v>
      </c>
      <c r="B59" s="1">
        <v>58</v>
      </c>
      <c r="C59" s="1">
        <v>2024</v>
      </c>
      <c r="D59" s="3">
        <v>45469</v>
      </c>
      <c r="G59" s="1" t="str">
        <f t="shared" si="0"/>
        <v>INSERT INTO BOLETIM (blt_numero, blt_ano, blt_data_lev, blt_data_cad) VALUES (58, 2024, TO_DATE('26/06/2024', 'DD/MM/YYYY'), SYSDATE);</v>
      </c>
    </row>
    <row r="60" spans="1:7" x14ac:dyDescent="0.3">
      <c r="A60" s="1">
        <v>59</v>
      </c>
      <c r="B60" s="1">
        <v>59</v>
      </c>
      <c r="C60" s="1">
        <v>2024</v>
      </c>
      <c r="D60" s="3">
        <v>45476</v>
      </c>
      <c r="G60" s="1" t="str">
        <f t="shared" si="0"/>
        <v>INSERT INTO BOLETIM (blt_numero, blt_ano, blt_data_lev, blt_data_cad) VALUES (59, 2024, TO_DATE('03/07/2024', 'DD/MM/YYYY'), SYSDATE);</v>
      </c>
    </row>
    <row r="61" spans="1:7" x14ac:dyDescent="0.3">
      <c r="A61" s="1">
        <v>60</v>
      </c>
      <c r="B61" s="1">
        <v>60</v>
      </c>
      <c r="C61" s="1">
        <v>2024</v>
      </c>
      <c r="D61" s="3">
        <v>45483</v>
      </c>
      <c r="G61" s="1" t="str">
        <f t="shared" si="0"/>
        <v>INSERT INTO BOLETIM (blt_numero, blt_ano, blt_data_lev, blt_data_cad) VALUES (60, 2024, TO_DATE('10/07/2024', 'DD/MM/YYYY'), SYSDATE);</v>
      </c>
    </row>
    <row r="62" spans="1:7" x14ac:dyDescent="0.3">
      <c r="A62" s="1">
        <v>61</v>
      </c>
      <c r="B62" s="1">
        <v>61</v>
      </c>
      <c r="C62" s="1">
        <v>2024</v>
      </c>
      <c r="D62" s="3">
        <v>45490</v>
      </c>
      <c r="G62" s="1" t="str">
        <f t="shared" si="0"/>
        <v>INSERT INTO BOLETIM (blt_numero, blt_ano, blt_data_lev, blt_data_cad) VALUES (61, 2024, TO_DATE('17/07/2024', 'DD/MM/YYYY'), SYSDATE);</v>
      </c>
    </row>
    <row r="63" spans="1:7" x14ac:dyDescent="0.3">
      <c r="A63" s="1">
        <v>62</v>
      </c>
      <c r="B63" s="1">
        <v>62</v>
      </c>
      <c r="C63" s="1">
        <v>2024</v>
      </c>
      <c r="D63" s="3">
        <v>45497</v>
      </c>
      <c r="G63" s="1" t="str">
        <f t="shared" si="0"/>
        <v>INSERT INTO BOLETIM (blt_numero, blt_ano, blt_data_lev, blt_data_cad) VALUES (62, 2024, TO_DATE('24/07/2024', 'DD/MM/YYYY'), SYSDATE);</v>
      </c>
    </row>
    <row r="64" spans="1:7" x14ac:dyDescent="0.3">
      <c r="A64" s="1">
        <v>63</v>
      </c>
      <c r="B64" s="1">
        <v>63</v>
      </c>
      <c r="C64" s="1">
        <v>2024</v>
      </c>
      <c r="D64" s="3">
        <v>45505</v>
      </c>
      <c r="G64" s="1" t="str">
        <f t="shared" si="0"/>
        <v>INSERT INTO BOLETIM (blt_numero, blt_ano, blt_data_lev, blt_data_cad) VALUES (63, 2024, TO_DATE('01/08/2024', 'DD/MM/YYYY'), SYSDATE);</v>
      </c>
    </row>
    <row r="65" spans="1:7" x14ac:dyDescent="0.3">
      <c r="A65" s="1">
        <v>64</v>
      </c>
      <c r="B65" s="1">
        <v>64</v>
      </c>
      <c r="C65" s="1">
        <v>2024</v>
      </c>
      <c r="D65" s="3">
        <v>45513</v>
      </c>
      <c r="G65" s="1" t="str">
        <f t="shared" si="0"/>
        <v>INSERT INTO BOLETIM (blt_numero, blt_ano, blt_data_lev, blt_data_cad) VALUES (64, 2024, TO_DATE('09/08/2024', 'DD/MM/YYYY'), SYSDATE);</v>
      </c>
    </row>
    <row r="66" spans="1:7" x14ac:dyDescent="0.3">
      <c r="A66" s="1">
        <v>65</v>
      </c>
      <c r="B66" s="1">
        <v>65</v>
      </c>
      <c r="C66" s="1">
        <v>2024</v>
      </c>
      <c r="D66" s="3">
        <v>45520</v>
      </c>
      <c r="G66" s="1" t="str">
        <f t="shared" si="0"/>
        <v>INSERT INTO BOLETIM (blt_numero, blt_ano, blt_data_lev, blt_data_cad) VALUES (65, 2024, TO_DATE('16/08/2024', 'DD/MM/YYYY'), SYSDATE);</v>
      </c>
    </row>
    <row r="67" spans="1:7" x14ac:dyDescent="0.3">
      <c r="A67" s="1">
        <v>66</v>
      </c>
      <c r="B67" s="1">
        <v>66</v>
      </c>
      <c r="C67" s="1">
        <v>2024</v>
      </c>
      <c r="D67" s="3">
        <v>45527</v>
      </c>
      <c r="G67" s="1" t="str">
        <f t="shared" si="0"/>
        <v>INSERT INTO BOLETIM (blt_numero, blt_ano, blt_data_lev, blt_data_cad) VALUES (66, 2024, TO_DATE('23/08/2024', 'DD/MM/YYYY'), SYSDATE);</v>
      </c>
    </row>
    <row r="68" spans="1:7" x14ac:dyDescent="0.3">
      <c r="A68" s="1">
        <v>67</v>
      </c>
      <c r="B68" s="1">
        <v>67</v>
      </c>
      <c r="C68" s="1">
        <v>2024</v>
      </c>
      <c r="D68" s="3">
        <v>45534</v>
      </c>
      <c r="G68" s="1" t="str">
        <f t="shared" si="0"/>
        <v>INSERT INTO BOLETIM (blt_numero, blt_ano, blt_data_lev, blt_data_cad) VALUES (67, 2024, TO_DATE('30/08/2024', 'DD/MM/YYYY'), SYSDATE);</v>
      </c>
    </row>
    <row r="69" spans="1:7" x14ac:dyDescent="0.3">
      <c r="A69" s="1">
        <v>68</v>
      </c>
      <c r="B69" s="1">
        <v>68</v>
      </c>
      <c r="C69" s="1">
        <v>2024</v>
      </c>
      <c r="D69" s="3">
        <v>45541</v>
      </c>
      <c r="G69" s="1" t="str">
        <f t="shared" si="0"/>
        <v>INSERT INTO BOLETIM (blt_numero, blt_ano, blt_data_lev, blt_data_cad) VALUES (68, 2024, TO_DATE('06/09/2024', 'DD/MM/YYYY'), SYSDATE);</v>
      </c>
    </row>
    <row r="70" spans="1:7" x14ac:dyDescent="0.3">
      <c r="A70" s="1">
        <v>69</v>
      </c>
      <c r="B70" s="1">
        <v>69</v>
      </c>
      <c r="C70" s="1">
        <v>2024</v>
      </c>
      <c r="D70" s="3">
        <v>45548</v>
      </c>
      <c r="G70" s="1" t="str">
        <f t="shared" si="0"/>
        <v>INSERT INTO BOLETIM (blt_numero, blt_ano, blt_data_lev, blt_data_cad) VALUES (69, 2024, TO_DATE('13/09/2024', 'DD/MM/YYYY'), SYSDATE);</v>
      </c>
    </row>
    <row r="71" spans="1:7" x14ac:dyDescent="0.3">
      <c r="A71" s="1">
        <v>70</v>
      </c>
      <c r="B71" s="1">
        <v>70</v>
      </c>
      <c r="C71" s="1">
        <v>2024</v>
      </c>
      <c r="D71" s="3">
        <v>45555</v>
      </c>
      <c r="G71" s="1" t="str">
        <f t="shared" si="0"/>
        <v>INSERT INTO BOLETIM (blt_numero, blt_ano, blt_data_lev, blt_data_cad) VALUES (70, 2024, TO_DATE('20/09/2024', 'DD/MM/YYYY'), SYSDATE);</v>
      </c>
    </row>
    <row r="72" spans="1:7" x14ac:dyDescent="0.3">
      <c r="A72" s="1">
        <v>71</v>
      </c>
      <c r="B72" s="1">
        <v>71</v>
      </c>
      <c r="C72" s="1">
        <v>2024</v>
      </c>
      <c r="D72" s="3">
        <v>45562</v>
      </c>
      <c r="G72" s="1" t="str">
        <f t="shared" si="0"/>
        <v>INSERT INTO BOLETIM (blt_numero, blt_ano, blt_data_lev, blt_data_cad) VALUES (71, 2024, TO_DATE('27/09/2024', 'DD/MM/YYYY'), SYSDATE);</v>
      </c>
    </row>
    <row r="73" spans="1:7" x14ac:dyDescent="0.3">
      <c r="A73" s="1">
        <v>72</v>
      </c>
      <c r="B73" s="1">
        <v>72</v>
      </c>
      <c r="C73" s="1">
        <v>2024</v>
      </c>
      <c r="D73" s="3">
        <v>45569</v>
      </c>
      <c r="G73" s="1" t="str">
        <f t="shared" si="0"/>
        <v>INSERT INTO BOLETIM (blt_numero, blt_ano, blt_data_lev, blt_data_cad) VALUES (72, 2024, TO_DATE('04/10/2024', 'DD/MM/YYYY'), SYSDATE);</v>
      </c>
    </row>
    <row r="74" spans="1:7" x14ac:dyDescent="0.3">
      <c r="A74" s="1">
        <v>73</v>
      </c>
      <c r="B74" s="1">
        <v>73</v>
      </c>
      <c r="C74" s="1">
        <v>2024</v>
      </c>
      <c r="D74" s="3">
        <v>45576</v>
      </c>
      <c r="G74" s="1" t="str">
        <f t="shared" si="0"/>
        <v>INSERT INTO BOLETIM (blt_numero, blt_ano, blt_data_lev, blt_data_cad) VALUES (73, 2024, TO_DATE('11/10/2024', 'DD/MM/YYYY'), SYSDATE);</v>
      </c>
    </row>
    <row r="75" spans="1:7" x14ac:dyDescent="0.3">
      <c r="A75" s="1">
        <v>74</v>
      </c>
      <c r="B75" s="1">
        <v>74</v>
      </c>
      <c r="C75" s="1">
        <v>2024</v>
      </c>
      <c r="D75" s="3">
        <v>45583</v>
      </c>
      <c r="G75" s="1" t="str">
        <f t="shared" si="0"/>
        <v>INSERT INTO BOLETIM (blt_numero, blt_ano, blt_data_lev, blt_data_cad) VALUES (74, 2024, TO_DATE('18/10/2024', 'DD/MM/YYYY'), SYSDATE);</v>
      </c>
    </row>
    <row r="76" spans="1:7" x14ac:dyDescent="0.3">
      <c r="A76" s="1">
        <v>75</v>
      </c>
      <c r="B76" s="1">
        <v>75</v>
      </c>
      <c r="C76" s="1">
        <v>2024</v>
      </c>
      <c r="D76" s="3">
        <v>45590</v>
      </c>
      <c r="G76" s="1" t="str">
        <f t="shared" si="0"/>
        <v>INSERT INTO BOLETIM (blt_numero, blt_ano, blt_data_lev, blt_data_cad) VALUES (75, 2024, TO_DATE('25/10/2024', 'DD/MM/YYYY'), SYSDATE);</v>
      </c>
    </row>
    <row r="77" spans="1:7" x14ac:dyDescent="0.3">
      <c r="A77" s="1">
        <v>76</v>
      </c>
      <c r="B77" s="1">
        <v>76</v>
      </c>
      <c r="C77" s="1">
        <v>2024</v>
      </c>
      <c r="D77" s="3">
        <v>45597</v>
      </c>
      <c r="G77" s="1" t="str">
        <f t="shared" si="0"/>
        <v>INSERT INTO BOLETIM (blt_numero, blt_ano, blt_data_lev, blt_data_cad) VALUES (76, 2024, TO_DATE('01/11/2024', 'DD/MM/YYYY'), SYSDATE);</v>
      </c>
    </row>
    <row r="78" spans="1:7" x14ac:dyDescent="0.3">
      <c r="A78" s="1">
        <v>77</v>
      </c>
      <c r="B78" s="1">
        <v>77</v>
      </c>
      <c r="C78" s="1">
        <v>2024</v>
      </c>
      <c r="D78" s="3">
        <v>45604</v>
      </c>
      <c r="G78" s="1" t="str">
        <f t="shared" si="0"/>
        <v>INSERT INTO BOLETIM (blt_numero, blt_ano, blt_data_lev, blt_data_cad) VALUES (77, 2024, TO_DATE('08/11/2024', 'DD/MM/YYYY'), SYSDATE);</v>
      </c>
    </row>
    <row r="79" spans="1:7" x14ac:dyDescent="0.3">
      <c r="A79" s="1">
        <v>78</v>
      </c>
      <c r="B79" s="1">
        <v>78</v>
      </c>
      <c r="C79" s="1">
        <v>2024</v>
      </c>
      <c r="D79" s="3">
        <v>45611</v>
      </c>
      <c r="G79" s="1" t="str">
        <f t="shared" si="0"/>
        <v>INSERT INTO BOLETIM (blt_numero, blt_ano, blt_data_lev, blt_data_cad) VALUES (78, 2024, TO_DATE('15/11/2024', 'DD/MM/YYYY'), SYSDATE);</v>
      </c>
    </row>
    <row r="80" spans="1:7" x14ac:dyDescent="0.3">
      <c r="A80" s="1">
        <v>79</v>
      </c>
      <c r="B80" s="1">
        <v>79</v>
      </c>
      <c r="C80" s="1">
        <v>2024</v>
      </c>
      <c r="D80" s="3">
        <v>45618</v>
      </c>
      <c r="G80" s="1" t="str">
        <f t="shared" si="0"/>
        <v>INSERT INTO BOLETIM (blt_numero, blt_ano, blt_data_lev, blt_data_cad) VALUES (79, 2024, TO_DATE('22/11/2024', 'DD/MM/YYYY'), SYSDATE);</v>
      </c>
    </row>
    <row r="81" spans="1:7" x14ac:dyDescent="0.3">
      <c r="A81" s="1">
        <v>80</v>
      </c>
      <c r="B81" s="1">
        <v>80</v>
      </c>
      <c r="C81" s="1">
        <v>2024</v>
      </c>
      <c r="D81" s="3">
        <v>45625</v>
      </c>
      <c r="G81" s="1" t="str">
        <f t="shared" si="0"/>
        <v>INSERT INTO BOLETIM (blt_numero, blt_ano, blt_data_lev, blt_data_cad) VALUES (80, 2024, TO_DATE('29/11/2024', 'DD/MM/YYYY'), SYSDATE);</v>
      </c>
    </row>
    <row r="82" spans="1:7" x14ac:dyDescent="0.3">
      <c r="A82" s="1">
        <v>81</v>
      </c>
      <c r="B82" s="1">
        <v>81</v>
      </c>
      <c r="C82" s="1">
        <v>2024</v>
      </c>
      <c r="D82" s="3">
        <v>45632</v>
      </c>
    </row>
    <row r="83" spans="1:7" x14ac:dyDescent="0.3">
      <c r="A83" s="1">
        <v>82</v>
      </c>
      <c r="B83" s="1">
        <v>82</v>
      </c>
      <c r="C83" s="1">
        <v>2024</v>
      </c>
      <c r="D83" s="3">
        <v>45639</v>
      </c>
    </row>
    <row r="84" spans="1:7" x14ac:dyDescent="0.3">
      <c r="A84" s="1">
        <v>83</v>
      </c>
      <c r="B84" s="1">
        <v>83</v>
      </c>
      <c r="C84" s="1">
        <v>2024</v>
      </c>
      <c r="D84" s="3">
        <v>45646</v>
      </c>
    </row>
    <row r="85" spans="1:7" x14ac:dyDescent="0.3">
      <c r="A85" s="1">
        <v>84</v>
      </c>
      <c r="B85" s="1">
        <v>84</v>
      </c>
      <c r="C85" s="1">
        <v>2024</v>
      </c>
      <c r="D85" s="3">
        <v>45653</v>
      </c>
    </row>
    <row r="86" spans="1:7" x14ac:dyDescent="0.3">
      <c r="A86" s="1">
        <v>85</v>
      </c>
      <c r="B86" s="1">
        <v>85</v>
      </c>
      <c r="C86" s="1">
        <v>2025</v>
      </c>
      <c r="D86" s="3">
        <v>45660</v>
      </c>
    </row>
    <row r="87" spans="1:7" x14ac:dyDescent="0.3">
      <c r="A87" s="1">
        <v>86</v>
      </c>
      <c r="B87" s="1">
        <v>86</v>
      </c>
      <c r="C87" s="1">
        <v>2025</v>
      </c>
      <c r="D87" s="3">
        <v>45667</v>
      </c>
    </row>
    <row r="88" spans="1:7" x14ac:dyDescent="0.3">
      <c r="A88" s="1">
        <v>87</v>
      </c>
      <c r="B88" s="1">
        <v>87</v>
      </c>
      <c r="C88" s="1">
        <v>2025</v>
      </c>
      <c r="D88" s="3">
        <v>45674</v>
      </c>
    </row>
    <row r="89" spans="1:7" x14ac:dyDescent="0.3">
      <c r="A89" s="1">
        <v>88</v>
      </c>
      <c r="B89" s="1">
        <v>88</v>
      </c>
      <c r="C89" s="1">
        <v>2025</v>
      </c>
      <c r="D89" s="3">
        <v>45681</v>
      </c>
    </row>
    <row r="90" spans="1:7" x14ac:dyDescent="0.3">
      <c r="A90" s="1">
        <v>89</v>
      </c>
      <c r="B90" s="1">
        <v>89</v>
      </c>
      <c r="C90" s="1">
        <v>2025</v>
      </c>
      <c r="D90" s="3">
        <v>45688</v>
      </c>
    </row>
    <row r="91" spans="1:7" x14ac:dyDescent="0.3">
      <c r="A91" s="1">
        <v>90</v>
      </c>
      <c r="B91" s="1">
        <v>90</v>
      </c>
      <c r="C91" s="1">
        <v>2025</v>
      </c>
      <c r="D91" s="3">
        <v>45695</v>
      </c>
    </row>
    <row r="92" spans="1:7" x14ac:dyDescent="0.3">
      <c r="A92" s="1">
        <v>91</v>
      </c>
      <c r="B92" s="1">
        <v>91</v>
      </c>
      <c r="C92" s="1">
        <v>2025</v>
      </c>
      <c r="D92" s="3">
        <v>45702</v>
      </c>
    </row>
    <row r="93" spans="1:7" x14ac:dyDescent="0.3">
      <c r="A93" s="1">
        <v>92</v>
      </c>
      <c r="B93" s="1">
        <v>92</v>
      </c>
      <c r="C93" s="1">
        <v>2025</v>
      </c>
      <c r="D93" s="3">
        <v>45709</v>
      </c>
    </row>
    <row r="94" spans="1:7" x14ac:dyDescent="0.3">
      <c r="B94" s="1">
        <v>93</v>
      </c>
      <c r="C94" s="1">
        <v>2025</v>
      </c>
      <c r="D94" s="3">
        <v>45716</v>
      </c>
    </row>
    <row r="95" spans="1:7" x14ac:dyDescent="0.3">
      <c r="B95" s="1">
        <v>94</v>
      </c>
      <c r="C95" s="1">
        <v>2025</v>
      </c>
      <c r="D95" s="3">
        <v>45723</v>
      </c>
    </row>
    <row r="96" spans="1:7" x14ac:dyDescent="0.3">
      <c r="B96" s="1">
        <v>95</v>
      </c>
      <c r="C96" s="1">
        <v>2025</v>
      </c>
      <c r="D96" s="3">
        <v>45730</v>
      </c>
    </row>
    <row r="97" spans="2:4" x14ac:dyDescent="0.3">
      <c r="B97" s="1">
        <v>96</v>
      </c>
      <c r="C97" s="1">
        <v>2025</v>
      </c>
      <c r="D97" s="3">
        <v>45737</v>
      </c>
    </row>
    <row r="98" spans="2:4" x14ac:dyDescent="0.3">
      <c r="B98" s="1">
        <v>97</v>
      </c>
      <c r="C98" s="1">
        <v>2025</v>
      </c>
      <c r="D98" s="3">
        <v>45744</v>
      </c>
    </row>
    <row r="99" spans="2:4" x14ac:dyDescent="0.3">
      <c r="B99" s="1">
        <v>98</v>
      </c>
      <c r="C99" s="1">
        <v>2025</v>
      </c>
      <c r="D99" s="3">
        <v>45751</v>
      </c>
    </row>
    <row r="100" spans="2:4" x14ac:dyDescent="0.3">
      <c r="B100" s="1">
        <v>99</v>
      </c>
      <c r="C100" s="1">
        <v>2025</v>
      </c>
      <c r="D100" s="3">
        <v>45758</v>
      </c>
    </row>
    <row r="101" spans="2:4" x14ac:dyDescent="0.3">
      <c r="B101" s="1">
        <v>100</v>
      </c>
      <c r="C101" s="1">
        <v>2025</v>
      </c>
      <c r="D101" s="3">
        <v>45765</v>
      </c>
    </row>
    <row r="102" spans="2:4" x14ac:dyDescent="0.3">
      <c r="B102" s="1">
        <v>101</v>
      </c>
      <c r="C102" s="1">
        <v>2025</v>
      </c>
      <c r="D102" s="3">
        <v>45772</v>
      </c>
    </row>
    <row r="103" spans="2:4" x14ac:dyDescent="0.3">
      <c r="B103" s="1">
        <v>102</v>
      </c>
      <c r="C103" s="1">
        <v>2025</v>
      </c>
      <c r="D103" s="3">
        <v>45779</v>
      </c>
    </row>
    <row r="104" spans="2:4" x14ac:dyDescent="0.3">
      <c r="B104" s="1">
        <v>103</v>
      </c>
      <c r="C104" s="1">
        <v>2025</v>
      </c>
      <c r="D104" s="3">
        <v>45786</v>
      </c>
    </row>
    <row r="105" spans="2:4" x14ac:dyDescent="0.3">
      <c r="B105" s="1">
        <v>104</v>
      </c>
      <c r="C105" s="1">
        <v>2025</v>
      </c>
      <c r="D105" s="3">
        <v>45793</v>
      </c>
    </row>
    <row r="106" spans="2:4" x14ac:dyDescent="0.3">
      <c r="B106" s="1">
        <v>105</v>
      </c>
      <c r="C106" s="1">
        <v>2025</v>
      </c>
      <c r="D106" s="3">
        <v>45800</v>
      </c>
    </row>
    <row r="107" spans="2:4" x14ac:dyDescent="0.3">
      <c r="B107" s="1">
        <v>106</v>
      </c>
      <c r="C107" s="1">
        <v>2025</v>
      </c>
      <c r="D107" s="3">
        <v>45807</v>
      </c>
    </row>
    <row r="108" spans="2:4" x14ac:dyDescent="0.3">
      <c r="B108" s="1">
        <v>107</v>
      </c>
      <c r="C108" s="1">
        <v>2025</v>
      </c>
      <c r="D108" s="3">
        <v>45814</v>
      </c>
    </row>
    <row r="109" spans="2:4" x14ac:dyDescent="0.3">
      <c r="B109" s="1">
        <v>108</v>
      </c>
      <c r="C109" s="1">
        <v>2025</v>
      </c>
      <c r="D109" s="3">
        <v>45821</v>
      </c>
    </row>
    <row r="110" spans="2:4" x14ac:dyDescent="0.3">
      <c r="B110" s="1">
        <v>109</v>
      </c>
      <c r="C110" s="1">
        <v>2025</v>
      </c>
      <c r="D110" s="3">
        <v>45828</v>
      </c>
    </row>
    <row r="111" spans="2:4" x14ac:dyDescent="0.3">
      <c r="B111" s="1">
        <v>110</v>
      </c>
      <c r="C111" s="1">
        <v>2025</v>
      </c>
      <c r="D111" s="3">
        <v>45835</v>
      </c>
    </row>
    <row r="112" spans="2:4" x14ac:dyDescent="0.3">
      <c r="B112" s="1">
        <v>111</v>
      </c>
      <c r="C112" s="1">
        <v>2025</v>
      </c>
      <c r="D112" s="3">
        <v>45842</v>
      </c>
    </row>
    <row r="113" spans="2:4" x14ac:dyDescent="0.3">
      <c r="B113" s="1">
        <v>112</v>
      </c>
      <c r="C113" s="1">
        <v>2025</v>
      </c>
      <c r="D113" s="3">
        <v>45849</v>
      </c>
    </row>
    <row r="114" spans="2:4" x14ac:dyDescent="0.3">
      <c r="B114" s="1">
        <v>113</v>
      </c>
      <c r="C114" s="1">
        <v>2025</v>
      </c>
      <c r="D114" s="3">
        <v>45856</v>
      </c>
    </row>
    <row r="115" spans="2:4" x14ac:dyDescent="0.3">
      <c r="B115" s="1">
        <v>114</v>
      </c>
      <c r="C115" s="1">
        <v>2025</v>
      </c>
      <c r="D115" s="3">
        <v>45863</v>
      </c>
    </row>
    <row r="116" spans="2:4" x14ac:dyDescent="0.3">
      <c r="B116" s="1">
        <v>115</v>
      </c>
      <c r="C116" s="1">
        <v>2025</v>
      </c>
      <c r="D116" s="3">
        <v>45870</v>
      </c>
    </row>
    <row r="117" spans="2:4" x14ac:dyDescent="0.3">
      <c r="B117" s="1">
        <v>116</v>
      </c>
      <c r="C117" s="1">
        <v>2025</v>
      </c>
      <c r="D117" s="3">
        <v>45877</v>
      </c>
    </row>
    <row r="118" spans="2:4" x14ac:dyDescent="0.3">
      <c r="B118" s="1">
        <v>117</v>
      </c>
      <c r="C118" s="1">
        <v>2025</v>
      </c>
      <c r="D118" s="3">
        <v>45884</v>
      </c>
    </row>
    <row r="119" spans="2:4" x14ac:dyDescent="0.3">
      <c r="B119" s="1">
        <v>118</v>
      </c>
      <c r="C119" s="1">
        <v>2025</v>
      </c>
      <c r="D119" s="3">
        <v>45891</v>
      </c>
    </row>
    <row r="120" spans="2:4" x14ac:dyDescent="0.3">
      <c r="B120" s="1">
        <v>119</v>
      </c>
      <c r="C120" s="1">
        <v>2025</v>
      </c>
      <c r="D120" s="3">
        <v>45898</v>
      </c>
    </row>
    <row r="121" spans="2:4" x14ac:dyDescent="0.3">
      <c r="B121" s="1">
        <v>120</v>
      </c>
      <c r="C121" s="1">
        <v>2025</v>
      </c>
      <c r="D121" s="3">
        <v>45905</v>
      </c>
    </row>
    <row r="122" spans="2:4" x14ac:dyDescent="0.3">
      <c r="B122" s="1">
        <v>121</v>
      </c>
      <c r="C122" s="1">
        <v>2025</v>
      </c>
      <c r="D122" s="3">
        <v>45912</v>
      </c>
    </row>
    <row r="123" spans="2:4" x14ac:dyDescent="0.3">
      <c r="B123" s="1">
        <v>122</v>
      </c>
      <c r="C123" s="1">
        <v>2025</v>
      </c>
      <c r="D123" s="3">
        <v>45919</v>
      </c>
    </row>
    <row r="124" spans="2:4" x14ac:dyDescent="0.3">
      <c r="B124" s="1">
        <v>123</v>
      </c>
      <c r="C124" s="1">
        <v>2025</v>
      </c>
      <c r="D124" s="3">
        <v>45926</v>
      </c>
    </row>
    <row r="125" spans="2:4" x14ac:dyDescent="0.3">
      <c r="B125" s="1">
        <v>124</v>
      </c>
      <c r="C125" s="1">
        <v>2025</v>
      </c>
      <c r="D125" s="3">
        <v>45933</v>
      </c>
    </row>
    <row r="126" spans="2:4" x14ac:dyDescent="0.3">
      <c r="B126" s="1">
        <v>125</v>
      </c>
      <c r="C126" s="1">
        <v>2025</v>
      </c>
      <c r="D126" s="3">
        <v>45940</v>
      </c>
    </row>
    <row r="127" spans="2:4" x14ac:dyDescent="0.3">
      <c r="B127" s="1">
        <v>126</v>
      </c>
      <c r="C127" s="1">
        <v>2025</v>
      </c>
      <c r="D127" s="3">
        <v>45947</v>
      </c>
    </row>
    <row r="128" spans="2:4" x14ac:dyDescent="0.3">
      <c r="B128" s="1">
        <v>127</v>
      </c>
      <c r="C128" s="1">
        <v>2025</v>
      </c>
      <c r="D128" s="3">
        <v>45954</v>
      </c>
    </row>
    <row r="129" spans="2:4" x14ac:dyDescent="0.3">
      <c r="B129" s="1">
        <v>128</v>
      </c>
      <c r="C129" s="1">
        <v>2025</v>
      </c>
      <c r="D129" s="3">
        <v>45961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zoomScaleNormal="100" workbookViewId="0">
      <selection activeCell="E2" sqref="E2"/>
    </sheetView>
  </sheetViews>
  <sheetFormatPr defaultColWidth="8.44140625" defaultRowHeight="14.4" x14ac:dyDescent="0.3"/>
  <cols>
    <col min="2" max="2" width="9.21875" style="1" customWidth="1"/>
    <col min="3" max="3" width="72.109375" style="1" customWidth="1"/>
  </cols>
  <sheetData>
    <row r="1" spans="1:5" x14ac:dyDescent="0.3">
      <c r="A1" s="1" t="s">
        <v>643</v>
      </c>
      <c r="B1" s="1" t="s">
        <v>644</v>
      </c>
      <c r="C1" s="1" t="s">
        <v>645</v>
      </c>
    </row>
    <row r="2" spans="1:5" x14ac:dyDescent="0.3">
      <c r="A2" s="1">
        <v>1</v>
      </c>
      <c r="B2" s="1" t="s">
        <v>646</v>
      </c>
      <c r="C2" s="1" t="s">
        <v>647</v>
      </c>
      <c r="D2" s="1" t="str">
        <f>"INSERT INTO GRUPO_ALIMENTAR (grp_id, grp_nome, grp_desc) VALUES ("&amp;A2&amp;", '"&amp;B2&amp;"', '"&amp;C2&amp;"');"</f>
        <v>INSERT INTO GRUPO_ALIMENTAR (grp_id, grp_nome, grp_desc) VALUES (1, 'A', 'Verduras (folhosas, flores e hastes)');</v>
      </c>
      <c r="E2" s="1" t="s">
        <v>648</v>
      </c>
    </row>
    <row r="3" spans="1:5" x14ac:dyDescent="0.3">
      <c r="A3" s="1">
        <v>2</v>
      </c>
      <c r="B3" s="1" t="s">
        <v>649</v>
      </c>
      <c r="C3" s="1" t="s">
        <v>650</v>
      </c>
      <c r="D3" s="1" t="str">
        <f>"INSERT INTO GRUPO_ALIMENTAR (grp_id, grp_nome, grp_desc) VALUES ("&amp;A3&amp;", '"&amp;B3&amp;"', '"&amp;C3&amp;"');"</f>
        <v>INSERT INTO GRUPO_ALIMENTAR (grp_id, grp_nome, grp_desc) VALUES (2, 'B', 'Hortaliças condimentares (temperos)');</v>
      </c>
      <c r="E3" s="1" t="s">
        <v>651</v>
      </c>
    </row>
    <row r="4" spans="1:5" x14ac:dyDescent="0.3">
      <c r="A4" s="1">
        <v>3</v>
      </c>
      <c r="B4" s="1" t="s">
        <v>652</v>
      </c>
      <c r="C4" s="1" t="s">
        <v>653</v>
      </c>
      <c r="D4" s="1" t="str">
        <f>"INSERT INTO GRUPO_ALIMENTAR (grp_id, grp_nome, grp_desc) VALUES ("&amp;A4&amp;", '"&amp;B4&amp;"', '"&amp;C4&amp;"');"</f>
        <v>INSERT INTO GRUPO_ALIMENTAR (grp_id, grp_nome, grp_desc) VALUES (3, 'C', 'Hortaliças legumes (leguminosas (vagens), frutos, raízes tuberosas, tuberculos, bulbos)');</v>
      </c>
      <c r="E4" s="1" t="s">
        <v>654</v>
      </c>
    </row>
    <row r="5" spans="1:5" x14ac:dyDescent="0.3">
      <c r="A5" s="1">
        <v>4</v>
      </c>
      <c r="B5" s="1" t="s">
        <v>655</v>
      </c>
      <c r="C5" s="1" t="s">
        <v>656</v>
      </c>
      <c r="D5" s="1" t="str">
        <f>"INSERT INTO GRUPO_ALIMENTAR (grp_id, grp_nome, grp_desc) VALUES ("&amp;A5&amp;", '"&amp;B5&amp;"', '"&amp;C5&amp;"');"</f>
        <v>INSERT INTO GRUPO_ALIMENTAR (grp_id, grp_nome, grp_desc) VALUES (4, 'D', 'Frutas');</v>
      </c>
      <c r="E5" s="1" t="s">
        <v>657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"/>
  <sheetViews>
    <sheetView zoomScaleNormal="100" workbookViewId="0">
      <selection activeCell="F2" sqref="F2"/>
    </sheetView>
  </sheetViews>
  <sheetFormatPr defaultColWidth="8.44140625" defaultRowHeight="14.4" x14ac:dyDescent="0.3"/>
  <sheetData>
    <row r="1" spans="1:6" x14ac:dyDescent="0.3">
      <c r="A1" s="1" t="s">
        <v>658</v>
      </c>
      <c r="B1" s="1" t="s">
        <v>643</v>
      </c>
      <c r="C1" s="1" t="s">
        <v>659</v>
      </c>
    </row>
    <row r="2" spans="1:6" x14ac:dyDescent="0.3">
      <c r="A2" s="1">
        <v>1</v>
      </c>
      <c r="B2" s="1">
        <v>1</v>
      </c>
      <c r="C2" s="1" t="s">
        <v>660</v>
      </c>
      <c r="E2" s="1" t="str">
        <f t="shared" ref="E2:E11" si="0">"INSERT INTO CATEGORIA (grp_id, cat_nome) VALUES ("&amp;B2&amp;", '"&amp;C2&amp;"');"</f>
        <v>INSERT INTO CATEGORIA (grp_id, cat_nome) VALUES (1, 'Folhosas');</v>
      </c>
      <c r="F2" s="1" t="s">
        <v>661</v>
      </c>
    </row>
    <row r="3" spans="1:6" x14ac:dyDescent="0.3">
      <c r="A3" s="1">
        <v>2</v>
      </c>
      <c r="B3" s="1">
        <v>1</v>
      </c>
      <c r="C3" s="1" t="s">
        <v>662</v>
      </c>
      <c r="E3" s="1" t="str">
        <f t="shared" si="0"/>
        <v>INSERT INTO CATEGORIA (grp_id, cat_nome) VALUES (1, 'Flores');</v>
      </c>
      <c r="F3" s="1" t="s">
        <v>663</v>
      </c>
    </row>
    <row r="4" spans="1:6" x14ac:dyDescent="0.3">
      <c r="A4" s="1">
        <v>3</v>
      </c>
      <c r="B4" s="1">
        <v>1</v>
      </c>
      <c r="C4" s="1" t="s">
        <v>664</v>
      </c>
      <c r="E4" s="1" t="str">
        <f t="shared" si="0"/>
        <v>INSERT INTO CATEGORIA (grp_id, cat_nome) VALUES (1, 'Hastes');</v>
      </c>
      <c r="F4" s="1" t="s">
        <v>665</v>
      </c>
    </row>
    <row r="5" spans="1:6" x14ac:dyDescent="0.3">
      <c r="A5" s="1">
        <v>4</v>
      </c>
      <c r="B5" s="1">
        <v>2</v>
      </c>
      <c r="C5" s="1" t="s">
        <v>666</v>
      </c>
      <c r="E5" s="1" t="str">
        <f t="shared" si="0"/>
        <v>INSERT INTO CATEGORIA (grp_id, cat_nome) VALUES (2, 'Temperos');</v>
      </c>
      <c r="F5" s="1" t="s">
        <v>667</v>
      </c>
    </row>
    <row r="6" spans="1:6" x14ac:dyDescent="0.3">
      <c r="A6" s="1">
        <v>5</v>
      </c>
      <c r="B6" s="1">
        <v>3</v>
      </c>
      <c r="C6" s="1" t="s">
        <v>668</v>
      </c>
      <c r="E6" s="1" t="str">
        <f t="shared" si="0"/>
        <v>INSERT INTO CATEGORIA (grp_id, cat_nome) VALUES (3, 'Leguminosas (vagens)');</v>
      </c>
      <c r="F6" s="1" t="s">
        <v>669</v>
      </c>
    </row>
    <row r="7" spans="1:6" x14ac:dyDescent="0.3">
      <c r="A7" s="1">
        <v>6</v>
      </c>
      <c r="B7" s="1">
        <v>3</v>
      </c>
      <c r="C7" s="1" t="s">
        <v>670</v>
      </c>
      <c r="E7" s="1" t="str">
        <f t="shared" si="0"/>
        <v>INSERT INTO CATEGORIA (grp_id, cat_nome) VALUES (3, 'Frutos');</v>
      </c>
      <c r="F7" s="1" t="s">
        <v>671</v>
      </c>
    </row>
    <row r="8" spans="1:6" x14ac:dyDescent="0.3">
      <c r="A8" s="1">
        <v>7</v>
      </c>
      <c r="B8" s="1">
        <v>3</v>
      </c>
      <c r="C8" s="1" t="s">
        <v>672</v>
      </c>
      <c r="E8" s="1" t="str">
        <f t="shared" si="0"/>
        <v>INSERT INTO CATEGORIA (grp_id, cat_nome) VALUES (3, 'Raízes Tuberosas');</v>
      </c>
      <c r="F8" s="1" t="s">
        <v>673</v>
      </c>
    </row>
    <row r="9" spans="1:6" x14ac:dyDescent="0.3">
      <c r="A9" s="1">
        <v>8</v>
      </c>
      <c r="B9" s="1">
        <v>3</v>
      </c>
      <c r="C9" s="1" t="s">
        <v>674</v>
      </c>
      <c r="E9" s="1" t="str">
        <f t="shared" si="0"/>
        <v>INSERT INTO CATEGORIA (grp_id, cat_nome) VALUES (3, 'Tubérculos');</v>
      </c>
      <c r="F9" s="1" t="s">
        <v>675</v>
      </c>
    </row>
    <row r="10" spans="1:6" x14ac:dyDescent="0.3">
      <c r="A10" s="1">
        <v>9</v>
      </c>
      <c r="B10" s="1">
        <v>3</v>
      </c>
      <c r="C10" s="1" t="s">
        <v>676</v>
      </c>
      <c r="E10" s="1" t="str">
        <f t="shared" si="0"/>
        <v>INSERT INTO CATEGORIA (grp_id, cat_nome) VALUES (3, 'Bulbos');</v>
      </c>
      <c r="F10" s="1" t="s">
        <v>677</v>
      </c>
    </row>
    <row r="11" spans="1:6" x14ac:dyDescent="0.3">
      <c r="A11" s="1">
        <v>10</v>
      </c>
      <c r="B11" s="1">
        <v>4</v>
      </c>
      <c r="C11" s="1" t="s">
        <v>656</v>
      </c>
      <c r="E11" s="1" t="str">
        <f t="shared" si="0"/>
        <v>INSERT INTO CATEGORIA (grp_id, cat_nome) VALUES (4, 'Frutas');</v>
      </c>
      <c r="F11" s="1" t="s">
        <v>678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1"/>
  <sheetViews>
    <sheetView topLeftCell="A10" zoomScaleNormal="100" workbookViewId="0">
      <selection activeCell="C10" sqref="C10"/>
    </sheetView>
  </sheetViews>
  <sheetFormatPr defaultColWidth="8.44140625" defaultRowHeight="14.4" x14ac:dyDescent="0.3"/>
  <cols>
    <col min="3" max="3" width="19.88671875" style="1" customWidth="1"/>
    <col min="4" max="4" width="12.5546875" style="1" customWidth="1"/>
  </cols>
  <sheetData>
    <row r="1" spans="1:8" x14ac:dyDescent="0.3">
      <c r="A1" s="1" t="s">
        <v>679</v>
      </c>
      <c r="B1" s="1" t="s">
        <v>658</v>
      </c>
      <c r="C1" s="1" t="s">
        <v>680</v>
      </c>
      <c r="D1" s="1" t="s">
        <v>681</v>
      </c>
      <c r="E1" s="1" t="s">
        <v>682</v>
      </c>
    </row>
    <row r="2" spans="1:8" x14ac:dyDescent="0.3">
      <c r="A2" s="1">
        <v>1</v>
      </c>
      <c r="B2" s="1">
        <v>1</v>
      </c>
      <c r="C2" s="1" t="s">
        <v>12</v>
      </c>
      <c r="E2" s="1">
        <v>1</v>
      </c>
      <c r="G2" s="1" t="str">
        <f t="shared" ref="G2:G41" si="0">"INSERT INTO PRODUTO (cat_id, prd_nome, prd_var, prd_atv) VALUES ("&amp;B2&amp;", '"&amp;C2&amp;"', '"&amp;D2&amp;"', "&amp;E2&amp;");"</f>
        <v>INSERT INTO PRODUTO (cat_id, prd_nome, prd_var, prd_atv) VALUES (1, 'Acelga', '', 1);</v>
      </c>
      <c r="H2" s="1" t="s">
        <v>683</v>
      </c>
    </row>
    <row r="3" spans="1:8" x14ac:dyDescent="0.3">
      <c r="A3" s="1">
        <v>2</v>
      </c>
      <c r="B3" s="1">
        <v>1</v>
      </c>
      <c r="C3" s="1" t="s">
        <v>14</v>
      </c>
      <c r="E3" s="1">
        <v>1</v>
      </c>
      <c r="G3" s="1" t="str">
        <f t="shared" si="0"/>
        <v>INSERT INTO PRODUTO (cat_id, prd_nome, prd_var, prd_atv) VALUES (1, 'Agrião', '', 1);</v>
      </c>
      <c r="H3" s="1" t="s">
        <v>684</v>
      </c>
    </row>
    <row r="4" spans="1:8" x14ac:dyDescent="0.3">
      <c r="A4" s="1">
        <v>3</v>
      </c>
      <c r="B4" s="1">
        <v>1</v>
      </c>
      <c r="C4" s="1" t="s">
        <v>685</v>
      </c>
      <c r="D4" s="1" t="s">
        <v>686</v>
      </c>
      <c r="E4" s="1">
        <v>1</v>
      </c>
      <c r="G4" s="1" t="str">
        <f t="shared" si="0"/>
        <v>INSERT INTO PRODUTO (cat_id, prd_nome, prd_var, prd_atv) VALUES (1, 'Alface', 'Americana', 1);</v>
      </c>
      <c r="H4" s="1" t="s">
        <v>687</v>
      </c>
    </row>
    <row r="5" spans="1:8" x14ac:dyDescent="0.3">
      <c r="A5" s="1">
        <v>4</v>
      </c>
      <c r="B5" s="1">
        <v>1</v>
      </c>
      <c r="C5" s="1" t="s">
        <v>685</v>
      </c>
      <c r="D5" s="1" t="s">
        <v>688</v>
      </c>
      <c r="E5" s="1">
        <v>1</v>
      </c>
      <c r="G5" s="1" t="str">
        <f t="shared" si="0"/>
        <v>INSERT INTO PRODUTO (cat_id, prd_nome, prd_var, prd_atv) VALUES (1, 'Alface', 'Crespa', 1);</v>
      </c>
      <c r="H5" s="1" t="s">
        <v>689</v>
      </c>
    </row>
    <row r="6" spans="1:8" x14ac:dyDescent="0.3">
      <c r="A6" s="1">
        <v>5</v>
      </c>
      <c r="B6" s="1">
        <v>1</v>
      </c>
      <c r="C6" s="1" t="s">
        <v>685</v>
      </c>
      <c r="D6" s="1" t="s">
        <v>690</v>
      </c>
      <c r="E6" s="1">
        <v>1</v>
      </c>
      <c r="G6" s="1" t="str">
        <f t="shared" si="0"/>
        <v>INSERT INTO PRODUTO (cat_id, prd_nome, prd_var, prd_atv) VALUES (1, 'Alface', 'Lisa', 1);</v>
      </c>
      <c r="H6" s="1" t="s">
        <v>691</v>
      </c>
    </row>
    <row r="7" spans="1:8" x14ac:dyDescent="0.3">
      <c r="A7" s="1">
        <v>6</v>
      </c>
      <c r="B7" s="1">
        <v>1</v>
      </c>
      <c r="C7" s="1" t="s">
        <v>18</v>
      </c>
      <c r="E7" s="1">
        <v>1</v>
      </c>
      <c r="G7" s="1" t="str">
        <f t="shared" si="0"/>
        <v>INSERT INTO PRODUTO (cat_id, prd_nome, prd_var, prd_atv) VALUES (1, 'Almeirão', '', 1);</v>
      </c>
      <c r="H7" s="1" t="s">
        <v>692</v>
      </c>
    </row>
    <row r="8" spans="1:8" x14ac:dyDescent="0.3">
      <c r="A8" s="1">
        <v>7</v>
      </c>
      <c r="B8" s="1">
        <v>2</v>
      </c>
      <c r="C8" s="1" t="s">
        <v>693</v>
      </c>
      <c r="D8" s="1" t="s">
        <v>694</v>
      </c>
      <c r="E8" s="1">
        <v>1</v>
      </c>
      <c r="G8" s="1" t="str">
        <f t="shared" si="0"/>
        <v>INSERT INTO PRODUTO (cat_id, prd_nome, prd_var, prd_atv) VALUES (2, 'Brócolis', 'Ninja/Japonês', 1);</v>
      </c>
      <c r="H8" s="1" t="s">
        <v>695</v>
      </c>
    </row>
    <row r="9" spans="1:8" x14ac:dyDescent="0.3">
      <c r="A9" s="1">
        <v>8</v>
      </c>
      <c r="B9" s="1">
        <v>2</v>
      </c>
      <c r="C9" s="1" t="s">
        <v>693</v>
      </c>
      <c r="D9" s="1" t="s">
        <v>696</v>
      </c>
      <c r="E9" s="1">
        <v>1</v>
      </c>
      <c r="G9" s="1" t="str">
        <f t="shared" si="0"/>
        <v>INSERT INTO PRODUTO (cat_id, prd_nome, prd_var, prd_atv) VALUES (2, 'Brócolis', 'Ramoso', 1);</v>
      </c>
      <c r="H9" s="1" t="s">
        <v>697</v>
      </c>
    </row>
    <row r="10" spans="1:8" x14ac:dyDescent="0.3">
      <c r="A10" s="1">
        <v>9</v>
      </c>
      <c r="B10" s="1">
        <v>1</v>
      </c>
      <c r="C10" s="1" t="s">
        <v>22</v>
      </c>
      <c r="D10" s="1" t="s">
        <v>698</v>
      </c>
      <c r="E10" s="1">
        <v>1</v>
      </c>
      <c r="G10" s="1" t="str">
        <f t="shared" si="0"/>
        <v>INSERT INTO PRODUTO (cat_id, prd_nome, prd_var, prd_atv) VALUES (1, 'Couve', 'Manteiga', 1);</v>
      </c>
      <c r="H10" s="1" t="s">
        <v>699</v>
      </c>
    </row>
    <row r="11" spans="1:8" x14ac:dyDescent="0.3">
      <c r="A11" s="1">
        <v>10</v>
      </c>
      <c r="B11" s="1">
        <v>2</v>
      </c>
      <c r="C11" s="1" t="s">
        <v>700</v>
      </c>
      <c r="E11" s="1">
        <v>1</v>
      </c>
      <c r="G11" s="1" t="str">
        <f t="shared" si="0"/>
        <v>INSERT INTO PRODUTO (cat_id, prd_nome, prd_var, prd_atv) VALUES (2, 'Couve-Flor', '', 1);</v>
      </c>
      <c r="H11" s="1" t="s">
        <v>701</v>
      </c>
    </row>
    <row r="12" spans="1:8" x14ac:dyDescent="0.3">
      <c r="A12" s="1">
        <v>11</v>
      </c>
      <c r="B12" s="1">
        <v>1</v>
      </c>
      <c r="C12" s="1" t="s">
        <v>23</v>
      </c>
      <c r="E12" s="1">
        <v>1</v>
      </c>
      <c r="G12" s="1" t="str">
        <f t="shared" si="0"/>
        <v>INSERT INTO PRODUTO (cat_id, prd_nome, prd_var, prd_atv) VALUES (1, 'Escarola', '', 1);</v>
      </c>
      <c r="H12" s="1" t="s">
        <v>702</v>
      </c>
    </row>
    <row r="13" spans="1:8" x14ac:dyDescent="0.3">
      <c r="A13" s="1">
        <v>12</v>
      </c>
      <c r="B13" s="1">
        <v>1</v>
      </c>
      <c r="C13" s="1" t="s">
        <v>24</v>
      </c>
      <c r="E13" s="1">
        <v>1</v>
      </c>
      <c r="G13" s="1" t="str">
        <f t="shared" si="0"/>
        <v>INSERT INTO PRODUTO (cat_id, prd_nome, prd_var, prd_atv) VALUES (1, 'Espinafre', '', 1);</v>
      </c>
      <c r="H13" s="1" t="s">
        <v>703</v>
      </c>
    </row>
    <row r="14" spans="1:8" x14ac:dyDescent="0.3">
      <c r="A14" s="1">
        <v>13</v>
      </c>
      <c r="B14" s="1">
        <v>7</v>
      </c>
      <c r="C14" s="1" t="s">
        <v>25</v>
      </c>
      <c r="E14" s="1">
        <v>1</v>
      </c>
      <c r="G14" s="1" t="str">
        <f t="shared" si="0"/>
        <v>INSERT INTO PRODUTO (cat_id, prd_nome, prd_var, prd_atv) VALUES (7, 'Rabanete', '', 1);</v>
      </c>
      <c r="H14" s="1" t="s">
        <v>704</v>
      </c>
    </row>
    <row r="15" spans="1:8" x14ac:dyDescent="0.3">
      <c r="A15" s="1">
        <v>14</v>
      </c>
      <c r="B15" s="1">
        <v>1</v>
      </c>
      <c r="C15" s="1" t="s">
        <v>705</v>
      </c>
      <c r="D15" s="1" t="s">
        <v>706</v>
      </c>
      <c r="E15" s="1">
        <v>1</v>
      </c>
      <c r="G15" s="1" t="str">
        <f t="shared" si="0"/>
        <v>INSERT INTO PRODUTO (cat_id, prd_nome, prd_var, prd_atv) VALUES (1, 'Repolho', 'Roxo', 1);</v>
      </c>
      <c r="H15" s="1" t="s">
        <v>707</v>
      </c>
    </row>
    <row r="16" spans="1:8" x14ac:dyDescent="0.3">
      <c r="A16" s="1">
        <v>15</v>
      </c>
      <c r="B16" s="1">
        <v>1</v>
      </c>
      <c r="C16" s="1" t="s">
        <v>705</v>
      </c>
      <c r="D16" s="1" t="s">
        <v>708</v>
      </c>
      <c r="E16" s="1">
        <v>1</v>
      </c>
      <c r="G16" s="1" t="str">
        <f t="shared" si="0"/>
        <v>INSERT INTO PRODUTO (cat_id, prd_nome, prd_var, prd_atv) VALUES (1, 'Repolho', 'Verde', 1);</v>
      </c>
      <c r="H16" s="1" t="s">
        <v>709</v>
      </c>
    </row>
    <row r="17" spans="1:8" x14ac:dyDescent="0.3">
      <c r="A17" s="1">
        <v>16</v>
      </c>
      <c r="B17" s="1">
        <v>1</v>
      </c>
      <c r="C17" s="1" t="s">
        <v>29</v>
      </c>
      <c r="E17" s="1">
        <v>1</v>
      </c>
      <c r="G17" s="1" t="str">
        <f t="shared" si="0"/>
        <v>INSERT INTO PRODUTO (cat_id, prd_nome, prd_var, prd_atv) VALUES (1, 'Rúcula', '', 1);</v>
      </c>
      <c r="H17" s="1" t="s">
        <v>710</v>
      </c>
    </row>
    <row r="18" spans="1:8" x14ac:dyDescent="0.3">
      <c r="A18" s="1">
        <v>17</v>
      </c>
      <c r="B18" s="1">
        <v>4</v>
      </c>
      <c r="C18" s="1" t="s">
        <v>31</v>
      </c>
      <c r="E18" s="1">
        <v>1</v>
      </c>
      <c r="G18" s="1" t="str">
        <f t="shared" si="0"/>
        <v>INSERT INTO PRODUTO (cat_id, prd_nome, prd_var, prd_atv) VALUES (4, 'Cebolinha', '', 1);</v>
      </c>
      <c r="H18" s="1" t="s">
        <v>711</v>
      </c>
    </row>
    <row r="19" spans="1:8" x14ac:dyDescent="0.3">
      <c r="A19" s="1">
        <v>18</v>
      </c>
      <c r="B19" s="1">
        <v>4</v>
      </c>
      <c r="C19" s="1" t="s">
        <v>34</v>
      </c>
      <c r="E19" s="1">
        <v>1</v>
      </c>
      <c r="G19" s="1" t="str">
        <f t="shared" si="0"/>
        <v>INSERT INTO PRODUTO (cat_id, prd_nome, prd_var, prd_atv) VALUES (4, 'Coentro', '', 1);</v>
      </c>
      <c r="H19" s="1" t="s">
        <v>712</v>
      </c>
    </row>
    <row r="20" spans="1:8" x14ac:dyDescent="0.3">
      <c r="A20" s="1">
        <v>19</v>
      </c>
      <c r="B20" s="1">
        <v>4</v>
      </c>
      <c r="C20" s="1" t="s">
        <v>36</v>
      </c>
      <c r="E20" s="1">
        <v>1</v>
      </c>
      <c r="G20" s="1" t="str">
        <f t="shared" si="0"/>
        <v>INSERT INTO PRODUTO (cat_id, prd_nome, prd_var, prd_atv) VALUES (4, 'Salsinha', '', 1);</v>
      </c>
      <c r="H20" s="1" t="s">
        <v>713</v>
      </c>
    </row>
    <row r="21" spans="1:8" x14ac:dyDescent="0.3">
      <c r="A21" s="1">
        <v>20</v>
      </c>
      <c r="B21" s="1">
        <v>6</v>
      </c>
      <c r="C21" s="1" t="s">
        <v>714</v>
      </c>
      <c r="D21" s="1" t="s">
        <v>715</v>
      </c>
      <c r="E21" s="1">
        <v>1</v>
      </c>
      <c r="G21" s="1" t="str">
        <f t="shared" si="0"/>
        <v>INSERT INTO PRODUTO (cat_id, prd_nome, prd_var, prd_atv) VALUES (6, 'Abóbora', 'Cabotiá', 1);</v>
      </c>
      <c r="H21" s="1" t="s">
        <v>716</v>
      </c>
    </row>
    <row r="22" spans="1:8" x14ac:dyDescent="0.3">
      <c r="A22" s="1">
        <v>21</v>
      </c>
      <c r="B22" s="1">
        <v>6</v>
      </c>
      <c r="C22" s="1" t="s">
        <v>717</v>
      </c>
      <c r="D22" s="1" t="s">
        <v>718</v>
      </c>
      <c r="E22" s="1">
        <v>1</v>
      </c>
      <c r="G22" s="1" t="str">
        <f t="shared" si="0"/>
        <v>INSERT INTO PRODUTO (cat_id, prd_nome, prd_var, prd_atv) VALUES (6, 'Abobrinha', 'Italiana', 1);</v>
      </c>
      <c r="H22" s="1" t="s">
        <v>719</v>
      </c>
    </row>
    <row r="23" spans="1:8" x14ac:dyDescent="0.3">
      <c r="A23" s="1">
        <v>22</v>
      </c>
      <c r="B23" s="1">
        <v>7</v>
      </c>
      <c r="C23" s="1" t="s">
        <v>42</v>
      </c>
      <c r="E23" s="1">
        <v>1</v>
      </c>
      <c r="G23" s="1" t="str">
        <f t="shared" si="0"/>
        <v>INSERT INTO PRODUTO (cat_id, prd_nome, prd_var, prd_atv) VALUES (7, 'Batata-doce', '', 1);</v>
      </c>
      <c r="H23" s="1" t="s">
        <v>720</v>
      </c>
    </row>
    <row r="24" spans="1:8" x14ac:dyDescent="0.3">
      <c r="A24" s="1">
        <v>23</v>
      </c>
      <c r="B24" s="1">
        <v>6</v>
      </c>
      <c r="C24" s="1" t="s">
        <v>721</v>
      </c>
      <c r="D24" s="1" t="s">
        <v>6</v>
      </c>
      <c r="E24" s="1">
        <v>1</v>
      </c>
      <c r="G24" s="1" t="str">
        <f t="shared" si="0"/>
        <v>INSERT INTO PRODUTO (cat_id, prd_nome, prd_var, prd_atv) VALUES (6, 'Berinjela', 'Comum', 1);</v>
      </c>
      <c r="H24" s="1" t="s">
        <v>722</v>
      </c>
    </row>
    <row r="25" spans="1:8" x14ac:dyDescent="0.3">
      <c r="A25" s="1">
        <v>24</v>
      </c>
      <c r="B25" s="1">
        <v>6</v>
      </c>
      <c r="C25" s="1" t="s">
        <v>721</v>
      </c>
      <c r="D25" s="1" t="s">
        <v>723</v>
      </c>
      <c r="E25" s="1">
        <v>1</v>
      </c>
      <c r="G25" s="1" t="str">
        <f t="shared" si="0"/>
        <v>INSERT INTO PRODUTO (cat_id, prd_nome, prd_var, prd_atv) VALUES (6, 'Berinjela', 'Japonesa', 1);</v>
      </c>
      <c r="H25" s="1" t="s">
        <v>724</v>
      </c>
    </row>
    <row r="26" spans="1:8" x14ac:dyDescent="0.3">
      <c r="A26" s="1">
        <v>25</v>
      </c>
      <c r="B26" s="1">
        <v>7</v>
      </c>
      <c r="C26" s="1" t="s">
        <v>49</v>
      </c>
      <c r="E26" s="1">
        <v>1</v>
      </c>
      <c r="G26" s="1" t="str">
        <f t="shared" si="0"/>
        <v>INSERT INTO PRODUTO (cat_id, prd_nome, prd_var, prd_atv) VALUES (7, 'Beterraba', '', 1);</v>
      </c>
      <c r="H26" s="1" t="s">
        <v>725</v>
      </c>
    </row>
    <row r="27" spans="1:8" x14ac:dyDescent="0.3">
      <c r="A27" s="1">
        <v>26</v>
      </c>
      <c r="B27" s="1">
        <v>7</v>
      </c>
      <c r="C27" s="1" t="s">
        <v>52</v>
      </c>
      <c r="E27" s="1">
        <v>1</v>
      </c>
      <c r="G27" s="1" t="str">
        <f t="shared" si="0"/>
        <v>INSERT INTO PRODUTO (cat_id, prd_nome, prd_var, prd_atv) VALUES (7, 'Cenoura', '', 1);</v>
      </c>
      <c r="H27" s="1" t="s">
        <v>726</v>
      </c>
    </row>
    <row r="28" spans="1:8" x14ac:dyDescent="0.3">
      <c r="A28" s="1">
        <v>27</v>
      </c>
      <c r="B28" s="1">
        <v>6</v>
      </c>
      <c r="C28" s="1" t="s">
        <v>53</v>
      </c>
      <c r="E28" s="1">
        <v>1</v>
      </c>
      <c r="G28" s="1" t="str">
        <f t="shared" si="0"/>
        <v>INSERT INTO PRODUTO (cat_id, prd_nome, prd_var, prd_atv) VALUES (6, 'Chuchu', '', 1);</v>
      </c>
      <c r="H28" s="1" t="s">
        <v>727</v>
      </c>
    </row>
    <row r="29" spans="1:8" x14ac:dyDescent="0.3">
      <c r="A29" s="1">
        <v>28</v>
      </c>
      <c r="B29" s="1">
        <v>6</v>
      </c>
      <c r="C29" s="1" t="s">
        <v>54</v>
      </c>
      <c r="E29" s="1">
        <v>1</v>
      </c>
      <c r="G29" s="1" t="str">
        <f t="shared" si="0"/>
        <v>INSERT INTO PRODUTO (cat_id, prd_nome, prd_var, prd_atv) VALUES (6, 'Jiló', '', 1);</v>
      </c>
      <c r="H29" s="1" t="s">
        <v>728</v>
      </c>
    </row>
    <row r="30" spans="1:8" x14ac:dyDescent="0.3">
      <c r="A30" s="1">
        <v>29</v>
      </c>
      <c r="B30" s="1">
        <v>7</v>
      </c>
      <c r="C30" s="1" t="s">
        <v>56</v>
      </c>
      <c r="E30" s="1">
        <v>1</v>
      </c>
      <c r="G30" s="1" t="str">
        <f t="shared" si="0"/>
        <v>INSERT INTO PRODUTO (cat_id, prd_nome, prd_var, prd_atv) VALUES (7, 'Mandioca', '', 1);</v>
      </c>
      <c r="H30" s="1" t="s">
        <v>729</v>
      </c>
    </row>
    <row r="31" spans="1:8" x14ac:dyDescent="0.3">
      <c r="A31" s="1">
        <v>30</v>
      </c>
      <c r="B31" s="1">
        <v>6</v>
      </c>
      <c r="C31" s="1" t="s">
        <v>730</v>
      </c>
      <c r="D31" s="1" t="s">
        <v>6</v>
      </c>
      <c r="E31" s="1">
        <v>1</v>
      </c>
      <c r="G31" s="1" t="str">
        <f t="shared" si="0"/>
        <v>INSERT INTO PRODUTO (cat_id, prd_nome, prd_var, prd_atv) VALUES (6, 'Pepino', 'Comum', 1);</v>
      </c>
      <c r="H31" s="1" t="s">
        <v>731</v>
      </c>
    </row>
    <row r="32" spans="1:8" x14ac:dyDescent="0.3">
      <c r="A32" s="1">
        <v>31</v>
      </c>
      <c r="B32" s="1">
        <v>6</v>
      </c>
      <c r="C32" s="1" t="s">
        <v>730</v>
      </c>
      <c r="D32" s="1" t="s">
        <v>732</v>
      </c>
      <c r="E32" s="1">
        <v>1</v>
      </c>
      <c r="G32" s="1" t="str">
        <f t="shared" si="0"/>
        <v>INSERT INTO PRODUTO (cat_id, prd_nome, prd_var, prd_atv) VALUES (6, 'Pepino', 'Japonês', 1);</v>
      </c>
      <c r="H32" s="1" t="s">
        <v>733</v>
      </c>
    </row>
    <row r="33" spans="1:8" x14ac:dyDescent="0.3">
      <c r="A33" s="1">
        <v>32</v>
      </c>
      <c r="B33" s="1">
        <v>6</v>
      </c>
      <c r="C33" s="1" t="s">
        <v>734</v>
      </c>
      <c r="D33" s="1" t="s">
        <v>708</v>
      </c>
      <c r="E33" s="1">
        <v>1</v>
      </c>
      <c r="G33" s="1" t="str">
        <f t="shared" si="0"/>
        <v>INSERT INTO PRODUTO (cat_id, prd_nome, prd_var, prd_atv) VALUES (6, 'Pimentão', 'Verde', 1);</v>
      </c>
      <c r="H33" s="1" t="s">
        <v>735</v>
      </c>
    </row>
    <row r="34" spans="1:8" x14ac:dyDescent="0.3">
      <c r="A34" s="1">
        <v>33</v>
      </c>
      <c r="B34" s="1">
        <v>6</v>
      </c>
      <c r="C34" s="1" t="s">
        <v>60</v>
      </c>
      <c r="E34" s="1">
        <v>1</v>
      </c>
      <c r="G34" s="1" t="str">
        <f t="shared" si="0"/>
        <v>INSERT INTO PRODUTO (cat_id, prd_nome, prd_var, prd_atv) VALUES (6, 'Quiabo', '', 1);</v>
      </c>
      <c r="H34" s="1" t="s">
        <v>736</v>
      </c>
    </row>
    <row r="35" spans="1:8" x14ac:dyDescent="0.3">
      <c r="A35" s="1">
        <v>34</v>
      </c>
      <c r="B35" s="1">
        <v>6</v>
      </c>
      <c r="C35" s="1" t="s">
        <v>737</v>
      </c>
      <c r="D35" s="1" t="s">
        <v>738</v>
      </c>
      <c r="E35" s="1">
        <v>1</v>
      </c>
      <c r="G35" s="1" t="str">
        <f t="shared" si="0"/>
        <v>INSERT INTO PRODUTO (cat_id, prd_nome, prd_var, prd_atv) VALUES (6, 'Tomate', 'Débora', 1);</v>
      </c>
      <c r="H35" s="1" t="s">
        <v>739</v>
      </c>
    </row>
    <row r="36" spans="1:8" x14ac:dyDescent="0.3">
      <c r="A36" s="1">
        <v>35</v>
      </c>
      <c r="B36" s="1">
        <v>5</v>
      </c>
      <c r="C36" s="1" t="s">
        <v>740</v>
      </c>
      <c r="D36" s="1" t="s">
        <v>741</v>
      </c>
      <c r="E36" s="1">
        <v>1</v>
      </c>
      <c r="G36" s="1" t="str">
        <f t="shared" si="0"/>
        <v>INSERT INTO PRODUTO (cat_id, prd_nome, prd_var, prd_atv) VALUES (5, 'Vagem', 'Macarrão', 1);</v>
      </c>
      <c r="H36" s="1" t="s">
        <v>742</v>
      </c>
    </row>
    <row r="37" spans="1:8" x14ac:dyDescent="0.3">
      <c r="A37" s="1">
        <v>36</v>
      </c>
      <c r="B37" s="1">
        <v>10</v>
      </c>
      <c r="C37" s="1" t="s">
        <v>743</v>
      </c>
      <c r="D37" s="1" t="s">
        <v>744</v>
      </c>
      <c r="E37" s="1">
        <v>1</v>
      </c>
      <c r="G37" s="1" t="str">
        <f t="shared" si="0"/>
        <v>INSERT INTO PRODUTO (cat_id, prd_nome, prd_var, prd_atv) VALUES (10, 'Caqui', 'Fuyu', 1);</v>
      </c>
      <c r="H37" s="1" t="s">
        <v>745</v>
      </c>
    </row>
    <row r="38" spans="1:8" x14ac:dyDescent="0.3">
      <c r="A38" s="1">
        <v>37</v>
      </c>
      <c r="B38" s="1">
        <v>10</v>
      </c>
      <c r="C38" s="1" t="s">
        <v>743</v>
      </c>
      <c r="D38" s="1" t="s">
        <v>746</v>
      </c>
      <c r="E38" s="1">
        <v>1</v>
      </c>
      <c r="G38" s="1" t="str">
        <f t="shared" si="0"/>
        <v>INSERT INTO PRODUTO (cat_id, prd_nome, prd_var, prd_atv) VALUES (10, 'Caqui', 'Guiombo', 1);</v>
      </c>
      <c r="H38" s="1" t="s">
        <v>747</v>
      </c>
    </row>
    <row r="39" spans="1:8" x14ac:dyDescent="0.3">
      <c r="A39" s="1">
        <v>38</v>
      </c>
      <c r="B39" s="1">
        <v>10</v>
      </c>
      <c r="C39" s="1" t="s">
        <v>743</v>
      </c>
      <c r="D39" s="1" t="s">
        <v>748</v>
      </c>
      <c r="E39" s="1">
        <v>1</v>
      </c>
      <c r="G39" s="1" t="str">
        <f t="shared" si="0"/>
        <v>INSERT INTO PRODUTO (cat_id, prd_nome, prd_var, prd_atv) VALUES (10, 'Caqui', 'Rama Forte', 1);</v>
      </c>
      <c r="H39" s="1" t="s">
        <v>749</v>
      </c>
    </row>
    <row r="40" spans="1:8" x14ac:dyDescent="0.3">
      <c r="A40" s="1">
        <v>39</v>
      </c>
      <c r="B40" s="1">
        <v>10</v>
      </c>
      <c r="C40" s="1" t="s">
        <v>69</v>
      </c>
      <c r="E40" s="1">
        <v>1</v>
      </c>
      <c r="G40" s="1" t="str">
        <f t="shared" si="0"/>
        <v>INSERT INTO PRODUTO (cat_id, prd_nome, prd_var, prd_atv) VALUES (10, 'Goiaba', '', 1);</v>
      </c>
      <c r="H40" s="1" t="s">
        <v>750</v>
      </c>
    </row>
    <row r="41" spans="1:8" x14ac:dyDescent="0.3">
      <c r="A41" s="1">
        <v>40</v>
      </c>
      <c r="B41" s="1">
        <v>10</v>
      </c>
      <c r="C41" s="1" t="s">
        <v>751</v>
      </c>
      <c r="D41" s="1" t="s">
        <v>752</v>
      </c>
      <c r="E41" s="1">
        <v>1</v>
      </c>
      <c r="G41" s="1" t="str">
        <f t="shared" si="0"/>
        <v>INSERT INTO PRODUTO (cat_id, prd_nome, prd_var, prd_atv) VALUES (10, 'Mexerica', 'Ponkan', 1);</v>
      </c>
      <c r="H41" s="1" t="s">
        <v>753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"/>
  <sheetViews>
    <sheetView zoomScaleNormal="100" workbookViewId="0">
      <selection activeCell="F2" sqref="F2"/>
    </sheetView>
  </sheetViews>
  <sheetFormatPr defaultColWidth="8.44140625" defaultRowHeight="14.4" x14ac:dyDescent="0.3"/>
  <cols>
    <col min="2" max="2" width="10.21875" style="1" customWidth="1"/>
  </cols>
  <sheetData>
    <row r="1" spans="1:6" x14ac:dyDescent="0.3">
      <c r="A1" s="1" t="s">
        <v>754</v>
      </c>
      <c r="B1" s="1" t="s">
        <v>755</v>
      </c>
      <c r="C1" s="1" t="s">
        <v>756</v>
      </c>
    </row>
    <row r="2" spans="1:6" x14ac:dyDescent="0.3">
      <c r="A2" s="1">
        <v>1</v>
      </c>
      <c r="B2" s="1" t="s">
        <v>757</v>
      </c>
      <c r="C2" s="1" t="s">
        <v>758</v>
      </c>
      <c r="E2" s="1" t="str">
        <f>"INSERT INTO UNIDADE_MEDIDA (umd_nome, umd_sigla) VALUES ('"&amp;B2&amp;"', '"&amp;C2&amp;"');"</f>
        <v>INSERT INTO UNIDADE_MEDIDA (umd_nome, umd_sigla) VALUES ('Quilograma', 'kg');</v>
      </c>
      <c r="F2" s="1" t="s">
        <v>759</v>
      </c>
    </row>
    <row r="3" spans="1:6" x14ac:dyDescent="0.3">
      <c r="A3" s="1">
        <v>2</v>
      </c>
      <c r="B3" s="1" t="s">
        <v>760</v>
      </c>
      <c r="C3" s="1" t="s">
        <v>761</v>
      </c>
      <c r="E3" s="1" t="str">
        <f>"INSERT INTO UNIDADE_MEDIDA (umd_nome, umd_sigla) VALUES ('"&amp;B3&amp;"', '"&amp;C3&amp;"');"</f>
        <v>INSERT INTO UNIDADE_MEDIDA (umd_nome, umd_sigla) VALUES ('Grama', 'g');</v>
      </c>
      <c r="F3" s="1" t="s">
        <v>762</v>
      </c>
    </row>
    <row r="4" spans="1:6" x14ac:dyDescent="0.3">
      <c r="A4" s="1">
        <v>3</v>
      </c>
      <c r="B4" s="1" t="s">
        <v>5</v>
      </c>
      <c r="C4" s="1" t="s">
        <v>763</v>
      </c>
      <c r="E4" s="1" t="str">
        <f>"INSERT INTO UNIDADE_MEDIDA (umd_nome, umd_sigla) VALUES ('"&amp;B4&amp;"', '"&amp;C4&amp;"');"</f>
        <v>INSERT INTO UNIDADE_MEDIDA (umd_nome, umd_sigla) VALUES ('Unidade', 'un');</v>
      </c>
      <c r="F4" s="1" t="s">
        <v>764</v>
      </c>
    </row>
    <row r="5" spans="1:6" x14ac:dyDescent="0.3">
      <c r="A5" s="1">
        <v>4</v>
      </c>
      <c r="B5" s="1" t="s">
        <v>765</v>
      </c>
      <c r="C5" s="1" t="s">
        <v>766</v>
      </c>
      <c r="E5" s="1" t="str">
        <f>"INSERT INTO UNIDADE_MEDIDA (umd_nome, umd_sigla) VALUES ('"&amp;B5&amp;"', '"&amp;C5&amp;"');"</f>
        <v>INSERT INTO UNIDADE_MEDIDA (umd_nome, umd_sigla) VALUES ('Mililitro', 'ml');</v>
      </c>
      <c r="F5" s="1" t="s">
        <v>767</v>
      </c>
    </row>
    <row r="6" spans="1:6" x14ac:dyDescent="0.3">
      <c r="A6" s="1">
        <v>5</v>
      </c>
      <c r="B6" s="1" t="s">
        <v>768</v>
      </c>
      <c r="C6" s="1" t="s">
        <v>769</v>
      </c>
      <c r="E6" s="1" t="str">
        <f>"INSERT INTO UNIDADE_MEDIDA (umd_nome, umd_sigla) VALUES ('"&amp;B6&amp;"', '"&amp;C6&amp;"');"</f>
        <v>INSERT INTO UNIDADE_MEDIDA (umd_nome, umd_sigla) VALUES ('Litro', 'L');</v>
      </c>
      <c r="F6" s="1" t="s">
        <v>770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5"/>
  <sheetViews>
    <sheetView zoomScaleNormal="100" workbookViewId="0">
      <selection activeCell="E2" sqref="E2"/>
    </sheetView>
  </sheetViews>
  <sheetFormatPr defaultColWidth="8.44140625" defaultRowHeight="14.4" x14ac:dyDescent="0.3"/>
  <sheetData>
    <row r="1" spans="1:5" x14ac:dyDescent="0.3">
      <c r="A1" s="1" t="s">
        <v>771</v>
      </c>
      <c r="B1" s="1" t="s">
        <v>772</v>
      </c>
    </row>
    <row r="2" spans="1:5" x14ac:dyDescent="0.3">
      <c r="A2" s="1">
        <v>1</v>
      </c>
      <c r="B2" s="1" t="s">
        <v>773</v>
      </c>
      <c r="E2" s="1" t="str">
        <f>"INSERT INTO TIPO_APRESENTACAO (tap_nome) VALUES ('"&amp;B2&amp;"');"</f>
        <v>INSERT INTO TIPO_APRESENTACAO (tap_nome) VALUES ('caixa');</v>
      </c>
    </row>
    <row r="3" spans="1:5" x14ac:dyDescent="0.3">
      <c r="A3" s="1">
        <v>2</v>
      </c>
      <c r="B3" s="1" t="s">
        <v>774</v>
      </c>
      <c r="E3" s="1" t="str">
        <f>"INSERT INTO TIPO_APRESENTACAO (tap_nome) VALUES ('"&amp;B3&amp;"');"</f>
        <v>INSERT INTO TIPO_APRESENTACAO (tap_nome) VALUES ('maço');</v>
      </c>
    </row>
    <row r="4" spans="1:5" x14ac:dyDescent="0.3">
      <c r="A4" s="1">
        <v>3</v>
      </c>
      <c r="B4" s="1" t="s">
        <v>775</v>
      </c>
      <c r="E4" s="1" t="str">
        <f>"INSERT INTO TIPO_APRESENTACAO (tap_nome) VALUES ('"&amp;B4&amp;"');"</f>
        <v>INSERT INTO TIPO_APRESENTACAO (tap_nome) VALUES ('dúzia');</v>
      </c>
    </row>
    <row r="5" spans="1:5" x14ac:dyDescent="0.3">
      <c r="A5" s="1">
        <v>4</v>
      </c>
      <c r="B5" s="1" t="s">
        <v>776</v>
      </c>
      <c r="E5" s="1" t="str">
        <f>"INSERT INTO TIPO_APRESENTACAO (tap_nome) VALUES ('"&amp;B5&amp;"');"</f>
        <v>INSERT INTO TIPO_APRESENTACAO (tap_nome) VALUES ('saco');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41"/>
  <sheetViews>
    <sheetView topLeftCell="A13" zoomScaleNormal="100" workbookViewId="0">
      <selection activeCell="N6" sqref="N6"/>
    </sheetView>
  </sheetViews>
  <sheetFormatPr defaultColWidth="8.44140625" defaultRowHeight="14.4" x14ac:dyDescent="0.3"/>
  <sheetData>
    <row r="1" spans="1:8" x14ac:dyDescent="0.3">
      <c r="A1" s="1" t="s">
        <v>637</v>
      </c>
      <c r="B1" s="1" t="s">
        <v>679</v>
      </c>
      <c r="C1" s="1" t="s">
        <v>771</v>
      </c>
      <c r="D1" s="1" t="s">
        <v>778</v>
      </c>
      <c r="E1" s="1" t="s">
        <v>754</v>
      </c>
      <c r="F1" s="1" t="s">
        <v>779</v>
      </c>
    </row>
    <row r="2" spans="1:8" x14ac:dyDescent="0.3">
      <c r="A2" s="1">
        <v>1</v>
      </c>
      <c r="B2" s="1">
        <v>1</v>
      </c>
      <c r="C2" s="1">
        <v>3</v>
      </c>
      <c r="D2" s="1">
        <v>1</v>
      </c>
      <c r="F2" s="20">
        <v>1</v>
      </c>
      <c r="H2" s="1" t="str">
        <f t="shared" ref="H2:H41" si="0">"INSERT INTO PRODUTO_APRESENTACAO (prd_id, tap_id, pap_qtd, umd_id, pap_atv) VALUES ("&amp;B2&amp;", "&amp;C2&amp;", "&amp;D2&amp;", "&amp;E2&amp;", "&amp;F2&amp;");"</f>
        <v>INSERT INTO PRODUTO_APRESENTACAO (prd_id, tap_id, pap_qtd, umd_id, pap_atv) VALUES (1, 3, 1, , 1);</v>
      </c>
    </row>
    <row r="3" spans="1:8" x14ac:dyDescent="0.3">
      <c r="A3" s="1">
        <v>2</v>
      </c>
      <c r="B3" s="1">
        <v>2</v>
      </c>
      <c r="C3" s="1">
        <v>3</v>
      </c>
      <c r="D3" s="1">
        <v>1</v>
      </c>
      <c r="F3" s="1">
        <v>1</v>
      </c>
      <c r="H3" s="1" t="str">
        <f t="shared" si="0"/>
        <v>INSERT INTO PRODUTO_APRESENTACAO (prd_id, tap_id, pap_qtd, umd_id, pap_atv) VALUES (2, 3, 1, , 1);</v>
      </c>
    </row>
    <row r="4" spans="1:8" x14ac:dyDescent="0.3">
      <c r="A4" s="1">
        <v>3</v>
      </c>
      <c r="B4" s="1">
        <v>3</v>
      </c>
      <c r="C4" s="1">
        <v>3</v>
      </c>
      <c r="D4" s="1">
        <v>1</v>
      </c>
      <c r="F4" s="1">
        <v>1</v>
      </c>
      <c r="H4" s="1" t="str">
        <f t="shared" si="0"/>
        <v>INSERT INTO PRODUTO_APRESENTACAO (prd_id, tap_id, pap_qtd, umd_id, pap_atv) VALUES (3, 3, 1, , 1);</v>
      </c>
    </row>
    <row r="5" spans="1:8" x14ac:dyDescent="0.3">
      <c r="A5" s="1">
        <v>4</v>
      </c>
      <c r="B5" s="1">
        <v>4</v>
      </c>
      <c r="C5" s="1">
        <v>3</v>
      </c>
      <c r="D5" s="1">
        <v>1</v>
      </c>
      <c r="F5" s="1">
        <v>1</v>
      </c>
      <c r="H5" s="1" t="str">
        <f t="shared" si="0"/>
        <v>INSERT INTO PRODUTO_APRESENTACAO (prd_id, tap_id, pap_qtd, umd_id, pap_atv) VALUES (4, 3, 1, , 1);</v>
      </c>
    </row>
    <row r="6" spans="1:8" x14ac:dyDescent="0.3">
      <c r="A6" s="1">
        <v>5</v>
      </c>
      <c r="B6" s="1">
        <v>5</v>
      </c>
      <c r="C6" s="1">
        <v>3</v>
      </c>
      <c r="D6" s="1">
        <v>1</v>
      </c>
      <c r="F6" s="1">
        <v>1</v>
      </c>
      <c r="H6" s="1" t="str">
        <f t="shared" si="0"/>
        <v>INSERT INTO PRODUTO_APRESENTACAO (prd_id, tap_id, pap_qtd, umd_id, pap_atv) VALUES (5, 3, 1, , 1);</v>
      </c>
    </row>
    <row r="7" spans="1:8" x14ac:dyDescent="0.3">
      <c r="A7" s="1">
        <v>6</v>
      </c>
      <c r="B7" s="1">
        <v>6</v>
      </c>
      <c r="C7" s="1">
        <v>3</v>
      </c>
      <c r="D7" s="1">
        <v>1</v>
      </c>
      <c r="F7" s="1">
        <v>1</v>
      </c>
      <c r="H7" s="1" t="str">
        <f t="shared" si="0"/>
        <v>INSERT INTO PRODUTO_APRESENTACAO (prd_id, tap_id, pap_qtd, umd_id, pap_atv) VALUES (6, 3, 1, , 1);</v>
      </c>
    </row>
    <row r="8" spans="1:8" x14ac:dyDescent="0.3">
      <c r="A8" s="1">
        <v>7</v>
      </c>
      <c r="B8" s="1">
        <v>7</v>
      </c>
      <c r="C8" s="1">
        <v>3</v>
      </c>
      <c r="D8" s="1">
        <v>1</v>
      </c>
      <c r="F8" s="1">
        <v>1</v>
      </c>
      <c r="H8" s="1" t="str">
        <f t="shared" si="0"/>
        <v>INSERT INTO PRODUTO_APRESENTACAO (prd_id, tap_id, pap_qtd, umd_id, pap_atv) VALUES (7, 3, 1, , 1);</v>
      </c>
    </row>
    <row r="9" spans="1:8" x14ac:dyDescent="0.3">
      <c r="A9" s="1">
        <v>8</v>
      </c>
      <c r="B9" s="1">
        <v>8</v>
      </c>
      <c r="C9" s="1">
        <v>3</v>
      </c>
      <c r="D9" s="1">
        <v>1</v>
      </c>
      <c r="F9" s="1">
        <v>1</v>
      </c>
      <c r="H9" s="1" t="str">
        <f t="shared" si="0"/>
        <v>INSERT INTO PRODUTO_APRESENTACAO (prd_id, tap_id, pap_qtd, umd_id, pap_atv) VALUES (8, 3, 1, , 1);</v>
      </c>
    </row>
    <row r="10" spans="1:8" x14ac:dyDescent="0.3">
      <c r="A10" s="1">
        <v>9</v>
      </c>
      <c r="B10" s="1">
        <v>9</v>
      </c>
      <c r="C10" s="1">
        <v>3</v>
      </c>
      <c r="D10" s="1">
        <v>1</v>
      </c>
      <c r="F10" s="1">
        <v>1</v>
      </c>
      <c r="H10" s="1" t="str">
        <f t="shared" si="0"/>
        <v>INSERT INTO PRODUTO_APRESENTACAO (prd_id, tap_id, pap_qtd, umd_id, pap_atv) VALUES (9, 3, 1, , 1);</v>
      </c>
    </row>
    <row r="11" spans="1:8" x14ac:dyDescent="0.3">
      <c r="A11" s="1">
        <v>10</v>
      </c>
      <c r="B11" s="1">
        <v>10</v>
      </c>
      <c r="C11" s="1">
        <v>3</v>
      </c>
      <c r="D11" s="1">
        <v>1</v>
      </c>
      <c r="F11" s="1">
        <v>1</v>
      </c>
      <c r="H11" s="1" t="str">
        <f t="shared" si="0"/>
        <v>INSERT INTO PRODUTO_APRESENTACAO (prd_id, tap_id, pap_qtd, umd_id, pap_atv) VALUES (10, 3, 1, , 1);</v>
      </c>
    </row>
    <row r="12" spans="1:8" x14ac:dyDescent="0.3">
      <c r="A12" s="1">
        <v>11</v>
      </c>
      <c r="B12" s="1">
        <v>11</v>
      </c>
      <c r="C12" s="1">
        <v>3</v>
      </c>
      <c r="D12" s="1">
        <v>1</v>
      </c>
      <c r="F12" s="1">
        <v>1</v>
      </c>
      <c r="H12" s="1" t="str">
        <f t="shared" si="0"/>
        <v>INSERT INTO PRODUTO_APRESENTACAO (prd_id, tap_id, pap_qtd, umd_id, pap_atv) VALUES (11, 3, 1, , 1);</v>
      </c>
    </row>
    <row r="13" spans="1:8" x14ac:dyDescent="0.3">
      <c r="A13" s="1">
        <v>12</v>
      </c>
      <c r="B13" s="1">
        <v>12</v>
      </c>
      <c r="C13" s="1">
        <v>3</v>
      </c>
      <c r="D13" s="1">
        <v>1</v>
      </c>
      <c r="F13" s="1">
        <v>1</v>
      </c>
      <c r="H13" s="1" t="str">
        <f t="shared" si="0"/>
        <v>INSERT INTO PRODUTO_APRESENTACAO (prd_id, tap_id, pap_qtd, umd_id, pap_atv) VALUES (12, 3, 1, , 1);</v>
      </c>
    </row>
    <row r="14" spans="1:8" x14ac:dyDescent="0.3">
      <c r="A14" s="1">
        <v>13</v>
      </c>
      <c r="B14" s="1">
        <v>13</v>
      </c>
      <c r="C14" s="1">
        <v>2</v>
      </c>
      <c r="D14" s="1">
        <v>12</v>
      </c>
      <c r="F14" s="1">
        <v>1</v>
      </c>
      <c r="H14" s="1" t="str">
        <f t="shared" si="0"/>
        <v>INSERT INTO PRODUTO_APRESENTACAO (prd_id, tap_id, pap_qtd, umd_id, pap_atv) VALUES (13, 2, 12, , 1);</v>
      </c>
    </row>
    <row r="15" spans="1:8" x14ac:dyDescent="0.3">
      <c r="A15" s="1">
        <v>14</v>
      </c>
      <c r="B15" s="1">
        <v>14</v>
      </c>
      <c r="C15" s="1">
        <v>3</v>
      </c>
      <c r="D15" s="1">
        <v>1</v>
      </c>
      <c r="F15" s="1">
        <v>1</v>
      </c>
      <c r="H15" s="1" t="str">
        <f t="shared" si="0"/>
        <v>INSERT INTO PRODUTO_APRESENTACAO (prd_id, tap_id, pap_qtd, umd_id, pap_atv) VALUES (14, 3, 1, , 1);</v>
      </c>
    </row>
    <row r="16" spans="1:8" x14ac:dyDescent="0.3">
      <c r="A16" s="1">
        <v>15</v>
      </c>
      <c r="B16" s="1">
        <v>15</v>
      </c>
      <c r="C16" s="1">
        <v>3</v>
      </c>
      <c r="D16" s="1">
        <v>1</v>
      </c>
      <c r="F16" s="1">
        <v>1</v>
      </c>
      <c r="H16" s="1" t="str">
        <f t="shared" si="0"/>
        <v>INSERT INTO PRODUTO_APRESENTACAO (prd_id, tap_id, pap_qtd, umd_id, pap_atv) VALUES (15, 3, 1, , 1);</v>
      </c>
    </row>
    <row r="17" spans="1:8" x14ac:dyDescent="0.3">
      <c r="A17" s="1">
        <v>16</v>
      </c>
      <c r="B17" s="1">
        <v>16</v>
      </c>
      <c r="C17" s="1">
        <v>3</v>
      </c>
      <c r="D17" s="1">
        <v>1</v>
      </c>
      <c r="F17" s="1">
        <v>1</v>
      </c>
      <c r="H17" s="1" t="str">
        <f t="shared" si="0"/>
        <v>INSERT INTO PRODUTO_APRESENTACAO (prd_id, tap_id, pap_qtd, umd_id, pap_atv) VALUES (16, 3, 1, , 1);</v>
      </c>
    </row>
    <row r="18" spans="1:8" x14ac:dyDescent="0.3">
      <c r="A18" s="1">
        <v>17</v>
      </c>
      <c r="B18" s="1">
        <v>17</v>
      </c>
      <c r="C18" s="1">
        <v>2</v>
      </c>
      <c r="D18" s="1">
        <v>0.5</v>
      </c>
      <c r="E18" s="1">
        <v>1</v>
      </c>
      <c r="F18" s="1">
        <v>1</v>
      </c>
      <c r="H18" s="1" t="str">
        <f t="shared" si="0"/>
        <v>INSERT INTO PRODUTO_APRESENTACAO (prd_id, tap_id, pap_qtd, umd_id, pap_atv) VALUES (17, 2, 0,5, 1, 1);</v>
      </c>
    </row>
    <row r="19" spans="1:8" x14ac:dyDescent="0.3">
      <c r="A19" s="1">
        <v>18</v>
      </c>
      <c r="B19" s="1">
        <v>18</v>
      </c>
      <c r="C19" s="1">
        <v>2</v>
      </c>
      <c r="D19" s="1">
        <v>2</v>
      </c>
      <c r="E19" s="1">
        <v>1</v>
      </c>
      <c r="F19" s="1">
        <v>1</v>
      </c>
      <c r="H19" s="1" t="str">
        <f t="shared" si="0"/>
        <v>INSERT INTO PRODUTO_APRESENTACAO (prd_id, tap_id, pap_qtd, umd_id, pap_atv) VALUES (18, 2, 2, 1, 1);</v>
      </c>
    </row>
    <row r="20" spans="1:8" x14ac:dyDescent="0.3">
      <c r="A20" s="1">
        <v>19</v>
      </c>
      <c r="B20" s="1">
        <v>19</v>
      </c>
      <c r="C20" s="1">
        <v>2</v>
      </c>
      <c r="D20" s="1">
        <v>2</v>
      </c>
      <c r="E20" s="1">
        <v>1</v>
      </c>
      <c r="F20" s="1">
        <v>1</v>
      </c>
      <c r="H20" s="1" t="str">
        <f t="shared" si="0"/>
        <v>INSERT INTO PRODUTO_APRESENTACAO (prd_id, tap_id, pap_qtd, umd_id, pap_atv) VALUES (19, 2, 2, 1, 1);</v>
      </c>
    </row>
    <row r="21" spans="1:8" x14ac:dyDescent="0.3">
      <c r="A21" s="1">
        <v>20</v>
      </c>
      <c r="B21" s="1">
        <v>20</v>
      </c>
      <c r="C21" s="1">
        <v>1</v>
      </c>
      <c r="D21" s="1">
        <v>30</v>
      </c>
      <c r="E21" s="1">
        <v>1</v>
      </c>
      <c r="F21" s="1">
        <v>1</v>
      </c>
      <c r="H21" s="1" t="str">
        <f t="shared" si="0"/>
        <v>INSERT INTO PRODUTO_APRESENTACAO (prd_id, tap_id, pap_qtd, umd_id, pap_atv) VALUES (20, 1, 30, 1, 1);</v>
      </c>
    </row>
    <row r="22" spans="1:8" x14ac:dyDescent="0.3">
      <c r="A22" s="1">
        <v>21</v>
      </c>
      <c r="B22" s="1">
        <v>21</v>
      </c>
      <c r="C22" s="1">
        <v>1</v>
      </c>
      <c r="D22" s="1">
        <v>17</v>
      </c>
      <c r="E22" s="1">
        <v>1</v>
      </c>
      <c r="F22" s="1">
        <v>1</v>
      </c>
      <c r="H22" s="1" t="str">
        <f t="shared" si="0"/>
        <v>INSERT INTO PRODUTO_APRESENTACAO (prd_id, tap_id, pap_qtd, umd_id, pap_atv) VALUES (21, 1, 17, 1, 1);</v>
      </c>
    </row>
    <row r="23" spans="1:8" x14ac:dyDescent="0.3">
      <c r="A23" s="1">
        <v>22</v>
      </c>
      <c r="B23" s="1">
        <v>22</v>
      </c>
      <c r="C23" s="1">
        <v>1</v>
      </c>
      <c r="D23" s="1">
        <v>18</v>
      </c>
      <c r="E23" s="1">
        <v>1</v>
      </c>
      <c r="F23" s="1">
        <v>1</v>
      </c>
      <c r="H23" s="1" t="str">
        <f t="shared" si="0"/>
        <v>INSERT INTO PRODUTO_APRESENTACAO (prd_id, tap_id, pap_qtd, umd_id, pap_atv) VALUES (22, 1, 18, 1, 1);</v>
      </c>
    </row>
    <row r="24" spans="1:8" x14ac:dyDescent="0.3">
      <c r="A24" s="1">
        <v>23</v>
      </c>
      <c r="B24" s="1">
        <v>23</v>
      </c>
      <c r="C24" s="1">
        <v>1</v>
      </c>
      <c r="D24" s="1">
        <v>10</v>
      </c>
      <c r="E24" s="1">
        <v>1</v>
      </c>
      <c r="F24" s="1">
        <v>1</v>
      </c>
      <c r="H24" s="1" t="str">
        <f t="shared" si="0"/>
        <v>INSERT INTO PRODUTO_APRESENTACAO (prd_id, tap_id, pap_qtd, umd_id, pap_atv) VALUES (23, 1, 10, 1, 1);</v>
      </c>
    </row>
    <row r="25" spans="1:8" x14ac:dyDescent="0.3">
      <c r="A25" s="1">
        <v>24</v>
      </c>
      <c r="B25" s="1">
        <v>24</v>
      </c>
      <c r="C25" s="1">
        <v>1</v>
      </c>
      <c r="D25" s="1">
        <v>10</v>
      </c>
      <c r="E25" s="1">
        <v>1</v>
      </c>
      <c r="F25" s="1">
        <v>1</v>
      </c>
      <c r="H25" s="1" t="str">
        <f t="shared" si="0"/>
        <v>INSERT INTO PRODUTO_APRESENTACAO (prd_id, tap_id, pap_qtd, umd_id, pap_atv) VALUES (24, 1, 10, 1, 1);</v>
      </c>
    </row>
    <row r="26" spans="1:8" x14ac:dyDescent="0.3">
      <c r="A26" s="1">
        <v>25</v>
      </c>
      <c r="B26" s="1">
        <v>25</v>
      </c>
      <c r="C26" s="1">
        <v>1</v>
      </c>
      <c r="D26" s="1">
        <v>20</v>
      </c>
      <c r="E26" s="1">
        <v>1</v>
      </c>
      <c r="F26" s="1">
        <v>1</v>
      </c>
      <c r="H26" s="1" t="str">
        <f t="shared" si="0"/>
        <v>INSERT INTO PRODUTO_APRESENTACAO (prd_id, tap_id, pap_qtd, umd_id, pap_atv) VALUES (25, 1, 20, 1, 1);</v>
      </c>
    </row>
    <row r="27" spans="1:8" x14ac:dyDescent="0.3">
      <c r="A27" s="1">
        <v>26</v>
      </c>
      <c r="B27" s="1">
        <v>26</v>
      </c>
      <c r="C27" s="1">
        <v>1</v>
      </c>
      <c r="D27" s="1">
        <v>18</v>
      </c>
      <c r="E27" s="1">
        <v>1</v>
      </c>
      <c r="F27" s="1">
        <v>1</v>
      </c>
      <c r="H27" s="1" t="str">
        <f t="shared" si="0"/>
        <v>INSERT INTO PRODUTO_APRESENTACAO (prd_id, tap_id, pap_qtd, umd_id, pap_atv) VALUES (26, 1, 18, 1, 1);</v>
      </c>
    </row>
    <row r="28" spans="1:8" x14ac:dyDescent="0.3">
      <c r="A28" s="1">
        <v>27</v>
      </c>
      <c r="B28" s="1">
        <v>27</v>
      </c>
      <c r="C28" s="1">
        <v>1</v>
      </c>
      <c r="D28" s="1">
        <v>18</v>
      </c>
      <c r="E28" s="1">
        <v>1</v>
      </c>
      <c r="F28" s="1">
        <v>1</v>
      </c>
      <c r="H28" s="1" t="str">
        <f t="shared" si="0"/>
        <v>INSERT INTO PRODUTO_APRESENTACAO (prd_id, tap_id, pap_qtd, umd_id, pap_atv) VALUES (27, 1, 18, 1, 1);</v>
      </c>
    </row>
    <row r="29" spans="1:8" x14ac:dyDescent="0.3">
      <c r="A29" s="1">
        <v>28</v>
      </c>
      <c r="B29" s="1">
        <v>28</v>
      </c>
      <c r="C29" s="1">
        <v>1</v>
      </c>
      <c r="D29" s="1">
        <v>17</v>
      </c>
      <c r="E29" s="1">
        <v>1</v>
      </c>
      <c r="F29" s="1">
        <v>1</v>
      </c>
      <c r="H29" s="1" t="str">
        <f t="shared" si="0"/>
        <v>INSERT INTO PRODUTO_APRESENTACAO (prd_id, tap_id, pap_qtd, umd_id, pap_atv) VALUES (28, 1, 17, 1, 1);</v>
      </c>
    </row>
    <row r="30" spans="1:8" x14ac:dyDescent="0.3">
      <c r="A30" s="1">
        <v>29</v>
      </c>
      <c r="B30" s="1">
        <v>29</v>
      </c>
      <c r="C30" s="1">
        <v>1</v>
      </c>
      <c r="D30" s="1">
        <v>18</v>
      </c>
      <c r="E30" s="1">
        <v>1</v>
      </c>
      <c r="F30" s="1">
        <v>1</v>
      </c>
      <c r="H30" s="1" t="str">
        <f t="shared" si="0"/>
        <v>INSERT INTO PRODUTO_APRESENTACAO (prd_id, tap_id, pap_qtd, umd_id, pap_atv) VALUES (29, 1, 18, 1, 1);</v>
      </c>
    </row>
    <row r="31" spans="1:8" x14ac:dyDescent="0.3">
      <c r="A31" s="1">
        <v>30</v>
      </c>
      <c r="B31" s="1">
        <v>30</v>
      </c>
      <c r="C31" s="1">
        <v>1</v>
      </c>
      <c r="D31" s="1">
        <v>17</v>
      </c>
      <c r="E31" s="1">
        <v>1</v>
      </c>
      <c r="F31" s="1">
        <v>1</v>
      </c>
      <c r="H31" s="1" t="str">
        <f t="shared" si="0"/>
        <v>INSERT INTO PRODUTO_APRESENTACAO (prd_id, tap_id, pap_qtd, umd_id, pap_atv) VALUES (30, 1, 17, 1, 1);</v>
      </c>
    </row>
    <row r="32" spans="1:8" x14ac:dyDescent="0.3">
      <c r="A32" s="1">
        <v>31</v>
      </c>
      <c r="B32" s="1">
        <v>31</v>
      </c>
      <c r="C32" s="1">
        <v>1</v>
      </c>
      <c r="D32" s="1">
        <v>17</v>
      </c>
      <c r="E32" s="1">
        <v>1</v>
      </c>
      <c r="F32" s="1">
        <v>1</v>
      </c>
      <c r="H32" s="1" t="str">
        <f t="shared" si="0"/>
        <v>INSERT INTO PRODUTO_APRESENTACAO (prd_id, tap_id, pap_qtd, umd_id, pap_atv) VALUES (31, 1, 17, 1, 1);</v>
      </c>
    </row>
    <row r="33" spans="1:8" x14ac:dyDescent="0.3">
      <c r="A33" s="1">
        <v>32</v>
      </c>
      <c r="B33" s="1">
        <v>32</v>
      </c>
      <c r="C33" s="1">
        <v>1</v>
      </c>
      <c r="D33" s="1">
        <v>10</v>
      </c>
      <c r="E33" s="1">
        <v>1</v>
      </c>
      <c r="F33" s="1">
        <v>1</v>
      </c>
      <c r="H33" s="1" t="str">
        <f t="shared" si="0"/>
        <v>INSERT INTO PRODUTO_APRESENTACAO (prd_id, tap_id, pap_qtd, umd_id, pap_atv) VALUES (32, 1, 10, 1, 1);</v>
      </c>
    </row>
    <row r="34" spans="1:8" x14ac:dyDescent="0.3">
      <c r="A34" s="1">
        <v>33</v>
      </c>
      <c r="B34" s="1">
        <v>33</v>
      </c>
      <c r="C34" s="1">
        <v>1</v>
      </c>
      <c r="D34" s="1">
        <v>12</v>
      </c>
      <c r="E34" s="1">
        <v>1</v>
      </c>
      <c r="F34" s="1">
        <v>1</v>
      </c>
      <c r="H34" s="1" t="str">
        <f t="shared" si="0"/>
        <v>INSERT INTO PRODUTO_APRESENTACAO (prd_id, tap_id, pap_qtd, umd_id, pap_atv) VALUES (33, 1, 12, 1, 1);</v>
      </c>
    </row>
    <row r="35" spans="1:8" x14ac:dyDescent="0.3">
      <c r="A35" s="1">
        <v>34</v>
      </c>
      <c r="B35" s="1">
        <v>34</v>
      </c>
      <c r="C35" s="1">
        <v>1</v>
      </c>
      <c r="D35" s="1">
        <v>17</v>
      </c>
      <c r="E35" s="1">
        <v>1</v>
      </c>
      <c r="F35" s="1">
        <v>1</v>
      </c>
      <c r="H35" s="1" t="str">
        <f t="shared" si="0"/>
        <v>INSERT INTO PRODUTO_APRESENTACAO (prd_id, tap_id, pap_qtd, umd_id, pap_atv) VALUES (34, 1, 17, 1, 1);</v>
      </c>
    </row>
    <row r="36" spans="1:8" x14ac:dyDescent="0.3">
      <c r="A36" s="1">
        <v>35</v>
      </c>
      <c r="B36" s="1">
        <v>35</v>
      </c>
      <c r="C36" s="1">
        <v>1</v>
      </c>
      <c r="D36" s="1">
        <v>17</v>
      </c>
      <c r="E36" s="1">
        <v>1</v>
      </c>
      <c r="F36" s="1">
        <v>1</v>
      </c>
      <c r="H36" s="1" t="str">
        <f t="shared" si="0"/>
        <v>INSERT INTO PRODUTO_APRESENTACAO (prd_id, tap_id, pap_qtd, umd_id, pap_atv) VALUES (35, 1, 17, 1, 1);</v>
      </c>
    </row>
    <row r="37" spans="1:8" x14ac:dyDescent="0.3">
      <c r="A37" s="1">
        <v>36</v>
      </c>
      <c r="B37" s="1">
        <v>36</v>
      </c>
      <c r="C37" s="1">
        <v>1</v>
      </c>
      <c r="D37" s="1">
        <v>17</v>
      </c>
      <c r="E37" s="1">
        <v>1</v>
      </c>
      <c r="F37" s="1">
        <v>1</v>
      </c>
      <c r="H37" s="1" t="str">
        <f t="shared" si="0"/>
        <v>INSERT INTO PRODUTO_APRESENTACAO (prd_id, tap_id, pap_qtd, umd_id, pap_atv) VALUES (36, 1, 17, 1, 1);</v>
      </c>
    </row>
    <row r="38" spans="1:8" x14ac:dyDescent="0.3">
      <c r="A38" s="1">
        <v>37</v>
      </c>
      <c r="B38" s="1">
        <v>37</v>
      </c>
      <c r="C38" s="1">
        <v>1</v>
      </c>
      <c r="D38" s="1">
        <v>17</v>
      </c>
      <c r="E38" s="1">
        <v>1</v>
      </c>
      <c r="F38" s="1">
        <v>1</v>
      </c>
      <c r="H38" s="1" t="str">
        <f t="shared" si="0"/>
        <v>INSERT INTO PRODUTO_APRESENTACAO (prd_id, tap_id, pap_qtd, umd_id, pap_atv) VALUES (37, 1, 17, 1, 1);</v>
      </c>
    </row>
    <row r="39" spans="1:8" x14ac:dyDescent="0.3">
      <c r="A39" s="1">
        <v>38</v>
      </c>
      <c r="B39" s="1">
        <v>38</v>
      </c>
      <c r="C39" s="1">
        <v>1</v>
      </c>
      <c r="D39" s="1">
        <v>17</v>
      </c>
      <c r="E39" s="1">
        <v>1</v>
      </c>
      <c r="F39" s="1">
        <v>1</v>
      </c>
      <c r="H39" s="1" t="str">
        <f t="shared" si="0"/>
        <v>INSERT INTO PRODUTO_APRESENTACAO (prd_id, tap_id, pap_qtd, umd_id, pap_atv) VALUES (38, 1, 17, 1, 1);</v>
      </c>
    </row>
    <row r="40" spans="1:8" x14ac:dyDescent="0.3">
      <c r="A40" s="1">
        <v>39</v>
      </c>
      <c r="B40" s="1">
        <v>39</v>
      </c>
      <c r="C40" s="1">
        <v>1</v>
      </c>
      <c r="D40" s="1">
        <v>10</v>
      </c>
      <c r="E40" s="1">
        <v>1</v>
      </c>
      <c r="F40" s="1">
        <v>1</v>
      </c>
      <c r="H40" s="1" t="str">
        <f t="shared" si="0"/>
        <v>INSERT INTO PRODUTO_APRESENTACAO (prd_id, tap_id, pap_qtd, umd_id, pap_atv) VALUES (39, 1, 10, 1, 1);</v>
      </c>
    </row>
    <row r="41" spans="1:8" x14ac:dyDescent="0.3">
      <c r="A41" s="1">
        <v>40</v>
      </c>
      <c r="B41" s="1">
        <v>40</v>
      </c>
      <c r="C41" s="1">
        <v>1</v>
      </c>
      <c r="D41" s="1">
        <v>22</v>
      </c>
      <c r="E41" s="1">
        <v>1</v>
      </c>
      <c r="F41" s="1">
        <v>1</v>
      </c>
      <c r="H41" s="1" t="str">
        <f t="shared" si="0"/>
        <v>INSERT INTO PRODUTO_APRESENTACAO (prd_id, tap_id, pap_qtd, umd_id, pap_atv) VALUES (40, 1, 22, 1, 1);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475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Boletins Nuppa Site</vt:lpstr>
      <vt:lpstr>Planilha11</vt:lpstr>
      <vt:lpstr>COTACAO</vt:lpstr>
      <vt:lpstr>BOLETIM</vt:lpstr>
      <vt:lpstr>GRUPO_ALIMENTAR</vt:lpstr>
      <vt:lpstr>CATEGORIA</vt:lpstr>
      <vt:lpstr>PRODUTO</vt:lpstr>
      <vt:lpstr>UNIDADE_MEDIDA</vt:lpstr>
      <vt:lpstr>TIPO_APRESENTACAO</vt:lpstr>
      <vt:lpstr>PRODUTO_APRESENTACAO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Shampz</dc:creator>
  <dc:description/>
  <cp:lastModifiedBy>Allan</cp:lastModifiedBy>
  <cp:revision>45</cp:revision>
  <dcterms:created xsi:type="dcterms:W3CDTF">2026-09-01T15:47:40Z</dcterms:created>
  <dcterms:modified xsi:type="dcterms:W3CDTF">2026-09-26T06:57:37Z</dcterms:modified>
  <dc:language>pt-BR</dc:language>
</cp:coreProperties>
</file>